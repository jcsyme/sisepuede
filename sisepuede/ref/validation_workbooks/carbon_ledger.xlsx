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984A3765-5932-754A-B648-01A41D8B7BA3}" xr6:coauthVersionLast="47" xr6:coauthVersionMax="47" xr10:uidLastSave="{00000000-0000-0000-0000-000000000000}"/>
  <bookViews>
    <workbookView xWindow="0" yWindow="760" windowWidth="3368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9" i="3" l="1"/>
  <c r="F69" i="3"/>
  <c r="D37" i="3"/>
  <c r="C37" i="3"/>
  <c r="G132" i="3"/>
  <c r="C111" i="3"/>
  <c r="C108" i="3" s="1"/>
  <c r="D74" i="3"/>
  <c r="V55" i="3"/>
  <c r="V54" i="3"/>
  <c r="V53" i="3"/>
  <c r="V52" i="3"/>
  <c r="V69" i="3" s="1"/>
  <c r="S52" i="3"/>
  <c r="V72" i="3"/>
  <c r="V71" i="3"/>
  <c r="V70" i="3"/>
  <c r="T45" i="3"/>
  <c r="J61" i="3"/>
  <c r="D64" i="3"/>
  <c r="M72" i="3"/>
  <c r="J72" i="3"/>
  <c r="J71" i="3"/>
  <c r="G72" i="3"/>
  <c r="G71" i="3"/>
  <c r="G70" i="3"/>
  <c r="D71" i="3"/>
  <c r="D70" i="3"/>
  <c r="D72" i="3"/>
  <c r="D75" i="3"/>
  <c r="D76" i="3"/>
  <c r="D77" i="3"/>
  <c r="D67" i="3"/>
  <c r="D66" i="3"/>
  <c r="D65" i="3"/>
  <c r="D104" i="3"/>
  <c r="C104" i="3"/>
  <c r="M49" i="3"/>
  <c r="Q45" i="3"/>
  <c r="N45" i="3"/>
  <c r="J48" i="3"/>
  <c r="J60" i="3" s="1"/>
  <c r="G47" i="3"/>
  <c r="G59" i="3" s="1"/>
  <c r="D46" i="3"/>
  <c r="E46" i="3" s="1"/>
  <c r="G7" i="3"/>
  <c r="J7" i="3" s="1"/>
  <c r="M7" i="3" s="1"/>
  <c r="E45" i="3"/>
  <c r="H45" i="3"/>
  <c r="K45" i="3"/>
  <c r="M54" i="3"/>
  <c r="M71" i="3" s="1"/>
  <c r="J53" i="3"/>
  <c r="J70" i="3" s="1"/>
  <c r="D52" i="3"/>
  <c r="D69" i="3" s="1"/>
  <c r="G52" i="3"/>
  <c r="S69" i="3"/>
  <c r="P52" i="3"/>
  <c r="P69" i="3" s="1"/>
  <c r="M52" i="3"/>
  <c r="M69" i="3" s="1"/>
  <c r="D10" i="3"/>
  <c r="D100" i="3"/>
  <c r="C100" i="3"/>
  <c r="C102" i="3" s="1"/>
  <c r="C105" i="3"/>
  <c r="D20" i="3"/>
  <c r="C20" i="3"/>
  <c r="C106" i="3" s="1"/>
  <c r="D126" i="3"/>
  <c r="D127" i="3"/>
  <c r="D128" i="3"/>
  <c r="D8" i="3"/>
  <c r="G8" i="3" s="1"/>
  <c r="J8" i="3" s="1"/>
  <c r="M8" i="3" s="1"/>
  <c r="P8" i="3" s="1"/>
  <c r="S8" i="3" s="1"/>
  <c r="V8" i="3" s="1"/>
  <c r="C8" i="3"/>
  <c r="M132" i="3"/>
  <c r="J132" i="3"/>
  <c r="G76" i="3" l="1"/>
  <c r="J76" i="3" s="1"/>
  <c r="M66" i="3" s="1"/>
  <c r="G77" i="3"/>
  <c r="J77" i="3" s="1"/>
  <c r="M77" i="3" s="1"/>
  <c r="G65" i="3"/>
  <c r="M61" i="3"/>
  <c r="G75" i="3"/>
  <c r="J66" i="3"/>
  <c r="P67" i="3"/>
  <c r="G66" i="3"/>
  <c r="G67" i="3"/>
  <c r="D58" i="3"/>
  <c r="P7" i="3"/>
  <c r="S7" i="3" s="1"/>
  <c r="V7" i="3" s="1"/>
  <c r="M83" i="3"/>
  <c r="M10" i="3"/>
  <c r="E48" i="3"/>
  <c r="E47" i="3"/>
  <c r="E49" i="3"/>
  <c r="D111" i="3"/>
  <c r="D108" i="3" s="1"/>
  <c r="D106" i="3"/>
  <c r="C21" i="3"/>
  <c r="C112" i="3" s="1"/>
  <c r="C113" i="3" s="1"/>
  <c r="C115" i="3" s="1"/>
  <c r="D21" i="3"/>
  <c r="V83" i="3" l="1"/>
  <c r="V10" i="3"/>
  <c r="J67" i="3"/>
  <c r="M67" i="3"/>
  <c r="G64" i="3"/>
  <c r="J65" i="3"/>
  <c r="P10" i="3"/>
  <c r="D112" i="3"/>
  <c r="D113" i="3" s="1"/>
  <c r="D115" i="3" s="1"/>
  <c r="C116" i="3" s="1"/>
  <c r="D117" i="3" l="1"/>
  <c r="C117" i="3"/>
  <c r="C138" i="3"/>
  <c r="C139" i="3" s="1"/>
  <c r="S53" i="3" l="1"/>
  <c r="S70" i="3" s="1"/>
  <c r="S54" i="3"/>
  <c r="S71" i="3" s="1"/>
  <c r="P53" i="3"/>
  <c r="P70" i="3" s="1"/>
  <c r="J52" i="3"/>
  <c r="J69" i="3" s="1"/>
  <c r="P55" i="3"/>
  <c r="P72" i="3" s="1"/>
  <c r="S55" i="3"/>
  <c r="S72" i="3" s="1"/>
  <c r="P54" i="3"/>
  <c r="P71" i="3" s="1"/>
  <c r="M53" i="3"/>
  <c r="M70" i="3" s="1"/>
  <c r="D91" i="3"/>
  <c r="D83" i="3"/>
  <c r="J94" i="3"/>
  <c r="G94" i="3"/>
  <c r="G93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11" i="3"/>
  <c r="AA9" i="3"/>
  <c r="AA10" i="3"/>
  <c r="AA8" i="3"/>
  <c r="J46" i="3"/>
  <c r="C147" i="3"/>
  <c r="D147" i="3"/>
  <c r="D105" i="3"/>
  <c r="F7" i="3"/>
  <c r="X150" i="3"/>
  <c r="AE149" i="3"/>
  <c r="X149" i="3"/>
  <c r="AE148" i="3"/>
  <c r="X148" i="3"/>
  <c r="AE147" i="3"/>
  <c r="X147" i="3"/>
  <c r="AE146" i="3"/>
  <c r="X146" i="3"/>
  <c r="AE145" i="3"/>
  <c r="X145" i="3"/>
  <c r="AE144" i="3"/>
  <c r="X144" i="3"/>
  <c r="AE143" i="3"/>
  <c r="X143" i="3"/>
  <c r="AE142" i="3"/>
  <c r="X142" i="3"/>
  <c r="AE141" i="3"/>
  <c r="X141" i="3"/>
  <c r="AE140" i="3"/>
  <c r="X140" i="3"/>
  <c r="AE139" i="3"/>
  <c r="X139" i="3"/>
  <c r="AE138" i="3"/>
  <c r="X138" i="3"/>
  <c r="AE100" i="3"/>
  <c r="X100" i="3"/>
  <c r="AE36" i="3"/>
  <c r="AE35" i="3"/>
  <c r="AE34" i="3"/>
  <c r="AE33" i="3"/>
  <c r="AE32" i="3"/>
  <c r="AE31" i="3"/>
  <c r="AE30" i="3"/>
  <c r="AE29" i="3"/>
  <c r="AE28" i="3"/>
  <c r="AE27" i="3"/>
  <c r="AE23" i="3"/>
  <c r="AE19" i="3"/>
  <c r="AE13" i="3"/>
  <c r="AE9" i="3"/>
  <c r="AE7" i="3"/>
  <c r="AA7" i="3"/>
  <c r="AA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K46" i="3" l="1"/>
  <c r="I7" i="3"/>
  <c r="F8" i="3"/>
  <c r="G10" i="3"/>
  <c r="G121" i="3"/>
  <c r="D120" i="3"/>
  <c r="G83" i="3"/>
  <c r="M94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D101" i="3" l="1"/>
  <c r="D102" i="3" s="1"/>
  <c r="D125" i="3"/>
  <c r="F46" i="3"/>
  <c r="G46" i="3" s="1"/>
  <c r="G74" i="3" s="1"/>
  <c r="J74" i="3" s="1"/>
  <c r="F49" i="3"/>
  <c r="F48" i="3"/>
  <c r="F47" i="3"/>
  <c r="J83" i="3"/>
  <c r="G126" i="3"/>
  <c r="L7" i="3"/>
  <c r="I8" i="3"/>
  <c r="J10" i="3"/>
  <c r="C140" i="3"/>
  <c r="G92" i="3"/>
  <c r="J93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G120" i="3" l="1"/>
  <c r="J120" i="3" s="1"/>
  <c r="J64" i="3"/>
  <c r="G58" i="3"/>
  <c r="H49" i="3"/>
  <c r="H46" i="3"/>
  <c r="I46" i="3" s="1"/>
  <c r="H48" i="3"/>
  <c r="H47" i="3"/>
  <c r="I47" i="3" s="1"/>
  <c r="J47" i="3" s="1"/>
  <c r="G125" i="3"/>
  <c r="O7" i="3"/>
  <c r="L8" i="3"/>
  <c r="D92" i="3"/>
  <c r="Q3" i="2"/>
  <c r="AA4" i="2" s="1"/>
  <c r="G91" i="3" l="1"/>
  <c r="J58" i="3"/>
  <c r="M74" i="3"/>
  <c r="M64" i="3"/>
  <c r="J59" i="3"/>
  <c r="J75" i="3"/>
  <c r="I48" i="3"/>
  <c r="J92" i="3"/>
  <c r="K49" i="3"/>
  <c r="K47" i="3"/>
  <c r="L47" i="3" s="1"/>
  <c r="M47" i="3" s="1"/>
  <c r="K48" i="3"/>
  <c r="L48" i="3" s="1"/>
  <c r="M48" i="3" s="1"/>
  <c r="J121" i="3"/>
  <c r="J126" i="3" s="1"/>
  <c r="I49" i="3"/>
  <c r="L46" i="3"/>
  <c r="M46" i="3" s="1"/>
  <c r="J125" i="3"/>
  <c r="R7" i="3"/>
  <c r="O8" i="3"/>
  <c r="P83" i="3"/>
  <c r="D94" i="3"/>
  <c r="D93" i="3"/>
  <c r="F4" i="2"/>
  <c r="R7" i="2"/>
  <c r="G4" i="2"/>
  <c r="K4" i="2"/>
  <c r="J4" i="2"/>
  <c r="R8" i="3" l="1"/>
  <c r="U7" i="3"/>
  <c r="U8" i="3" s="1"/>
  <c r="M58" i="3"/>
  <c r="M91" i="3" s="1"/>
  <c r="M120" i="3"/>
  <c r="M125" i="3" s="1"/>
  <c r="L49" i="3"/>
  <c r="M76" i="3"/>
  <c r="M60" i="3"/>
  <c r="M93" i="3" s="1"/>
  <c r="M59" i="3"/>
  <c r="M92" i="3" s="1"/>
  <c r="M75" i="3"/>
  <c r="P65" i="3" s="1"/>
  <c r="M65" i="3"/>
  <c r="J91" i="3"/>
  <c r="P64" i="3"/>
  <c r="N47" i="3"/>
  <c r="O47" i="3" s="1"/>
  <c r="P47" i="3" s="1"/>
  <c r="N48" i="3"/>
  <c r="N46" i="3"/>
  <c r="N49" i="3"/>
  <c r="O49" i="3" s="1"/>
  <c r="P49" i="3" s="1"/>
  <c r="M121" i="3"/>
  <c r="M126" i="3" s="1"/>
  <c r="O46" i="3"/>
  <c r="P46" i="3" s="1"/>
  <c r="P74" i="3" s="1"/>
  <c r="S64" i="3" s="1"/>
  <c r="S83" i="3"/>
  <c r="S10" i="3"/>
  <c r="G122" i="3"/>
  <c r="G123" i="3"/>
  <c r="U4" i="2"/>
  <c r="R8" i="2"/>
  <c r="P58" i="3" l="1"/>
  <c r="P59" i="3"/>
  <c r="P75" i="3"/>
  <c r="P61" i="3"/>
  <c r="P77" i="3"/>
  <c r="O48" i="3"/>
  <c r="P48" i="3" s="1"/>
  <c r="P66" i="3"/>
  <c r="S67" i="3"/>
  <c r="S65" i="3"/>
  <c r="P120" i="3"/>
  <c r="P125" i="3" s="1"/>
  <c r="P94" i="3"/>
  <c r="P92" i="3"/>
  <c r="P121" i="3"/>
  <c r="Q47" i="3"/>
  <c r="Q46" i="3"/>
  <c r="R46" i="3" s="1"/>
  <c r="S46" i="3" s="1"/>
  <c r="P91" i="3"/>
  <c r="J123" i="3"/>
  <c r="G128" i="3"/>
  <c r="J122" i="3"/>
  <c r="G127" i="3"/>
  <c r="O4" i="2"/>
  <c r="P4" i="2" s="1"/>
  <c r="X5" i="2" s="1"/>
  <c r="Z5" i="2" s="1"/>
  <c r="J5" i="2" s="1"/>
  <c r="R9" i="2"/>
  <c r="P60" i="3" l="1"/>
  <c r="P93" i="3" s="1"/>
  <c r="S58" i="3"/>
  <c r="S91" i="3" s="1"/>
  <c r="S74" i="3"/>
  <c r="V64" i="3" s="1"/>
  <c r="T47" i="3"/>
  <c r="T46" i="3"/>
  <c r="U46" i="3" s="1"/>
  <c r="V46" i="3" s="1"/>
  <c r="Q49" i="3"/>
  <c r="P76" i="3"/>
  <c r="Q48" i="3"/>
  <c r="R49" i="3"/>
  <c r="S49" i="3" s="1"/>
  <c r="R48" i="3"/>
  <c r="S48" i="3" s="1"/>
  <c r="R47" i="3"/>
  <c r="S47" i="3" s="1"/>
  <c r="S75" i="3" s="1"/>
  <c r="V65" i="3" s="1"/>
  <c r="S120" i="3"/>
  <c r="P126" i="3"/>
  <c r="S121" i="3"/>
  <c r="M122" i="3"/>
  <c r="J127" i="3"/>
  <c r="M123" i="3"/>
  <c r="J128" i="3"/>
  <c r="Q4" i="2"/>
  <c r="Y5" i="2" s="1"/>
  <c r="AA5" i="2" s="1"/>
  <c r="F5" i="2"/>
  <c r="R10" i="2"/>
  <c r="T49" i="3" l="1"/>
  <c r="T48" i="3"/>
  <c r="U48" i="3" s="1"/>
  <c r="V48" i="3" s="1"/>
  <c r="S66" i="3"/>
  <c r="S76" i="3"/>
  <c r="V66" i="3" s="1"/>
  <c r="S77" i="3"/>
  <c r="V67" i="3" s="1"/>
  <c r="S61" i="3"/>
  <c r="S94" i="3" s="1"/>
  <c r="U47" i="3"/>
  <c r="V47" i="3" s="1"/>
  <c r="V121" i="3" s="1"/>
  <c r="V126" i="3" s="1"/>
  <c r="V58" i="3"/>
  <c r="V91" i="3" s="1"/>
  <c r="S126" i="3"/>
  <c r="S125" i="3"/>
  <c r="V120" i="3"/>
  <c r="V125" i="3" s="1"/>
  <c r="S60" i="3"/>
  <c r="S93" i="3" s="1"/>
  <c r="S59" i="3"/>
  <c r="S92" i="3" s="1"/>
  <c r="P123" i="3"/>
  <c r="M128" i="3"/>
  <c r="M127" i="3"/>
  <c r="P122" i="3"/>
  <c r="R11" i="2"/>
  <c r="G5" i="2"/>
  <c r="U5" i="2" s="1"/>
  <c r="O5" i="2" s="1"/>
  <c r="Q5" i="2" s="1"/>
  <c r="K5" i="2"/>
  <c r="U49" i="3" l="1"/>
  <c r="V49" i="3" s="1"/>
  <c r="V76" i="3"/>
  <c r="V60" i="3"/>
  <c r="V93" i="3" s="1"/>
  <c r="V75" i="3"/>
  <c r="V59" i="3"/>
  <c r="V92" i="3" s="1"/>
  <c r="V74" i="3"/>
  <c r="P127" i="3"/>
  <c r="S122" i="3"/>
  <c r="S123" i="3"/>
  <c r="P128" i="3"/>
  <c r="Y6" i="2"/>
  <c r="AA6" i="2" s="1"/>
  <c r="K6" i="2" s="1"/>
  <c r="R12" i="2"/>
  <c r="P5" i="2"/>
  <c r="X6" i="2" s="1"/>
  <c r="Z6" i="2" s="1"/>
  <c r="J6" i="2" s="1"/>
  <c r="V77" i="3" l="1"/>
  <c r="V61" i="3"/>
  <c r="V94" i="3" s="1"/>
  <c r="S127" i="3"/>
  <c r="V122" i="3"/>
  <c r="V127" i="3" s="1"/>
  <c r="S128" i="3"/>
  <c r="V123" i="3"/>
  <c r="V128" i="3" s="1"/>
  <c r="G6" i="2"/>
  <c r="R13" i="2"/>
  <c r="F6" i="2"/>
  <c r="U6" i="2" s="1"/>
  <c r="W6" i="2" s="1"/>
  <c r="O6" i="2" s="1"/>
  <c r="R14" i="2" l="1"/>
  <c r="Y7" i="2"/>
  <c r="AA7" i="2" s="1"/>
  <c r="X7" i="2" l="1"/>
  <c r="Z7" i="2" s="1"/>
  <c r="R15" i="2"/>
  <c r="G7" i="2"/>
  <c r="K7" i="2"/>
  <c r="J7" i="2" l="1"/>
  <c r="F7" i="2"/>
  <c r="U7" i="2" s="1"/>
  <c r="O7" i="2" s="1"/>
  <c r="R16" i="2"/>
  <c r="P7" i="2" l="1"/>
  <c r="X8" i="2" s="1"/>
  <c r="Z8" i="2" s="1"/>
  <c r="Q7" i="2"/>
  <c r="Y8" i="2" s="1"/>
  <c r="AA8" i="2" s="1"/>
  <c r="G8" i="2" s="1"/>
  <c r="J8" i="2"/>
  <c r="R17" i="2"/>
  <c r="F8" i="2"/>
  <c r="K8" i="2" l="1"/>
  <c r="W8" i="2"/>
  <c r="R18" i="2"/>
  <c r="O8" i="2" l="1"/>
  <c r="Q8" i="2" s="1"/>
  <c r="Y9" i="2" s="1"/>
  <c r="AA9" i="2" s="1"/>
  <c r="R19" i="2"/>
  <c r="G9" i="2" l="1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Q9" i="2" l="1"/>
  <c r="Y10" i="2" s="1"/>
  <c r="AA10" i="2" s="1"/>
  <c r="G10" i="2" s="1"/>
  <c r="R21" i="2"/>
  <c r="F10" i="2"/>
  <c r="U10" i="2" l="1"/>
  <c r="W10" i="2" s="1"/>
  <c r="O10" i="2" s="1"/>
  <c r="Q10" i="2" s="1"/>
  <c r="K10" i="2"/>
  <c r="R22" i="2"/>
  <c r="Y11" i="2" l="1"/>
  <c r="P10" i="2"/>
  <c r="X11" i="2" s="1"/>
  <c r="Z11" i="2" s="1"/>
  <c r="J11" i="2" s="1"/>
  <c r="R23" i="2"/>
  <c r="AA11" i="2" l="1"/>
  <c r="G11" i="2" s="1"/>
  <c r="F11" i="2"/>
  <c r="U11" i="2" s="1"/>
  <c r="W11" i="2" s="1"/>
  <c r="O11" i="2" s="1"/>
  <c r="P11" i="2" s="1"/>
  <c r="X12" i="2" s="1"/>
  <c r="Z12" i="2" s="1"/>
  <c r="J12" i="2" s="1"/>
  <c r="R24" i="2"/>
  <c r="K11" i="2" l="1"/>
  <c r="Q11" i="2"/>
  <c r="R25" i="2"/>
  <c r="F12" i="2"/>
  <c r="Y12" i="2" l="1"/>
  <c r="AA12" i="2" s="1"/>
  <c r="R26" i="2"/>
  <c r="G12" i="2" l="1"/>
  <c r="U12" i="2" s="1"/>
  <c r="W12" i="2" s="1"/>
  <c r="O12" i="2" s="1"/>
  <c r="Q12" i="2" s="1"/>
  <c r="K12" i="2"/>
  <c r="R27" i="2"/>
  <c r="Y13" i="2" l="1"/>
  <c r="AA13" i="2" s="1"/>
  <c r="G13" i="2" s="1"/>
  <c r="P12" i="2"/>
  <c r="X13" i="2" s="1"/>
  <c r="Z13" i="2" s="1"/>
  <c r="J13" i="2" s="1"/>
  <c r="R28" i="2"/>
  <c r="K13" i="2" l="1"/>
  <c r="F13" i="2"/>
  <c r="U13" i="2" s="1"/>
  <c r="W13" i="2" s="1"/>
  <c r="O13" i="2" s="1"/>
  <c r="Q13" i="2" s="1"/>
  <c r="Y14" i="2" s="1"/>
  <c r="AA14" i="2" s="1"/>
  <c r="G14" i="2" s="1"/>
  <c r="R30" i="2"/>
  <c r="R29" i="2"/>
  <c r="K14" i="2" l="1"/>
  <c r="P13" i="2"/>
  <c r="X14" i="2" s="1"/>
  <c r="Z14" i="2" s="1"/>
  <c r="J14" i="2" s="1"/>
  <c r="F14" i="2" l="1"/>
  <c r="U14" i="2" s="1"/>
  <c r="W14" i="2" s="1"/>
  <c r="O14" i="2" s="1"/>
  <c r="P14" i="2" s="1"/>
  <c r="X15" i="2" s="1"/>
  <c r="Z15" i="2" s="1"/>
  <c r="J15" i="2" s="1"/>
  <c r="F15" i="2" l="1"/>
  <c r="Q14" i="2"/>
  <c r="Y15" i="2" s="1"/>
  <c r="AA15" i="2" s="1"/>
  <c r="G15" i="2" s="1"/>
  <c r="U15" i="2" s="1"/>
  <c r="W15" i="2" s="1"/>
  <c r="O15" i="2" s="1"/>
  <c r="Q15" i="2" s="1"/>
  <c r="K15" i="2" l="1"/>
  <c r="Y16" i="2" s="1"/>
  <c r="AA16" i="2" s="1"/>
  <c r="G16" i="2" s="1"/>
  <c r="P15" i="2"/>
  <c r="X16" i="2" s="1"/>
  <c r="Z16" i="2" s="1"/>
  <c r="J16" i="2" s="1"/>
  <c r="K16" i="2" l="1"/>
  <c r="F16" i="2"/>
  <c r="U16" i="2" s="1"/>
  <c r="W16" i="2" s="1"/>
  <c r="O16" i="2" s="1"/>
  <c r="P16" i="2" s="1"/>
  <c r="X17" i="2" s="1"/>
  <c r="Z17" i="2" s="1"/>
  <c r="J17" i="2" s="1"/>
  <c r="Q16" i="2" l="1"/>
  <c r="Y17" i="2" s="1"/>
  <c r="AA17" i="2" s="1"/>
  <c r="K17" i="2" s="1"/>
  <c r="F17" i="2"/>
  <c r="G17" i="2" l="1"/>
  <c r="U17" i="2" s="1"/>
  <c r="W17" i="2" s="1"/>
  <c r="O17" i="2" s="1"/>
  <c r="P17" i="2" s="1"/>
  <c r="X18" i="2" s="1"/>
  <c r="Z18" i="2" s="1"/>
  <c r="J18" i="2" s="1"/>
  <c r="Q17" i="2" l="1"/>
  <c r="Y18" i="2" s="1"/>
  <c r="AA18" i="2" s="1"/>
  <c r="G18" i="2" s="1"/>
  <c r="F18" i="2"/>
  <c r="K18" i="2" l="1"/>
  <c r="U18" i="2"/>
  <c r="W18" i="2" s="1"/>
  <c r="O18" i="2" s="1"/>
  <c r="Q18" i="2" s="1"/>
  <c r="Y19" i="2" l="1"/>
  <c r="AA19" i="2" s="1"/>
  <c r="G19" i="2" s="1"/>
  <c r="P18" i="2"/>
  <c r="X19" i="2" s="1"/>
  <c r="Z19" i="2" s="1"/>
  <c r="J19" i="2" s="1"/>
  <c r="K19" i="2" l="1"/>
  <c r="F19" i="2"/>
  <c r="U19" i="2" s="1"/>
  <c r="W19" i="2" s="1"/>
  <c r="O19" i="2" s="1"/>
  <c r="P19" i="2" s="1"/>
  <c r="X20" i="2" s="1"/>
  <c r="Z20" i="2" s="1"/>
  <c r="Q19" i="2" l="1"/>
  <c r="Y20" i="2" s="1"/>
  <c r="AA20" i="2" s="1"/>
  <c r="G20" i="2" s="1"/>
  <c r="J20" i="2"/>
  <c r="F20" i="2"/>
  <c r="K20" i="2" l="1"/>
  <c r="U20" i="2"/>
  <c r="W20" i="2" s="1"/>
  <c r="O20" i="2" l="1"/>
  <c r="P20" i="2" s="1"/>
  <c r="X21" i="2" s="1"/>
  <c r="Z21" i="2" s="1"/>
  <c r="J21" i="2" l="1"/>
  <c r="F21" i="2"/>
  <c r="Q20" i="2"/>
  <c r="Y21" i="2" s="1"/>
  <c r="AA21" i="2" s="1"/>
  <c r="G21" i="2" s="1"/>
  <c r="U21" i="2" l="1"/>
  <c r="W21" i="2" s="1"/>
  <c r="O21" i="2" s="1"/>
  <c r="Q21" i="2" s="1"/>
  <c r="K21" i="2"/>
  <c r="P21" i="2" l="1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K22" i="2" l="1"/>
  <c r="Y23" i="2" s="1"/>
  <c r="AA23" i="2" s="1"/>
  <c r="P22" i="2"/>
  <c r="X23" i="2" s="1"/>
  <c r="Z23" i="2" s="1"/>
  <c r="J23" i="2" s="1"/>
  <c r="G23" i="2" l="1"/>
  <c r="K23" i="2"/>
  <c r="F23" i="2"/>
  <c r="U23" i="2" s="1"/>
  <c r="W23" i="2" s="1"/>
  <c r="O23" i="2" s="1"/>
  <c r="Q23" i="2" s="1"/>
  <c r="Y24" i="2" s="1"/>
  <c r="AA24" i="2" s="1"/>
  <c r="P23" i="2" l="1"/>
  <c r="X24" i="2" s="1"/>
  <c r="Z24" i="2" s="1"/>
  <c r="J24" i="2" s="1"/>
  <c r="G24" i="2"/>
  <c r="K24" i="2"/>
  <c r="F24" i="2" l="1"/>
  <c r="U24" i="2" s="1"/>
  <c r="W24" i="2" s="1"/>
  <c r="O24" i="2" s="1"/>
  <c r="P24" i="2" s="1"/>
  <c r="X25" i="2" s="1"/>
  <c r="Z25" i="2" s="1"/>
  <c r="J25" i="2" s="1"/>
  <c r="Q24" i="2" l="1"/>
  <c r="Y25" i="2" s="1"/>
  <c r="AA25" i="2" s="1"/>
  <c r="G25" i="2" s="1"/>
  <c r="F25" i="2"/>
  <c r="K25" i="2" l="1"/>
  <c r="U25" i="2"/>
  <c r="W25" i="2" s="1"/>
  <c r="O25" i="2" s="1"/>
  <c r="Q25" i="2" s="1"/>
  <c r="Y26" i="2" s="1"/>
  <c r="AA26" i="2" s="1"/>
  <c r="G26" i="2" s="1"/>
  <c r="P25" i="2" l="1"/>
  <c r="X26" i="2" s="1"/>
  <c r="Z26" i="2" s="1"/>
  <c r="J26" i="2" s="1"/>
  <c r="K26" i="2"/>
  <c r="F26" i="2" l="1"/>
  <c r="U26" i="2" s="1"/>
  <c r="W26" i="2" s="1"/>
  <c r="O26" i="2" s="1"/>
  <c r="Q26" i="2" s="1"/>
  <c r="Y27" i="2" s="1"/>
  <c r="AA27" i="2" s="1"/>
  <c r="P26" i="2" l="1"/>
  <c r="X27" i="2" s="1"/>
  <c r="Z27" i="2" s="1"/>
  <c r="J27" i="2" s="1"/>
  <c r="G27" i="2"/>
  <c r="K27" i="2"/>
  <c r="F27" i="2" l="1"/>
  <c r="U27" i="2" s="1"/>
  <c r="W27" i="2" s="1"/>
  <c r="O27" i="2" s="1"/>
  <c r="P27" i="2" s="1"/>
  <c r="X28" i="2" s="1"/>
  <c r="Z28" i="2" s="1"/>
  <c r="J28" i="2" s="1"/>
  <c r="Q27" i="2" l="1"/>
  <c r="Y28" i="2" s="1"/>
  <c r="AA28" i="2" s="1"/>
  <c r="G28" i="2" s="1"/>
  <c r="F28" i="2"/>
  <c r="U28" i="2" l="1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<sst xmlns="http://schemas.openxmlformats.org/spreadsheetml/2006/main" count="247" uniqueCount="179">
  <si>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</si>
  <si>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</si>
  <si>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</si>
  <si>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</si>
  <si>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</si>
  <si>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</si>
  <si>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</si>
  <si>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</si>
  <si>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</si>
  <si>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</si>
  <si>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</si>
  <si>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</si>
  <si>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</si>
  <si>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</si>
  <si>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</si>
  <si>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</si>
  <si>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</si>
  <si>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</si>
  <si>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</si>
  <si>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</si>
  <si>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</si>
  <si>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</si>
  <si>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</si>
  <si>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</si>
  <si>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</si>
  <si>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</si>
  <si>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</si>
  <si>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</si>
  <si>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</si>
  <si>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</si>
  <si>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</si>
  <si>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</si>
  <si>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</si>
  <si>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</si>
  <si>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</si>
  <si>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</si>
  <si>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</si>
  <si>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</si>
  <si>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</si>
  <si>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</si>
  <si>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</si>
  <si>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</si>
  <si>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</si>
  <si>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</si>
  <si>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</si>
  <si>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</si>
  <si>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</si>
  <si>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</si>
  <si>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</si>
  <si>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</si>
  <si>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</si>
  <si>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</si>
  <si>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</si>
  <si>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</si>
  <si>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</si>
  <si>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</si>
  <si>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</si>
  <si>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</si>
  <si>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</si>
  <si>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</t>
  </si>
  <si>
    <t>sequestration_curve</t>
  </si>
  <si>
    <t>function</t>
  </si>
  <si>
    <t>base factor</t>
  </si>
  <si>
    <t>base average stock</t>
  </si>
  <si>
    <t>current average stock</t>
  </si>
  <si>
    <t>c available from new sequestration</t>
  </si>
  <si>
    <t>t = 1</t>
  </si>
  <si>
    <t>t = 2</t>
  </si>
  <si>
    <t>land conversion into</t>
  </si>
  <si>
    <t>initial area  from steady state</t>
  </si>
  <si>
    <t>stock in protected areas</t>
  </si>
  <si>
    <t>nominal annual sequestration (tonna/ha/year)</t>
  </si>
  <si>
    <t>Aforestation</t>
  </si>
  <si>
    <t>area_from_t1</t>
  </si>
  <si>
    <t>c_stock_t0</t>
  </si>
  <si>
    <t>c_stock_t1</t>
  </si>
  <si>
    <t>c_stock_t2</t>
  </si>
  <si>
    <t>Protection</t>
  </si>
  <si>
    <t>Removals</t>
  </si>
  <si>
    <t>original forest</t>
  </si>
  <si>
    <t>average stock per ha available (accounts for min frac)</t>
  </si>
  <si>
    <t>new forest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</si>
  <si>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</si>
  <si>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</si>
  <si>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</si>
  <si>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</si>
  <si>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</si>
  <si>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</si>
  <si>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protection applies in an oldest first set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</si>
  <si>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</si>
  <si>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</si>
  <si>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</si>
  <si>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</si>
  <si>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</si>
  <si>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</si>
  <si>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</si>
  <si>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adjusted sequestration in original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</si>
  <si>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</si>
  <si>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</si>
  <si>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</si>
  <si>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</si>
  <si>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</si>
  <si>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</si>
  <si>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</si>
  <si>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</si>
  <si>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</si>
  <si>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</si>
  <si>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</si>
  <si>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c stock</t>
  </si>
  <si>
    <t>6 bins</t>
  </si>
  <si>
    <t>descrip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</si>
  <si>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</si>
  <si>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</si>
  <si>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</si>
  <si>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</si>
  <si>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</si>
  <si>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</si>
  <si>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</si>
  <si>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</si>
  <si>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</si>
  <si>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D = P + I - E</t>
  </si>
  <si>
    <t>FRAC_IMPORTS = I/(P + I - E)</t>
  </si>
  <si>
    <t>adjusted sequestration_factor_t0</t>
  </si>
  <si>
    <t>adjusted sequestration_factor_t1</t>
  </si>
  <si>
    <t>adjusted sequestration_factor_t2</t>
  </si>
  <si>
    <t>adjusted sequestration_factor_t3</t>
  </si>
  <si>
    <t>removals_from_nf_planted_at_t0</t>
  </si>
  <si>
    <t>removals_from_nf_planted_at_t1</t>
  </si>
  <si>
    <t>removals_from_nf_planted_at_t2</t>
  </si>
  <si>
    <t>removals_from_nf_planted_at_t3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</si>
  <si>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</si>
  <si>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</si>
  <si>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</si>
  <si>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</si>
  <si>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</si>
  <si>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</si>
  <si>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c_stock_available_for_harvest_planted_at_t0</t>
  </si>
  <si>
    <t>c_stock_available_for_harvest_planted_at_t1</t>
  </si>
  <si>
    <t>c_stock_available_for_harvest_planted_at_t2</t>
  </si>
  <si>
    <t>c_stock_available_for_harvest_planted_at_t3</t>
  </si>
  <si>
    <t>base tonne C/ha reqd maintained</t>
  </si>
  <si>
    <t>base storage tonne C/ha</t>
  </si>
  <si>
    <t>removals from nf</t>
  </si>
  <si>
    <t>buffer</t>
  </si>
  <si>
    <t>buffer zone (fraction of stock above dead storage which contributes to slowing removals)</t>
  </si>
  <si>
    <t>some reservoir terms</t>
  </si>
  <si>
    <t>healthy storage available</t>
  </si>
  <si>
    <t>removals allocation</t>
  </si>
  <si>
    <t>removals from original</t>
  </si>
  <si>
    <t>total starting stock</t>
  </si>
  <si>
    <t xml:space="preserve">stock in unprotected reservoir dead storage </t>
  </si>
  <si>
    <t>stock to allocate from original pool excluding conversion</t>
  </si>
  <si>
    <t>total starting stock in original</t>
  </si>
  <si>
    <t>total starting stock in new</t>
  </si>
  <si>
    <t>total accessible pool</t>
  </si>
  <si>
    <t>removals  unmet by original</t>
  </si>
  <si>
    <t>drops</t>
  </si>
  <si>
    <t>cumulative_vals</t>
  </si>
  <si>
    <t xml:space="preserve">c available from original conversion </t>
  </si>
  <si>
    <t>conversion away from new forest</t>
  </si>
  <si>
    <t>base sequestration factor from NPP</t>
  </si>
  <si>
    <t>stock in new forest if no removals (includes changes to area of new forest)</t>
  </si>
  <si>
    <t>c_available_for_removals_mask_t0</t>
  </si>
  <si>
    <t>c_available_for_removals_mask_t1</t>
  </si>
  <si>
    <t>c_available_for_removals_mask_t2</t>
  </si>
  <si>
    <t>c_available_for_removals_mask_t3</t>
  </si>
  <si>
    <t>adjusted new forest sequestration factor from NPP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</si>
  <si>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</si>
  <si>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</si>
  <si>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</si>
  <si>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</si>
  <si>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</si>
  <si>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</si>
  <si>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calculate how much is available for removals when considering dead storage</t>
  </si>
  <si>
    <t>(percentage of forest stock available out of full stock not in dead storage ) carbon_stock_factor</t>
  </si>
  <si>
    <t>frac_removables_satisficable</t>
  </si>
  <si>
    <t xml:space="preserve">this is the fraciton of total wood removal deamands from forest that can be taken </t>
  </si>
  <si>
    <t xml:space="preserve">dead storage (minimum fraction of original stock that must remain on the land to allow it to remain that land use type). Note that sequestration factors dcline linearly below the </t>
  </si>
  <si>
    <t>sequestration adjustment threshold--below this carbon stock depletion level, sequestration factors will start to decline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</si>
</sst>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L150"/>
  <sheetViews>
    <sheetView tabSelected="1" topLeftCell="A46" zoomScale="125" zoomScaleNormal="84" workbookViewId="0">
      <selection activeCell="H69" sqref="H69"/>
    </sheetView>
  </sheetViews>
  <sheetFormatPr baseColWidth="10" defaultRowHeight="16" x14ac:dyDescent="0.2"/>
  <cols>
    <col min="1" max="1" width="25.6640625" style="22" customWidth="1"/>
    <col min="2" max="2" width="37.6640625" style="10" customWidth="1"/>
    <col min="3" max="3" width="11" style="4" customWidth="1"/>
    <col min="4" max="4" width="15.1640625" style="4" customWidth="1"/>
    <col min="5" max="5" width="11.5" style="5" customWidth="1"/>
    <col min="6" max="7" width="13.33203125" style="4" customWidth="1"/>
    <col min="8" max="8" width="11.83203125" style="5" customWidth="1"/>
    <col min="9" max="10" width="13.33203125" style="4" customWidth="1"/>
    <col min="11" max="11" width="21.1640625" style="5" customWidth="1"/>
    <col min="12" max="12" width="21.1640625" style="4" customWidth="1"/>
    <col min="13" max="13" width="13.33203125" style="4" customWidth="1"/>
    <col min="14" max="14" width="22.6640625" style="5" customWidth="1"/>
    <col min="15" max="16" width="13.33203125" style="4" customWidth="1"/>
    <col min="17" max="17" width="23.6640625" style="5" customWidth="1"/>
    <col min="18" max="19" width="13.33203125" style="4" customWidth="1"/>
    <col min="20" max="20" width="23.6640625" style="5" customWidth="1"/>
    <col min="21" max="22" width="13.33203125" style="4" customWidth="1"/>
    <col min="23" max="25" width="14.6640625" customWidth="1"/>
    <col min="26" max="28" width="14.1640625" customWidth="1"/>
    <col min="29" max="29" width="4.1640625" customWidth="1"/>
    <col min="31" max="31" width="9.1640625" customWidth="1"/>
    <col min="32" max="32" width="3.33203125" customWidth="1"/>
  </cols>
  <sheetData>
    <row r="1" spans="1:31" s="7" customFormat="1" x14ac:dyDescent="0.2">
      <c r="A1" s="22"/>
      <c r="B1" s="10"/>
      <c r="C1" s="5" t="s">
        <v>60</v>
      </c>
      <c r="D1" s="5" t="s">
        <v>62</v>
      </c>
      <c r="E1" s="5">
        <v>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spans="1:31" s="7" customFormat="1" x14ac:dyDescent="0.2">
      <c r="A2" s="22"/>
      <c r="B2" s="10"/>
      <c r="C2" s="5" t="s">
        <v>61</v>
      </c>
      <c r="D2" s="5" t="s">
        <v>63</v>
      </c>
      <c r="E2" s="27">
        <v>150</v>
      </c>
      <c r="F2" s="27"/>
      <c r="G2" s="5"/>
      <c r="H2" s="5"/>
      <c r="I2" s="5"/>
      <c r="J2" s="5"/>
      <c r="K2" s="5"/>
      <c r="L2" s="5"/>
      <c r="M2" s="4">
        <v>249700</v>
      </c>
      <c r="N2" s="5"/>
      <c r="O2" s="5"/>
      <c r="P2" s="5"/>
      <c r="Q2" s="5"/>
      <c r="R2" s="5"/>
      <c r="S2" s="5"/>
      <c r="T2" s="5"/>
      <c r="U2" s="5"/>
      <c r="V2" s="5"/>
    </row>
    <row r="3" spans="1:31" s="7" customFormat="1" x14ac:dyDescent="0.2">
      <c r="A3" s="22"/>
      <c r="B3" s="10"/>
      <c r="C3" s="5"/>
      <c r="D3" s="5" t="s">
        <v>64</v>
      </c>
      <c r="E3" s="27">
        <v>30</v>
      </c>
      <c r="F3" s="27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</row>
    <row r="4" spans="1:31" ht="60" customHeight="1" x14ac:dyDescent="0.2">
      <c r="C4" s="8">
        <v>0</v>
      </c>
      <c r="D4" s="8"/>
      <c r="E4" s="16"/>
      <c r="F4" s="20">
        <v>1</v>
      </c>
      <c r="G4" s="20"/>
      <c r="H4" s="18"/>
      <c r="I4" s="20">
        <v>2</v>
      </c>
      <c r="J4" s="20"/>
      <c r="K4" s="18"/>
      <c r="L4" s="20">
        <v>3</v>
      </c>
      <c r="M4" s="20"/>
      <c r="N4" s="18"/>
      <c r="O4" s="20">
        <v>4</v>
      </c>
      <c r="P4" s="20"/>
      <c r="Q4" s="18"/>
      <c r="R4" s="20">
        <v>5</v>
      </c>
      <c r="S4" s="20"/>
      <c r="T4" s="18"/>
      <c r="U4" s="20">
        <v>6</v>
      </c>
      <c r="V4" s="20"/>
      <c r="Z4" s="30" t="s">
        <v>97</v>
      </c>
      <c r="AA4" s="30"/>
      <c r="AB4" s="30"/>
      <c r="AE4" t="s">
        <v>120</v>
      </c>
    </row>
    <row r="5" spans="1:31" ht="36" customHeight="1" x14ac:dyDescent="0.2">
      <c r="A5" s="23" t="s">
        <v>23</v>
      </c>
      <c r="B5" s="23"/>
      <c r="C5" s="29" t="s">
        <v>51</v>
      </c>
      <c r="D5" s="29"/>
      <c r="E5" s="17"/>
      <c r="F5" s="29" t="s">
        <v>66</v>
      </c>
      <c r="G5" s="29"/>
      <c r="I5" s="29" t="s">
        <v>67</v>
      </c>
      <c r="J5" s="29"/>
      <c r="L5" s="29" t="s">
        <v>84</v>
      </c>
      <c r="M5" s="29"/>
      <c r="O5" s="29" t="s">
        <v>90</v>
      </c>
      <c r="P5" s="29"/>
      <c r="R5" s="29" t="s">
        <v>91</v>
      </c>
      <c r="S5" s="29"/>
      <c r="U5" s="29" t="s">
        <v>171</v>
      </c>
      <c r="V5" s="29"/>
      <c r="Z5" s="21" t="s">
        <v>33</v>
      </c>
      <c r="AA5" s="21" t="s">
        <v>38</v>
      </c>
      <c r="AB5" s="21" t="s">
        <v>41</v>
      </c>
      <c r="AE5" t="s">
        <v>121</v>
      </c>
    </row>
    <row r="6" spans="1:31" ht="17" x14ac:dyDescent="0.2">
      <c r="A6" s="22" t="s">
        <v>24</v>
      </c>
      <c r="B6" s="10" t="s">
        <v>25</v>
      </c>
      <c r="C6" s="4" t="s">
        <v>24</v>
      </c>
      <c r="D6" s="4" t="s">
        <v>25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Z6" s="19">
        <v>0</v>
      </c>
      <c r="AA6" s="19">
        <f>SUM(Z$6:Z6)</f>
        <v>0</v>
      </c>
      <c r="AB6" s="19">
        <v>2</v>
      </c>
    </row>
    <row r="7" spans="1:31" ht="17" x14ac:dyDescent="0.2">
      <c r="B7" s="10" t="s">
        <v>69</v>
      </c>
      <c r="C7" s="4">
        <v>10000</v>
      </c>
      <c r="D7" s="4">
        <v>250000</v>
      </c>
      <c r="F7" s="4">
        <f>C7-C9</f>
        <v>9950</v>
      </c>
      <c r="G7" s="4">
        <f>MAX(D7-D9,0)</f>
        <v>249900</v>
      </c>
      <c r="I7" s="4">
        <f>F7-F9</f>
        <v>9888</v>
      </c>
      <c r="J7" s="4">
        <f>MAX(G7-G9,0)</f>
        <v>249790</v>
      </c>
      <c r="L7" s="4">
        <f>I7-I9</f>
        <v>9830</v>
      </c>
      <c r="M7" s="4">
        <f>MAX(J7-J9,0)</f>
        <v>249696</v>
      </c>
      <c r="O7" s="4">
        <f>L7-L9</f>
        <v>9760</v>
      </c>
      <c r="P7" s="4">
        <f>MAX(M7-M9,0)</f>
        <v>249504</v>
      </c>
      <c r="R7" s="4">
        <f>O7-O9</f>
        <v>9660</v>
      </c>
      <c r="S7" s="4">
        <f>MAX(P7-P9,0)</f>
        <v>249465</v>
      </c>
      <c r="U7" s="4">
        <f>R7-R9</f>
        <v>9562</v>
      </c>
      <c r="V7" s="4">
        <f>MAX(S7-S9,0)</f>
        <v>249360</v>
      </c>
      <c r="Z7" s="19">
        <v>0.01</v>
      </c>
      <c r="AA7" s="19">
        <f>SUM(Z$6:Z7)</f>
        <v>0.01</v>
      </c>
      <c r="AB7" s="19">
        <v>2</v>
      </c>
      <c r="AD7" s="5">
        <v>4000000</v>
      </c>
      <c r="AE7">
        <f>ROUND(AD7/4,0)</f>
        <v>1000000</v>
      </c>
    </row>
    <row r="8" spans="1:31" ht="17" x14ac:dyDescent="0.2">
      <c r="B8" s="10" t="s">
        <v>135</v>
      </c>
      <c r="C8" s="4">
        <f>C7</f>
        <v>10000</v>
      </c>
      <c r="D8" s="4">
        <f>D7</f>
        <v>250000</v>
      </c>
      <c r="F8" s="4">
        <f>F7</f>
        <v>9950</v>
      </c>
      <c r="G8" s="4">
        <f>D8-D9+D11</f>
        <v>249985</v>
      </c>
      <c r="I8" s="4">
        <f>I7</f>
        <v>9888</v>
      </c>
      <c r="J8" s="4">
        <f>G8-G9+G11</f>
        <v>249955</v>
      </c>
      <c r="L8" s="4">
        <f>L7</f>
        <v>9830</v>
      </c>
      <c r="M8" s="4">
        <f>J8-J9+J11</f>
        <v>249953</v>
      </c>
      <c r="O8" s="4">
        <f>O7</f>
        <v>9760</v>
      </c>
      <c r="P8" s="4">
        <f>M8-M9+M11</f>
        <v>249804</v>
      </c>
      <c r="R8" s="4">
        <f>R7</f>
        <v>9660</v>
      </c>
      <c r="S8" s="4">
        <f>P8-P9+P11</f>
        <v>249857</v>
      </c>
      <c r="U8" s="4">
        <f>U7</f>
        <v>9562</v>
      </c>
      <c r="V8" s="4">
        <f>S8-S9+S11</f>
        <v>249795</v>
      </c>
      <c r="Z8" s="19">
        <v>0.05</v>
      </c>
      <c r="AA8" s="19">
        <f>SUM(Z$6:Z8)</f>
        <v>6.0000000000000005E-2</v>
      </c>
      <c r="AB8" s="19">
        <v>2</v>
      </c>
      <c r="AD8" s="5"/>
    </row>
    <row r="9" spans="1:31" ht="17" x14ac:dyDescent="0.2">
      <c r="B9" s="10" t="s">
        <v>55</v>
      </c>
      <c r="C9" s="4">
        <v>50</v>
      </c>
      <c r="D9" s="4">
        <v>100</v>
      </c>
      <c r="F9" s="4">
        <v>62</v>
      </c>
      <c r="G9" s="4">
        <v>110</v>
      </c>
      <c r="I9" s="4">
        <v>58</v>
      </c>
      <c r="J9" s="4">
        <v>94</v>
      </c>
      <c r="L9" s="4">
        <v>70</v>
      </c>
      <c r="M9" s="4">
        <v>192</v>
      </c>
      <c r="O9" s="4">
        <v>100</v>
      </c>
      <c r="P9" s="4">
        <v>39</v>
      </c>
      <c r="R9" s="4">
        <v>98</v>
      </c>
      <c r="S9" s="4">
        <v>105</v>
      </c>
      <c r="U9" s="4">
        <v>98</v>
      </c>
      <c r="V9" s="4">
        <v>105</v>
      </c>
      <c r="Z9" s="19">
        <v>0.12</v>
      </c>
      <c r="AA9" s="19">
        <f>SUM(Z$6:Z9)</f>
        <v>0.18</v>
      </c>
      <c r="AB9" s="19">
        <v>2</v>
      </c>
      <c r="AD9" s="5">
        <v>4100000</v>
      </c>
      <c r="AE9">
        <f t="shared" ref="AE9:AE149" si="0">ROUND(AD9/4,0)</f>
        <v>1025000</v>
      </c>
    </row>
    <row r="10" spans="1:31" ht="17" x14ac:dyDescent="0.2">
      <c r="B10" s="10" t="s">
        <v>134</v>
      </c>
      <c r="D10" s="4">
        <f>-MIN(D7-D9,0)</f>
        <v>0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Z10" s="19">
        <v>0.2</v>
      </c>
      <c r="AA10" s="19">
        <f>SUM(Z$6:Z10)</f>
        <v>0.38</v>
      </c>
      <c r="AB10" s="19">
        <v>20</v>
      </c>
      <c r="AD10" s="5"/>
    </row>
    <row r="11" spans="1:31" ht="17" x14ac:dyDescent="0.2">
      <c r="B11" s="10" t="s">
        <v>68</v>
      </c>
      <c r="D11" s="4">
        <v>85</v>
      </c>
      <c r="G11" s="4">
        <v>80</v>
      </c>
      <c r="J11" s="4">
        <v>92</v>
      </c>
      <c r="M11" s="4">
        <v>43</v>
      </c>
      <c r="P11" s="4">
        <v>92</v>
      </c>
      <c r="S11" s="4">
        <v>43</v>
      </c>
      <c r="V11" s="4">
        <v>43</v>
      </c>
      <c r="Z11" s="19">
        <v>0.36</v>
      </c>
      <c r="AA11" s="19">
        <f>SUM(Z$6:Z11)</f>
        <v>0.74</v>
      </c>
      <c r="AB11" s="19">
        <v>20</v>
      </c>
      <c r="AD11" s="5"/>
    </row>
    <row r="12" spans="1:31" x14ac:dyDescent="0.2">
      <c r="Z12" s="19">
        <v>0.6</v>
      </c>
      <c r="AA12" s="19">
        <f>SUM(Z$6:Z12)</f>
        <v>1.3399999999999999</v>
      </c>
      <c r="AB12" s="19">
        <v>20</v>
      </c>
      <c r="AD12" s="5"/>
    </row>
    <row r="13" spans="1:31" ht="17" x14ac:dyDescent="0.2">
      <c r="B13" s="10" t="s">
        <v>54</v>
      </c>
      <c r="C13" s="4">
        <v>0.7</v>
      </c>
      <c r="F13" s="4">
        <v>0.7</v>
      </c>
      <c r="I13" s="4">
        <v>0.7</v>
      </c>
      <c r="L13" s="4">
        <v>0.7</v>
      </c>
      <c r="O13" s="4">
        <v>0.7</v>
      </c>
      <c r="R13" s="4">
        <v>0.7</v>
      </c>
      <c r="U13" s="4">
        <v>0.7</v>
      </c>
      <c r="Z13" s="19">
        <v>1.8</v>
      </c>
      <c r="AA13" s="19">
        <f>SUM(Z$6:Z13)</f>
        <v>3.1399999999999997</v>
      </c>
      <c r="AB13" s="19">
        <v>20</v>
      </c>
      <c r="AD13" s="5">
        <v>4250000</v>
      </c>
      <c r="AE13">
        <f t="shared" si="0"/>
        <v>1062500</v>
      </c>
    </row>
    <row r="14" spans="1:31" ht="85" x14ac:dyDescent="0.2">
      <c r="A14" s="28" t="s">
        <v>145</v>
      </c>
      <c r="B14" s="10" t="s">
        <v>177</v>
      </c>
      <c r="C14" s="4">
        <v>1E-3</v>
      </c>
      <c r="F14" s="4">
        <v>0.3</v>
      </c>
      <c r="I14" s="4">
        <v>0.3</v>
      </c>
      <c r="L14" s="4">
        <v>0.3</v>
      </c>
      <c r="O14" s="4">
        <v>0.3</v>
      </c>
      <c r="R14" s="4">
        <v>0.3</v>
      </c>
      <c r="U14" s="4">
        <v>0.3</v>
      </c>
      <c r="Z14" s="19">
        <v>3</v>
      </c>
      <c r="AA14" s="19">
        <f>SUM(Z$6:Z14)</f>
        <v>6.14</v>
      </c>
      <c r="AB14" s="19">
        <v>20</v>
      </c>
      <c r="AD14" s="5"/>
    </row>
    <row r="15" spans="1:31" ht="51" x14ac:dyDescent="0.2">
      <c r="A15" s="28"/>
      <c r="B15" s="10" t="s">
        <v>144</v>
      </c>
      <c r="C15" s="4">
        <v>0.2</v>
      </c>
      <c r="Z15" s="19">
        <v>6</v>
      </c>
      <c r="AA15" s="19">
        <f>SUM(Z$6:Z15)</f>
        <v>12.14</v>
      </c>
      <c r="AB15" s="19">
        <v>20</v>
      </c>
      <c r="AD15" s="5"/>
    </row>
    <row r="16" spans="1:31" ht="51" x14ac:dyDescent="0.2">
      <c r="B16" s="10" t="s">
        <v>178</v>
      </c>
      <c r="C16" s="4">
        <v>0.67</v>
      </c>
      <c r="Z16" s="19">
        <v>10</v>
      </c>
      <c r="AA16" s="19">
        <f>SUM(Z$6:Z16)</f>
        <v>22.14</v>
      </c>
      <c r="AB16" s="19">
        <v>20</v>
      </c>
      <c r="AD16" s="5"/>
    </row>
    <row r="17" spans="2:38" x14ac:dyDescent="0.2">
      <c r="Z17" s="19">
        <v>12</v>
      </c>
      <c r="AA17" s="19">
        <f>SUM(Z$6:Z17)</f>
        <v>34.14</v>
      </c>
      <c r="AB17" s="19">
        <v>20</v>
      </c>
      <c r="AD17" s="5"/>
    </row>
    <row r="18" spans="2:38" x14ac:dyDescent="0.2">
      <c r="Z18" s="19">
        <v>13.5</v>
      </c>
      <c r="AA18" s="19">
        <f>SUM(Z$6:Z18)</f>
        <v>47.64</v>
      </c>
      <c r="AB18" s="19">
        <v>20</v>
      </c>
      <c r="AD18" s="5"/>
    </row>
    <row r="19" spans="2:38" ht="17" x14ac:dyDescent="0.2">
      <c r="B19" s="10" t="s">
        <v>141</v>
      </c>
      <c r="C19" s="4">
        <v>150</v>
      </c>
      <c r="D19" s="4">
        <v>100</v>
      </c>
      <c r="Z19" s="19">
        <v>12</v>
      </c>
      <c r="AA19" s="19">
        <f>SUM(Z$6:Z19)</f>
        <v>59.64</v>
      </c>
      <c r="AB19" s="19">
        <v>20</v>
      </c>
      <c r="AD19" s="5">
        <v>4400000</v>
      </c>
      <c r="AE19">
        <f t="shared" si="0"/>
        <v>1100000</v>
      </c>
    </row>
    <row r="20" spans="2:38" ht="17" x14ac:dyDescent="0.2">
      <c r="B20" s="10" t="s">
        <v>140</v>
      </c>
      <c r="C20" s="4">
        <f>C$19*$C$14</f>
        <v>0.15</v>
      </c>
      <c r="D20" s="4">
        <f>D$19*$C$14</f>
        <v>0.1</v>
      </c>
      <c r="Z20" s="19">
        <v>10</v>
      </c>
      <c r="AA20" s="19">
        <f>SUM(Z$6:Z20)</f>
        <v>69.64</v>
      </c>
      <c r="AB20" s="19">
        <v>20</v>
      </c>
      <c r="AD20" s="5"/>
    </row>
    <row r="21" spans="2:38" ht="17" x14ac:dyDescent="0.2">
      <c r="B21" s="10" t="s">
        <v>146</v>
      </c>
      <c r="C21" s="4">
        <f>C19-C20</f>
        <v>149.85</v>
      </c>
      <c r="D21" s="4">
        <f>D19-D20</f>
        <v>99.9</v>
      </c>
      <c r="Z21" s="19">
        <v>6</v>
      </c>
      <c r="AA21" s="19">
        <f>SUM(Z$6:Z21)</f>
        <v>75.64</v>
      </c>
      <c r="AB21" s="19">
        <v>20</v>
      </c>
      <c r="AD21" s="5"/>
    </row>
    <row r="22" spans="2:38" x14ac:dyDescent="0.2">
      <c r="Z22" s="19">
        <v>3</v>
      </c>
      <c r="AA22" s="19">
        <f>SUM(Z$6:Z22)</f>
        <v>78.64</v>
      </c>
      <c r="AB22" s="19">
        <v>20</v>
      </c>
      <c r="AD22" s="5"/>
    </row>
    <row r="23" spans="2:38" ht="17" x14ac:dyDescent="0.2">
      <c r="B23" s="10" t="s">
        <v>52</v>
      </c>
      <c r="C23" s="4">
        <v>5000</v>
      </c>
      <c r="D23" s="4">
        <v>50000</v>
      </c>
      <c r="F23" s="4">
        <v>5000</v>
      </c>
      <c r="G23" s="4">
        <v>250000</v>
      </c>
      <c r="I23" s="4">
        <v>6000</v>
      </c>
      <c r="J23" s="4">
        <v>250000</v>
      </c>
      <c r="L23" s="4">
        <v>6000</v>
      </c>
      <c r="M23" s="4">
        <v>249800</v>
      </c>
      <c r="O23" s="4">
        <v>6500</v>
      </c>
      <c r="P23" s="4">
        <v>49000</v>
      </c>
      <c r="R23" s="4">
        <v>7200</v>
      </c>
      <c r="S23" s="4">
        <v>49500</v>
      </c>
      <c r="U23" s="4">
        <v>7200</v>
      </c>
      <c r="V23" s="4">
        <v>49500</v>
      </c>
      <c r="Z23" s="19">
        <v>1.8</v>
      </c>
      <c r="AA23" s="19">
        <f>SUM(Z$6:Z23)</f>
        <v>80.44</v>
      </c>
      <c r="AB23" s="19">
        <v>20</v>
      </c>
      <c r="AD23" s="5">
        <v>4420000</v>
      </c>
      <c r="AE23">
        <f t="shared" si="0"/>
        <v>1105000</v>
      </c>
      <c r="AI23" t="s">
        <v>109</v>
      </c>
    </row>
    <row r="24" spans="2:38" ht="17" x14ac:dyDescent="0.2">
      <c r="B24" s="15" t="s">
        <v>59</v>
      </c>
      <c r="C24" s="8"/>
      <c r="D24" s="8"/>
      <c r="F24" s="8"/>
      <c r="G24" s="8"/>
      <c r="I24" s="8"/>
      <c r="J24" s="8"/>
      <c r="L24" s="8"/>
      <c r="M24" s="8"/>
      <c r="O24" s="8"/>
      <c r="P24" s="8"/>
      <c r="R24" s="8"/>
      <c r="S24" s="8"/>
      <c r="U24" s="8"/>
      <c r="V24" s="8"/>
      <c r="AD24" s="5"/>
      <c r="AK24" t="s">
        <v>108</v>
      </c>
      <c r="AL24" t="s">
        <v>110</v>
      </c>
    </row>
    <row r="25" spans="2:38" ht="34" x14ac:dyDescent="0.2">
      <c r="B25" s="10" t="s">
        <v>71</v>
      </c>
      <c r="C25" s="4">
        <v>0.92</v>
      </c>
      <c r="D25" s="4">
        <v>0.3</v>
      </c>
      <c r="AD25" s="5"/>
      <c r="AI25" t="s">
        <v>102</v>
      </c>
      <c r="AJ25" t="s">
        <v>104</v>
      </c>
      <c r="AK25" t="s">
        <v>106</v>
      </c>
      <c r="AL25" t="s">
        <v>111</v>
      </c>
    </row>
    <row r="26" spans="2:38" x14ac:dyDescent="0.2">
      <c r="AD26" s="5"/>
      <c r="AI26" t="s">
        <v>102</v>
      </c>
      <c r="AJ26" t="s">
        <v>104</v>
      </c>
      <c r="AK26" t="s">
        <v>107</v>
      </c>
      <c r="AL26" t="s">
        <v>112</v>
      </c>
    </row>
    <row r="27" spans="2:38" x14ac:dyDescent="0.2">
      <c r="AD27" s="5">
        <v>4508400</v>
      </c>
      <c r="AE27">
        <f t="shared" si="0"/>
        <v>1127100</v>
      </c>
      <c r="AI27" t="s">
        <v>102</v>
      </c>
      <c r="AJ27" t="s">
        <v>105</v>
      </c>
      <c r="AK27" t="s">
        <v>106</v>
      </c>
      <c r="AL27" t="s">
        <v>113</v>
      </c>
    </row>
    <row r="28" spans="2:38" ht="17" x14ac:dyDescent="0.2">
      <c r="B28" s="15" t="s">
        <v>56</v>
      </c>
      <c r="C28" s="8"/>
      <c r="D28" s="8"/>
      <c r="F28" s="8"/>
      <c r="G28" s="8"/>
      <c r="I28" s="8"/>
      <c r="J28" s="8"/>
      <c r="L28" s="8"/>
      <c r="M28" s="8"/>
      <c r="O28" s="8"/>
      <c r="P28" s="8"/>
      <c r="R28" s="8"/>
      <c r="S28" s="8"/>
      <c r="U28" s="8"/>
      <c r="V28" s="8"/>
      <c r="AD28" s="5">
        <v>4598570</v>
      </c>
      <c r="AE28">
        <f t="shared" si="0"/>
        <v>1149643</v>
      </c>
      <c r="AI28" t="s">
        <v>102</v>
      </c>
      <c r="AJ28" t="s">
        <v>105</v>
      </c>
      <c r="AK28" t="s">
        <v>107</v>
      </c>
      <c r="AL28" t="s">
        <v>114</v>
      </c>
    </row>
    <row r="29" spans="2:38" ht="17" x14ac:dyDescent="0.2">
      <c r="B29" s="10" t="s">
        <v>53</v>
      </c>
      <c r="C29" s="4">
        <v>200000</v>
      </c>
      <c r="F29" s="4">
        <v>205000</v>
      </c>
      <c r="I29" s="4">
        <v>211000</v>
      </c>
      <c r="L29" s="4">
        <v>221000</v>
      </c>
      <c r="O29" s="4">
        <v>211000</v>
      </c>
      <c r="R29" s="4">
        <v>221000</v>
      </c>
      <c r="U29" s="4">
        <v>235000</v>
      </c>
      <c r="AD29" s="5">
        <v>4690540</v>
      </c>
      <c r="AE29">
        <f t="shared" si="0"/>
        <v>1172635</v>
      </c>
      <c r="AI29" t="s">
        <v>103</v>
      </c>
      <c r="AJ29" t="s">
        <v>104</v>
      </c>
      <c r="AK29" t="s">
        <v>107</v>
      </c>
      <c r="AL29" t="s">
        <v>115</v>
      </c>
    </row>
    <row r="30" spans="2:38" ht="17" x14ac:dyDescent="0.2">
      <c r="B30" s="10" t="s">
        <v>143</v>
      </c>
      <c r="AD30" s="5">
        <v>4784350</v>
      </c>
      <c r="AE30">
        <f t="shared" si="0"/>
        <v>1196088</v>
      </c>
      <c r="AI30" t="s">
        <v>103</v>
      </c>
      <c r="AJ30" t="s">
        <v>105</v>
      </c>
      <c r="AK30" t="s">
        <v>107</v>
      </c>
      <c r="AL30" t="s">
        <v>116</v>
      </c>
    </row>
    <row r="31" spans="2:38" x14ac:dyDescent="0.2">
      <c r="AD31" s="5">
        <v>4880040</v>
      </c>
      <c r="AE31">
        <f t="shared" si="0"/>
        <v>1220010</v>
      </c>
    </row>
    <row r="32" spans="2:38" x14ac:dyDescent="0.2">
      <c r="AD32" s="5">
        <v>4977640</v>
      </c>
      <c r="AE32">
        <f t="shared" si="0"/>
        <v>1244410</v>
      </c>
    </row>
    <row r="33" spans="2:31" x14ac:dyDescent="0.2">
      <c r="AD33" s="5">
        <v>5077190</v>
      </c>
      <c r="AE33">
        <f t="shared" si="0"/>
        <v>1269298</v>
      </c>
    </row>
    <row r="34" spans="2:31" x14ac:dyDescent="0.2">
      <c r="AD34" s="5">
        <v>5178730</v>
      </c>
      <c r="AE34">
        <f t="shared" si="0"/>
        <v>1294683</v>
      </c>
    </row>
    <row r="35" spans="2:31" x14ac:dyDescent="0.2">
      <c r="AD35" s="5">
        <v>5282300</v>
      </c>
      <c r="AE35">
        <f t="shared" si="0"/>
        <v>1320575</v>
      </c>
    </row>
    <row r="36" spans="2:31" ht="17" x14ac:dyDescent="0.2">
      <c r="B36" s="11" t="s">
        <v>57</v>
      </c>
      <c r="C36" s="12"/>
      <c r="D36" s="12"/>
      <c r="F36" s="12"/>
      <c r="G36" s="12"/>
      <c r="I36" s="12"/>
      <c r="J36" s="12"/>
      <c r="L36" s="12"/>
      <c r="M36" s="12"/>
      <c r="O36" s="12"/>
      <c r="P36" s="12"/>
      <c r="R36" s="12"/>
      <c r="S36" s="12"/>
      <c r="U36" s="12"/>
      <c r="V36" s="12"/>
      <c r="AD36" s="5">
        <v>5387950</v>
      </c>
      <c r="AE36">
        <f t="shared" si="0"/>
        <v>1346988</v>
      </c>
    </row>
    <row r="37" spans="2:31" ht="17" x14ac:dyDescent="0.2">
      <c r="B37" s="14" t="s">
        <v>96</v>
      </c>
      <c r="C37" s="4">
        <f>C25</f>
        <v>0.92</v>
      </c>
      <c r="D37" s="4">
        <f>D25</f>
        <v>0.3</v>
      </c>
      <c r="AD37" s="5"/>
    </row>
    <row r="38" spans="2:31" x14ac:dyDescent="0.2">
      <c r="B38" s="14"/>
      <c r="AD38" s="5"/>
    </row>
    <row r="39" spans="2:31" x14ac:dyDescent="0.2">
      <c r="AD39" s="5"/>
    </row>
    <row r="40" spans="2:31" x14ac:dyDescent="0.2">
      <c r="B40" s="14"/>
      <c r="AD40" s="5"/>
    </row>
    <row r="41" spans="2:31" x14ac:dyDescent="0.2">
      <c r="AD41" s="5"/>
    </row>
    <row r="42" spans="2:31" x14ac:dyDescent="0.2">
      <c r="B42" s="14"/>
      <c r="AD42" s="5"/>
    </row>
    <row r="43" spans="2:31" x14ac:dyDescent="0.2">
      <c r="B43" s="14"/>
      <c r="W43" t="s">
        <v>83</v>
      </c>
      <c r="AD43" s="5"/>
    </row>
    <row r="44" spans="2:31" ht="17" x14ac:dyDescent="0.2">
      <c r="B44" s="15" t="s">
        <v>72</v>
      </c>
      <c r="C44" s="8" t="s">
        <v>156</v>
      </c>
      <c r="D44" s="8"/>
      <c r="F44" s="4" t="s">
        <v>159</v>
      </c>
      <c r="I44" s="4" t="s">
        <v>159</v>
      </c>
      <c r="K44" s="5" t="s">
        <v>157</v>
      </c>
      <c r="L44" s="4" t="s">
        <v>159</v>
      </c>
      <c r="AD44" s="5"/>
    </row>
    <row r="45" spans="2:31" ht="17" x14ac:dyDescent="0.2">
      <c r="B45" s="14" t="s">
        <v>95</v>
      </c>
      <c r="D45" s="4">
        <v>0</v>
      </c>
      <c r="E45" s="5">
        <f>SUM(G$45:G45)</f>
        <v>0</v>
      </c>
      <c r="G45" s="4">
        <v>0</v>
      </c>
      <c r="H45" s="5">
        <f>SUM(J$45:J45)</f>
        <v>0</v>
      </c>
      <c r="J45" s="4">
        <v>0</v>
      </c>
      <c r="K45" s="5">
        <f>SUM(M$45:M45)</f>
        <v>0</v>
      </c>
      <c r="M45" s="4">
        <v>0</v>
      </c>
      <c r="N45" s="5">
        <f>SUM(P$45:P45)</f>
        <v>0</v>
      </c>
      <c r="P45" s="4">
        <v>0</v>
      </c>
      <c r="Q45" s="5">
        <f>SUM(S$45:S45)</f>
        <v>0</v>
      </c>
      <c r="S45" s="4">
        <v>0</v>
      </c>
      <c r="T45" s="5">
        <f>SUM(V$45:V45)</f>
        <v>0</v>
      </c>
      <c r="V45" s="4">
        <v>0</v>
      </c>
      <c r="AD45" s="5"/>
    </row>
    <row r="46" spans="2:31" ht="17" x14ac:dyDescent="0.2">
      <c r="B46" s="14" t="s">
        <v>94</v>
      </c>
      <c r="C46" s="4">
        <v>0</v>
      </c>
      <c r="D46" s="4">
        <f>D11</f>
        <v>85</v>
      </c>
      <c r="E46" s="5">
        <f>SUM(D$45:D46)</f>
        <v>85</v>
      </c>
      <c r="F46" s="4">
        <f>IF(E46&gt;=G$10, IF(E45&lt;G$10, G$10-E45, 0),D46)</f>
        <v>0</v>
      </c>
      <c r="G46" s="4">
        <f>D46-F46</f>
        <v>85</v>
      </c>
      <c r="H46" s="5">
        <f>SUM(G$45:G46)</f>
        <v>85</v>
      </c>
      <c r="I46" s="4">
        <f>IF(H46&gt;=J$10, IF(H45&lt;J$10, J$10-H45, 0),G46)</f>
        <v>0</v>
      </c>
      <c r="J46" s="4">
        <f>D11</f>
        <v>85</v>
      </c>
      <c r="K46" s="5">
        <f>SUM(J$45:J46)</f>
        <v>85</v>
      </c>
      <c r="L46" s="4">
        <f>IF(K46&gt;=M$10, IF(K45&lt;M$10, M$10-K45, 0),J46)</f>
        <v>0</v>
      </c>
      <c r="M46" s="4">
        <f>J46-L46</f>
        <v>85</v>
      </c>
      <c r="N46" s="5">
        <f>SUM(M$45:M46)</f>
        <v>85</v>
      </c>
      <c r="O46" s="4">
        <f>IF(N46&gt;=P$10, IF(N45&lt;P$10, P$10-N45, 0),M46)</f>
        <v>0</v>
      </c>
      <c r="P46" s="4">
        <f>M46-O46</f>
        <v>85</v>
      </c>
      <c r="Q46" s="5">
        <f>SUM(P$45:P46)</f>
        <v>85</v>
      </c>
      <c r="R46" s="4">
        <f>IF(Q46&gt;=S$10, IF(Q45&lt;S$10, S$10-Q45, 0),P46)</f>
        <v>0</v>
      </c>
      <c r="S46" s="4">
        <f>P46-R46</f>
        <v>85</v>
      </c>
      <c r="T46" s="5">
        <f>SUM(S$45:S46)</f>
        <v>85</v>
      </c>
      <c r="U46" s="4">
        <f>IF(T46&gt;=V$10, IF(T45&lt;V$10, V$10-T45, 0),S46)</f>
        <v>0</v>
      </c>
      <c r="V46" s="4">
        <f>S46-U46</f>
        <v>85</v>
      </c>
      <c r="AD46" s="5"/>
    </row>
    <row r="47" spans="2:31" ht="17" x14ac:dyDescent="0.2">
      <c r="B47" s="14" t="s">
        <v>73</v>
      </c>
      <c r="C47" s="4">
        <v>0</v>
      </c>
      <c r="D47" s="4">
        <v>0</v>
      </c>
      <c r="E47" s="5">
        <f>SUM(D$45:D47)</f>
        <v>85</v>
      </c>
      <c r="F47" s="4">
        <f t="shared" ref="F47:F49" si="1">IF(E47&gt;=G$10, IF(E46&lt;G$10, G$10-E46, 0),D47)</f>
        <v>0</v>
      </c>
      <c r="G47" s="4">
        <f>G11</f>
        <v>80</v>
      </c>
      <c r="H47" s="5">
        <f>SUM(G$45:G47)</f>
        <v>165</v>
      </c>
      <c r="I47" s="4">
        <f t="shared" ref="I47:I49" si="2">IF(H47&gt;=J$10, IF(H46&lt;J$10, J$10-H46, 0),G47)</f>
        <v>0</v>
      </c>
      <c r="J47" s="4">
        <f>G47-I47</f>
        <v>80</v>
      </c>
      <c r="K47" s="5">
        <f>SUM(J$45:J47)</f>
        <v>165</v>
      </c>
      <c r="L47" s="4">
        <f t="shared" ref="L47:L49" si="3">IF(K47&gt;=M$10, IF(K46&lt;M$10, M$10-K46, 0),J47)</f>
        <v>0</v>
      </c>
      <c r="M47" s="4">
        <f>J47-L47</f>
        <v>80</v>
      </c>
      <c r="N47" s="5">
        <f>SUM(M$45:M47)</f>
        <v>165</v>
      </c>
      <c r="O47" s="4">
        <f t="shared" ref="O47:O49" si="4">IF(N47&gt;=P$10, IF(N46&lt;P$10, P$10-N46, 0),M47)</f>
        <v>0</v>
      </c>
      <c r="P47" s="4">
        <f>M47-O47</f>
        <v>80</v>
      </c>
      <c r="Q47" s="5">
        <f>SUM(P$45:P47)</f>
        <v>165</v>
      </c>
      <c r="R47" s="4">
        <f t="shared" ref="R47:R49" si="5">IF(Q47&gt;=S$10, IF(Q46&lt;S$10, S$10-Q46, 0),P47)</f>
        <v>0</v>
      </c>
      <c r="S47" s="4">
        <f>P47-R47</f>
        <v>80</v>
      </c>
      <c r="T47" s="5">
        <f>SUM(S$45:S47)</f>
        <v>165</v>
      </c>
      <c r="U47" s="4">
        <f t="shared" ref="U47:U49" si="6">IF(T47&gt;=V$10, IF(T46&lt;V$10, V$10-T46, 0),S47)</f>
        <v>0</v>
      </c>
      <c r="V47" s="4">
        <f>S47-U47</f>
        <v>80</v>
      </c>
      <c r="AD47" s="5"/>
    </row>
    <row r="48" spans="2:31" ht="17" x14ac:dyDescent="0.2">
      <c r="B48" s="14" t="s">
        <v>85</v>
      </c>
      <c r="C48" s="4">
        <v>0</v>
      </c>
      <c r="D48" s="4">
        <v>0</v>
      </c>
      <c r="E48" s="5">
        <f>SUM(D$45:D48)</f>
        <v>85</v>
      </c>
      <c r="F48" s="4">
        <f t="shared" si="1"/>
        <v>0</v>
      </c>
      <c r="G48" s="4">
        <v>0</v>
      </c>
      <c r="H48" s="5">
        <f>SUM(G$45:G48)</f>
        <v>165</v>
      </c>
      <c r="I48" s="4">
        <f t="shared" si="2"/>
        <v>0</v>
      </c>
      <c r="J48" s="4">
        <f>J11</f>
        <v>92</v>
      </c>
      <c r="K48" s="5">
        <f>SUM(J$45:J48)</f>
        <v>257</v>
      </c>
      <c r="L48" s="4">
        <f t="shared" si="3"/>
        <v>0</v>
      </c>
      <c r="M48" s="4">
        <f>J48-L48</f>
        <v>92</v>
      </c>
      <c r="N48" s="5">
        <f>SUM(M$45:M48)</f>
        <v>257</v>
      </c>
      <c r="O48" s="4">
        <f t="shared" si="4"/>
        <v>0</v>
      </c>
      <c r="P48" s="4">
        <f>M48-O48</f>
        <v>92</v>
      </c>
      <c r="Q48" s="5">
        <f>SUM(P$45:P48)</f>
        <v>257</v>
      </c>
      <c r="R48" s="4">
        <f t="shared" si="5"/>
        <v>0</v>
      </c>
      <c r="S48" s="4">
        <f>P48-R48</f>
        <v>92</v>
      </c>
      <c r="T48" s="5">
        <f>SUM(S$45:S48)</f>
        <v>257</v>
      </c>
      <c r="U48" s="4">
        <f t="shared" si="6"/>
        <v>0</v>
      </c>
      <c r="V48" s="4">
        <f>S48-U48</f>
        <v>92</v>
      </c>
      <c r="AD48" s="5"/>
    </row>
    <row r="49" spans="1:30" ht="17" x14ac:dyDescent="0.2">
      <c r="B49" s="14" t="s">
        <v>86</v>
      </c>
      <c r="C49" s="4">
        <v>0</v>
      </c>
      <c r="D49" s="4">
        <v>0</v>
      </c>
      <c r="E49" s="5">
        <f>SUM(D$45:D49)</f>
        <v>85</v>
      </c>
      <c r="F49" s="4">
        <f t="shared" si="1"/>
        <v>0</v>
      </c>
      <c r="G49" s="4">
        <v>0</v>
      </c>
      <c r="H49" s="5">
        <f>SUM(G$45:G49)</f>
        <v>165</v>
      </c>
      <c r="I49" s="4">
        <f t="shared" si="2"/>
        <v>0</v>
      </c>
      <c r="J49" s="4">
        <v>0</v>
      </c>
      <c r="K49" s="5">
        <f>SUM(J$45:J49)</f>
        <v>257</v>
      </c>
      <c r="L49" s="4">
        <f t="shared" si="3"/>
        <v>0</v>
      </c>
      <c r="M49" s="4">
        <f>M11</f>
        <v>43</v>
      </c>
      <c r="N49" s="5">
        <f>SUM(M$45:M49)</f>
        <v>300</v>
      </c>
      <c r="O49" s="4">
        <f t="shared" si="4"/>
        <v>0</v>
      </c>
      <c r="P49" s="4">
        <f>M49-O49</f>
        <v>43</v>
      </c>
      <c r="Q49" s="5">
        <f>SUM(P$45:P49)</f>
        <v>300</v>
      </c>
      <c r="R49" s="4">
        <f t="shared" si="5"/>
        <v>0</v>
      </c>
      <c r="S49" s="4">
        <f>P49-R49</f>
        <v>43</v>
      </c>
      <c r="T49" s="5">
        <f>SUM(S$45:S49)</f>
        <v>300</v>
      </c>
      <c r="U49" s="4">
        <f t="shared" si="6"/>
        <v>0</v>
      </c>
      <c r="V49" s="4">
        <f>S49-U49</f>
        <v>43</v>
      </c>
      <c r="AD49" s="5"/>
    </row>
    <row r="50" spans="1:30" ht="17" x14ac:dyDescent="0.2">
      <c r="B50" s="14" t="s">
        <v>89</v>
      </c>
      <c r="AD50" s="5"/>
    </row>
    <row r="51" spans="1:30" x14ac:dyDescent="0.2">
      <c r="B51" s="14"/>
      <c r="AD51" s="5"/>
    </row>
    <row r="52" spans="1:30" ht="17" x14ac:dyDescent="0.2">
      <c r="A52" s="28" t="s">
        <v>160</v>
      </c>
      <c r="B52" s="14" t="s">
        <v>98</v>
      </c>
      <c r="D52" s="4">
        <f>Z6</f>
        <v>0</v>
      </c>
      <c r="G52" s="4">
        <f>Z7</f>
        <v>0.01</v>
      </c>
      <c r="J52" s="4">
        <f>Z8</f>
        <v>0.05</v>
      </c>
      <c r="M52" s="4">
        <f>Z9</f>
        <v>0.12</v>
      </c>
      <c r="P52" s="4">
        <f>Z10</f>
        <v>0.2</v>
      </c>
      <c r="S52" s="4">
        <f>Z11</f>
        <v>0.36</v>
      </c>
      <c r="V52" s="4">
        <f>Z12</f>
        <v>0.6</v>
      </c>
      <c r="AD52" s="5"/>
    </row>
    <row r="53" spans="1:30" ht="17" x14ac:dyDescent="0.2">
      <c r="A53" s="28"/>
      <c r="B53" s="14" t="s">
        <v>99</v>
      </c>
      <c r="D53" s="4">
        <v>0</v>
      </c>
      <c r="G53" s="4">
        <v>0</v>
      </c>
      <c r="J53" s="4">
        <f>Z7</f>
        <v>0.01</v>
      </c>
      <c r="M53" s="4">
        <f>Z8</f>
        <v>0.05</v>
      </c>
      <c r="P53" s="4">
        <f>Z9</f>
        <v>0.12</v>
      </c>
      <c r="S53" s="4">
        <f>Z10</f>
        <v>0.2</v>
      </c>
      <c r="V53" s="4">
        <f>Z11</f>
        <v>0.36</v>
      </c>
      <c r="AD53" s="5"/>
    </row>
    <row r="54" spans="1:30" ht="17" x14ac:dyDescent="0.2">
      <c r="A54" s="28"/>
      <c r="B54" s="14" t="s">
        <v>100</v>
      </c>
      <c r="D54" s="4">
        <v>0</v>
      </c>
      <c r="G54" s="4">
        <v>0</v>
      </c>
      <c r="J54" s="4">
        <v>0</v>
      </c>
      <c r="M54" s="4">
        <f>Z7</f>
        <v>0.01</v>
      </c>
      <c r="P54" s="4">
        <f>Z8</f>
        <v>0.05</v>
      </c>
      <c r="S54" s="4">
        <f>Z9</f>
        <v>0.12</v>
      </c>
      <c r="V54" s="4">
        <f>Z10</f>
        <v>0.2</v>
      </c>
      <c r="AD54" s="5"/>
    </row>
    <row r="55" spans="1:30" ht="17" x14ac:dyDescent="0.2">
      <c r="A55" s="28"/>
      <c r="B55" s="14" t="s">
        <v>101</v>
      </c>
      <c r="D55" s="4">
        <v>0</v>
      </c>
      <c r="G55" s="4">
        <v>0</v>
      </c>
      <c r="J55" s="4">
        <v>0</v>
      </c>
      <c r="M55" s="4">
        <v>0</v>
      </c>
      <c r="P55" s="4">
        <f>Z7</f>
        <v>0.01</v>
      </c>
      <c r="S55" s="4">
        <f>Z8</f>
        <v>0.05</v>
      </c>
      <c r="V55" s="4">
        <f>Z9</f>
        <v>0.12</v>
      </c>
      <c r="AD55" s="5"/>
    </row>
    <row r="56" spans="1:30" ht="17" x14ac:dyDescent="0.2">
      <c r="B56" s="14" t="s">
        <v>89</v>
      </c>
      <c r="AD56" s="5"/>
    </row>
    <row r="57" spans="1:30" x14ac:dyDescent="0.2">
      <c r="B57" s="14"/>
      <c r="AD57" s="5"/>
    </row>
    <row r="58" spans="1:30" ht="17" x14ac:dyDescent="0.2">
      <c r="A58" s="28" t="s">
        <v>161</v>
      </c>
      <c r="B58" s="14" t="s">
        <v>130</v>
      </c>
      <c r="D58" s="4">
        <f>D46*D52</f>
        <v>0</v>
      </c>
      <c r="G58" s="4">
        <f>G46*G52</f>
        <v>0.85</v>
      </c>
      <c r="J58" s="4">
        <f>G58+J46*J52</f>
        <v>5.0999999999999996</v>
      </c>
      <c r="M58" s="4">
        <f>J58+M46*M52</f>
        <v>15.299999999999999</v>
      </c>
      <c r="P58" s="4">
        <f>M58+P46*P52</f>
        <v>32.299999999999997</v>
      </c>
      <c r="S58" s="4">
        <f>S46*S52</f>
        <v>30.599999999999998</v>
      </c>
      <c r="V58" s="4">
        <f>V46*V52</f>
        <v>51</v>
      </c>
      <c r="AD58" s="5"/>
    </row>
    <row r="59" spans="1:30" ht="17" x14ac:dyDescent="0.2">
      <c r="A59" s="28"/>
      <c r="B59" s="14" t="s">
        <v>131</v>
      </c>
      <c r="G59" s="4">
        <f>G47*G53</f>
        <v>0</v>
      </c>
      <c r="J59" s="4">
        <f t="shared" ref="J59:J60" si="7">G59+J47*J53</f>
        <v>0.8</v>
      </c>
      <c r="M59" s="4">
        <f t="shared" ref="M59:M60" si="8">J59+M47*M53</f>
        <v>4.8</v>
      </c>
      <c r="P59" s="4">
        <f t="shared" ref="P59" si="9">M59+P47*P53</f>
        <v>14.399999999999999</v>
      </c>
      <c r="S59" s="4">
        <f>S47*S53</f>
        <v>16</v>
      </c>
      <c r="V59" s="4">
        <f>V47*V53</f>
        <v>28.799999999999997</v>
      </c>
      <c r="AD59" s="5"/>
    </row>
    <row r="60" spans="1:30" ht="17" x14ac:dyDescent="0.2">
      <c r="A60" s="28"/>
      <c r="B60" s="14" t="s">
        <v>132</v>
      </c>
      <c r="J60" s="4">
        <f t="shared" si="7"/>
        <v>0</v>
      </c>
      <c r="M60" s="4">
        <f t="shared" si="8"/>
        <v>0.92</v>
      </c>
      <c r="P60" s="4">
        <f>M60+P48*P54</f>
        <v>5.5200000000000005</v>
      </c>
      <c r="S60" s="4">
        <f>S48*S54</f>
        <v>11.04</v>
      </c>
      <c r="V60" s="4">
        <f>V48*V54</f>
        <v>18.400000000000002</v>
      </c>
      <c r="AA60" t="s">
        <v>117</v>
      </c>
      <c r="AD60" s="5"/>
    </row>
    <row r="61" spans="1:30" ht="17" x14ac:dyDescent="0.2">
      <c r="A61" s="28"/>
      <c r="B61" s="14" t="s">
        <v>133</v>
      </c>
      <c r="J61" s="4">
        <f>G61+J49*J55</f>
        <v>0</v>
      </c>
      <c r="M61" s="4">
        <f>J61+M49*M55</f>
        <v>0</v>
      </c>
      <c r="P61" s="4">
        <f>M61+P49*P55</f>
        <v>0.43</v>
      </c>
      <c r="S61" s="4">
        <f>S49*S55</f>
        <v>2.15</v>
      </c>
      <c r="V61" s="4">
        <f>V49*V55</f>
        <v>5.16</v>
      </c>
      <c r="AA61" t="s">
        <v>118</v>
      </c>
      <c r="AD61" s="5"/>
    </row>
    <row r="62" spans="1:30" ht="17" x14ac:dyDescent="0.2">
      <c r="B62" s="14" t="s">
        <v>89</v>
      </c>
      <c r="Y62" t="s">
        <v>92</v>
      </c>
      <c r="AD62" s="5"/>
    </row>
    <row r="63" spans="1:30" x14ac:dyDescent="0.2">
      <c r="B63" s="14"/>
      <c r="Y63" t="s">
        <v>93</v>
      </c>
      <c r="AD63" s="5"/>
    </row>
    <row r="64" spans="1:30" ht="17" x14ac:dyDescent="0.2">
      <c r="A64" s="22">
        <v>0</v>
      </c>
      <c r="B64" s="14" t="s">
        <v>162</v>
      </c>
      <c r="D64" s="4">
        <f>D31</f>
        <v>0</v>
      </c>
      <c r="G64" s="4">
        <f>INT(F$4-$AB$6 &gt; $A64)*MAX(D74-$C$20*D46,0)</f>
        <v>0</v>
      </c>
      <c r="J64" s="4">
        <f>INT(I$4-$AB$6 &gt; $A64)*MAX(G74-$C$20*G46,0)</f>
        <v>0</v>
      </c>
      <c r="M64" s="4">
        <f>INT(L$4-$AB$6 &gt; $A64)*MAX(J74-$C$20*J46,0)</f>
        <v>0</v>
      </c>
      <c r="P64" s="4">
        <f>INT(O$4-$AB$6 &gt; $A64)*MAX(M74-$C$20*M46,0)</f>
        <v>2.5499999999999989</v>
      </c>
      <c r="S64" s="4">
        <f>INT(R$4-$AB$6 &gt; $A64)*MAX(P74-$C$20*P46,0)</f>
        <v>19.549999999999997</v>
      </c>
      <c r="V64" s="4">
        <f>INT(U$4-$AB$6 &gt; $A64)*MAX(S74-$C$20*S46,0)</f>
        <v>50.149999999999991</v>
      </c>
      <c r="AD64" s="5"/>
    </row>
    <row r="65" spans="1:30" ht="17" x14ac:dyDescent="0.2">
      <c r="A65" s="22">
        <v>1</v>
      </c>
      <c r="B65" s="14" t="s">
        <v>163</v>
      </c>
      <c r="D65" s="4">
        <f>D32</f>
        <v>0</v>
      </c>
      <c r="G65" s="4">
        <f>INT(F$4-$AB$6 &gt; $A65)*MAX(D75-$C$20*D47,0)</f>
        <v>0</v>
      </c>
      <c r="J65" s="4">
        <f>INT(I$4-$AB$6 &gt; $A65)*MAX(G75-$C$20*G47,0)</f>
        <v>0</v>
      </c>
      <c r="M65" s="4">
        <f>INT(L$4-$AB$6 &gt; $A65)*MAX(J75-$C$20*J47,0)</f>
        <v>0</v>
      </c>
      <c r="P65" s="4">
        <f>INT(O$4-$AB$6 &gt; $A65)*MAX(M75-$C$20*M47,0)</f>
        <v>0</v>
      </c>
      <c r="S65" s="4">
        <f>INT(R$4-$AB$6 &gt; $A65)*MAX(P75-$C$20*P47,0)</f>
        <v>2.3999999999999986</v>
      </c>
      <c r="V65" s="4">
        <f>INT(U$4-$AB$6 &gt; $A65)*MAX(S75-$C$20*S47,0)</f>
        <v>18.399999999999999</v>
      </c>
      <c r="AD65" s="5"/>
    </row>
    <row r="66" spans="1:30" ht="17" x14ac:dyDescent="0.2">
      <c r="A66" s="22">
        <v>2</v>
      </c>
      <c r="B66" s="14" t="s">
        <v>164</v>
      </c>
      <c r="D66" s="4">
        <f>D33</f>
        <v>0</v>
      </c>
      <c r="G66" s="4">
        <f>INT(F$4-$AB$6 &gt; $A66)*MAX(D76-$C$20*D48,0)</f>
        <v>0</v>
      </c>
      <c r="J66" s="4">
        <f>INT(I$4-$AB$6 &gt; $A66)*MAX(G76-$C$20*G48,0)</f>
        <v>0</v>
      </c>
      <c r="M66" s="4">
        <f>INT(L$4-$AB$6 &gt; $A66)*MAX(J76-$C$20*J48,0)</f>
        <v>0</v>
      </c>
      <c r="P66" s="4">
        <f>INT(O$4-$AB$6 &gt; $A66)*MAX(M76-$C$20*M48,0)</f>
        <v>0</v>
      </c>
      <c r="S66" s="4">
        <f>INT(R$4-$AB$6 &gt; $A66)*MAX(P76-$C$20*P48,0)</f>
        <v>0</v>
      </c>
      <c r="V66" s="4">
        <f>INT(U$4-$AB$6 &gt; $A66)*MAX(S76-$C$20*S48,0)</f>
        <v>2.76</v>
      </c>
      <c r="AD66" s="5"/>
    </row>
    <row r="67" spans="1:30" ht="17" x14ac:dyDescent="0.2">
      <c r="A67" s="22">
        <v>3</v>
      </c>
      <c r="B67" s="14" t="s">
        <v>165</v>
      </c>
      <c r="D67" s="4">
        <f>D34</f>
        <v>0</v>
      </c>
      <c r="G67" s="4">
        <f>INT(F$4-$AB$6 &gt; $A67)*MAX(D77-$C$20*D49,0)</f>
        <v>0</v>
      </c>
      <c r="J67" s="4">
        <f>INT(I$4-$AB$6 &gt; $A67)*MAX(G77-$C$20*G49,0)</f>
        <v>0</v>
      </c>
      <c r="M67" s="4">
        <f>INT(L$4-$AB$6 &gt; $A67)*MAX(J77-$C$20*J49,0)</f>
        <v>0</v>
      </c>
      <c r="P67" s="4">
        <f>INT(O$4-$AB$6 &gt; $A67)*MAX(M77-$C$20*M49,0)</f>
        <v>0</v>
      </c>
      <c r="S67" s="4">
        <f>INT(R$4-$AB$6 &gt; $A67)*MAX(P77-$C$20*P49,0)</f>
        <v>0</v>
      </c>
      <c r="V67" s="4">
        <f>INT(U$4-$AB$6 &gt; $A67)*MAX(S77-$C$20*S49,0)</f>
        <v>0</v>
      </c>
      <c r="AD67" s="5"/>
    </row>
    <row r="68" spans="1:30" x14ac:dyDescent="0.2">
      <c r="B68" s="14"/>
      <c r="F68" s="4" t="s">
        <v>172</v>
      </c>
      <c r="AD68" s="5"/>
    </row>
    <row r="69" spans="1:30" ht="17" x14ac:dyDescent="0.2">
      <c r="A69" s="28" t="s">
        <v>166</v>
      </c>
      <c r="B69" s="14" t="s">
        <v>167</v>
      </c>
      <c r="D69" s="4">
        <f>D52</f>
        <v>0</v>
      </c>
      <c r="F69" s="4">
        <f>IF(D74=0,1,MIN(MAX((D74/D58-$C$14)/($C$16-$C$14), 0), 1))</f>
        <v>1</v>
      </c>
      <c r="G69" s="4">
        <f>G52*F69</f>
        <v>0.01</v>
      </c>
      <c r="J69" s="4">
        <f>J52</f>
        <v>0.05</v>
      </c>
      <c r="M69" s="4">
        <f>M52</f>
        <v>0.12</v>
      </c>
      <c r="P69" s="4">
        <f>P52</f>
        <v>0.2</v>
      </c>
      <c r="S69" s="4">
        <f>S52</f>
        <v>0.36</v>
      </c>
      <c r="V69" s="4">
        <f>V52</f>
        <v>0.6</v>
      </c>
      <c r="AD69" s="5"/>
    </row>
    <row r="70" spans="1:30" ht="17" x14ac:dyDescent="0.2">
      <c r="A70" s="28"/>
      <c r="B70" s="14" t="s">
        <v>168</v>
      </c>
      <c r="D70" s="4">
        <f t="shared" ref="D70:D72" si="10">D53</f>
        <v>0</v>
      </c>
      <c r="G70" s="4">
        <f t="shared" ref="G70:G72" si="11">G53</f>
        <v>0</v>
      </c>
      <c r="J70" s="4">
        <f t="shared" ref="J70:J72" si="12">J53</f>
        <v>0.01</v>
      </c>
      <c r="M70" s="4">
        <f t="shared" ref="M70:M72" si="13">M53</f>
        <v>0.05</v>
      </c>
      <c r="P70" s="4">
        <f t="shared" ref="P70:P72" si="14">P53</f>
        <v>0.12</v>
      </c>
      <c r="S70" s="4">
        <f t="shared" ref="S70:S72" si="15">S53</f>
        <v>0.2</v>
      </c>
      <c r="V70" s="4">
        <f t="shared" ref="V70:V72" si="16">V53</f>
        <v>0.36</v>
      </c>
      <c r="AD70" s="5"/>
    </row>
    <row r="71" spans="1:30" ht="17" x14ac:dyDescent="0.2">
      <c r="A71" s="28"/>
      <c r="B71" s="14" t="s">
        <v>169</v>
      </c>
      <c r="D71" s="4">
        <f>D54</f>
        <v>0</v>
      </c>
      <c r="G71" s="4">
        <f>G54</f>
        <v>0</v>
      </c>
      <c r="J71" s="4">
        <f>J54</f>
        <v>0</v>
      </c>
      <c r="M71" s="4">
        <f>M54</f>
        <v>0.01</v>
      </c>
      <c r="P71" s="4">
        <f>P54</f>
        <v>0.05</v>
      </c>
      <c r="S71" s="4">
        <f>S54</f>
        <v>0.12</v>
      </c>
      <c r="V71" s="4">
        <f>V54</f>
        <v>0.2</v>
      </c>
      <c r="AD71" s="5"/>
    </row>
    <row r="72" spans="1:30" ht="17" x14ac:dyDescent="0.2">
      <c r="A72" s="28"/>
      <c r="B72" s="14" t="s">
        <v>170</v>
      </c>
      <c r="D72" s="4">
        <f t="shared" si="10"/>
        <v>0</v>
      </c>
      <c r="G72" s="4">
        <f t="shared" si="11"/>
        <v>0</v>
      </c>
      <c r="J72" s="4">
        <f t="shared" si="12"/>
        <v>0</v>
      </c>
      <c r="M72" s="4">
        <f t="shared" si="13"/>
        <v>0</v>
      </c>
      <c r="P72" s="4">
        <f t="shared" si="14"/>
        <v>0.01</v>
      </c>
      <c r="S72" s="4">
        <f t="shared" si="15"/>
        <v>0.05</v>
      </c>
      <c r="V72" s="4">
        <f t="shared" si="16"/>
        <v>0.12</v>
      </c>
      <c r="AD72" s="5"/>
    </row>
    <row r="73" spans="1:30" x14ac:dyDescent="0.2">
      <c r="B73" s="14"/>
      <c r="AD73" s="5"/>
    </row>
    <row r="74" spans="1:30" ht="17" x14ac:dyDescent="0.2">
      <c r="B74" s="14" t="s">
        <v>74</v>
      </c>
      <c r="D74" s="4">
        <f>D52*D46</f>
        <v>0</v>
      </c>
      <c r="G74" s="4">
        <f>D74+G46*G69</f>
        <v>0.85</v>
      </c>
      <c r="J74" s="4">
        <f>G74+J46*J69</f>
        <v>5.0999999999999996</v>
      </c>
      <c r="M74" s="4">
        <f>J74+M46*M69</f>
        <v>15.299999999999999</v>
      </c>
      <c r="P74" s="4">
        <f>M74+P46*P69</f>
        <v>32.299999999999997</v>
      </c>
      <c r="S74" s="4">
        <f>P74+S46*S69</f>
        <v>62.899999999999991</v>
      </c>
      <c r="V74" s="4">
        <f>S74+V46*V69</f>
        <v>113.89999999999999</v>
      </c>
      <c r="AD74" s="5"/>
    </row>
    <row r="75" spans="1:30" ht="17" x14ac:dyDescent="0.2">
      <c r="B75" s="14" t="s">
        <v>75</v>
      </c>
      <c r="D75" s="4">
        <f t="shared" ref="D75:D77" si="17">D53*D47</f>
        <v>0</v>
      </c>
      <c r="G75" s="4">
        <f t="shared" ref="G75:G77" si="18">D75+G47*G70</f>
        <v>0</v>
      </c>
      <c r="J75" s="4">
        <f t="shared" ref="J75:J77" si="19">G75+J47*J70</f>
        <v>0.8</v>
      </c>
      <c r="M75" s="4">
        <f t="shared" ref="M75:M77" si="20">J75+M47*M70</f>
        <v>4.8</v>
      </c>
      <c r="P75" s="4">
        <f t="shared" ref="P75:P77" si="21">M75+P47*P70</f>
        <v>14.399999999999999</v>
      </c>
      <c r="S75" s="4">
        <f t="shared" ref="S75:S77" si="22">P75+S47*S70</f>
        <v>30.4</v>
      </c>
      <c r="V75" s="4">
        <f t="shared" ref="V75:V77" si="23">S75+V47*V70</f>
        <v>59.199999999999996</v>
      </c>
      <c r="AD75" s="5"/>
    </row>
    <row r="76" spans="1:30" ht="17" x14ac:dyDescent="0.2">
      <c r="B76" s="14" t="s">
        <v>76</v>
      </c>
      <c r="D76" s="4">
        <f t="shared" si="17"/>
        <v>0</v>
      </c>
      <c r="G76" s="4">
        <f t="shared" si="18"/>
        <v>0</v>
      </c>
      <c r="J76" s="4">
        <f t="shared" si="19"/>
        <v>0</v>
      </c>
      <c r="M76" s="4">
        <f t="shared" si="20"/>
        <v>0.92</v>
      </c>
      <c r="P76" s="4">
        <f t="shared" si="21"/>
        <v>5.5200000000000005</v>
      </c>
      <c r="S76" s="4">
        <f t="shared" si="22"/>
        <v>16.559999999999999</v>
      </c>
      <c r="V76" s="4">
        <f t="shared" si="23"/>
        <v>34.96</v>
      </c>
      <c r="AD76" s="5"/>
    </row>
    <row r="77" spans="1:30" ht="17" x14ac:dyDescent="0.2">
      <c r="B77" s="14" t="s">
        <v>87</v>
      </c>
      <c r="D77" s="4">
        <f t="shared" si="17"/>
        <v>0</v>
      </c>
      <c r="G77" s="4">
        <f t="shared" si="18"/>
        <v>0</v>
      </c>
      <c r="J77" s="4">
        <f t="shared" si="19"/>
        <v>0</v>
      </c>
      <c r="M77" s="4">
        <f t="shared" si="20"/>
        <v>0</v>
      </c>
      <c r="P77" s="4">
        <f t="shared" si="21"/>
        <v>0.43</v>
      </c>
      <c r="S77" s="4">
        <f t="shared" si="22"/>
        <v>2.58</v>
      </c>
      <c r="V77" s="4">
        <f t="shared" si="23"/>
        <v>7.74</v>
      </c>
      <c r="AD77" s="5"/>
    </row>
    <row r="78" spans="1:30" x14ac:dyDescent="0.2">
      <c r="B78" s="14"/>
      <c r="AD78" s="5"/>
    </row>
    <row r="79" spans="1:30" x14ac:dyDescent="0.2">
      <c r="B79" s="14"/>
      <c r="AD79" s="5"/>
    </row>
    <row r="80" spans="1:30" x14ac:dyDescent="0.2">
      <c r="B80" s="14"/>
      <c r="AD80" s="5"/>
    </row>
    <row r="81" spans="1:30" ht="17" x14ac:dyDescent="0.2">
      <c r="B81" s="15" t="s">
        <v>77</v>
      </c>
      <c r="C81" s="8"/>
      <c r="D81" s="8"/>
      <c r="AD81" s="5"/>
    </row>
    <row r="82" spans="1:30" x14ac:dyDescent="0.2">
      <c r="B82" s="14"/>
      <c r="AD82" s="5"/>
    </row>
    <row r="83" spans="1:30" ht="17" x14ac:dyDescent="0.2">
      <c r="B83" s="14" t="s">
        <v>119</v>
      </c>
      <c r="D83" s="4">
        <f>MAX(D$23-(D$7-D$9), 0)</f>
        <v>0</v>
      </c>
      <c r="G83" s="4">
        <f>MAX(G$23-(G$7-G$9), 0)</f>
        <v>210</v>
      </c>
      <c r="J83" s="4">
        <f>MAX(J$23-(J$7-J$9), 0)</f>
        <v>304</v>
      </c>
      <c r="M83" s="4">
        <f>MAX(M$23-(M$7-M$9), 0)</f>
        <v>296</v>
      </c>
      <c r="P83" s="4">
        <f>MAX(P$23-(P$7-P$9), 0)</f>
        <v>0</v>
      </c>
      <c r="S83" s="4">
        <f>MAX(S$23-(S$7-S$9), 0)</f>
        <v>0</v>
      </c>
      <c r="V83" s="4">
        <f>MAX(V$23-(V$7-V$9), 0)</f>
        <v>0</v>
      </c>
      <c r="AD83" s="5"/>
    </row>
    <row r="84" spans="1:30" ht="17" x14ac:dyDescent="0.2">
      <c r="B84" s="14" t="s">
        <v>95</v>
      </c>
      <c r="D84" s="4">
        <v>0</v>
      </c>
      <c r="G84" s="4">
        <v>0</v>
      </c>
      <c r="J84" s="4">
        <v>0</v>
      </c>
      <c r="M84" s="4">
        <v>0</v>
      </c>
      <c r="P84" s="4">
        <v>0</v>
      </c>
      <c r="S84" s="4">
        <v>0</v>
      </c>
      <c r="V84" s="4">
        <v>0</v>
      </c>
      <c r="AD84" s="5"/>
    </row>
    <row r="85" spans="1:30" x14ac:dyDescent="0.2">
      <c r="B85" s="14"/>
      <c r="AD85" s="5"/>
    </row>
    <row r="90" spans="1:30" x14ac:dyDescent="0.2">
      <c r="B90" s="14"/>
      <c r="AD90" s="5"/>
    </row>
    <row r="91" spans="1:30" ht="17" x14ac:dyDescent="0.2">
      <c r="A91" s="22">
        <v>0</v>
      </c>
      <c r="B91" s="14" t="s">
        <v>122</v>
      </c>
      <c r="D91" s="4">
        <f>D52</f>
        <v>0</v>
      </c>
      <c r="G91" s="4">
        <f>INT(F$4-$AB$6 &gt; $A91)*G58</f>
        <v>0</v>
      </c>
      <c r="J91" s="4">
        <f>INT(I$4-$AB$6 &gt; $A91)*J58</f>
        <v>0</v>
      </c>
      <c r="M91" s="4">
        <f>INT(L$4-$AB$6 &gt; $A91)*M58</f>
        <v>15.299999999999999</v>
      </c>
      <c r="P91" s="4">
        <f>INT(O$4-$AB$6 &gt; $A91)*P58</f>
        <v>32.299999999999997</v>
      </c>
      <c r="S91" s="4">
        <f>INT(R$4-$AB$6 &gt; $A91)*S58</f>
        <v>30.599999999999998</v>
      </c>
      <c r="V91" s="4">
        <f>INT(U$4-$AB$6 &gt; $A91)*V58</f>
        <v>51</v>
      </c>
      <c r="AD91" s="5"/>
    </row>
    <row r="92" spans="1:30" ht="17" x14ac:dyDescent="0.2">
      <c r="A92" s="22">
        <v>1</v>
      </c>
      <c r="B92" s="14" t="s">
        <v>123</v>
      </c>
      <c r="D92" s="4">
        <f>D53</f>
        <v>0</v>
      </c>
      <c r="G92" s="4">
        <f>INT(F$4-$AB$6 &gt; $A92)*G59</f>
        <v>0</v>
      </c>
      <c r="J92" s="4">
        <f>INT(I$4-$AB$6 &gt; $A92)*J59</f>
        <v>0</v>
      </c>
      <c r="M92" s="4">
        <f>INT(L$4-$AB$6 &gt; $A92)*M59</f>
        <v>0</v>
      </c>
      <c r="P92" s="4">
        <f>INT(O$4-$AB$6 &gt; $A92)*P59</f>
        <v>14.399999999999999</v>
      </c>
      <c r="S92" s="4">
        <f>INT(R$4-$AB$6 &gt; $A92)*S59</f>
        <v>16</v>
      </c>
      <c r="V92" s="4">
        <f>INT(U$4-$AB$6 &gt; $A92)*V59</f>
        <v>28.799999999999997</v>
      </c>
      <c r="AD92" s="5"/>
    </row>
    <row r="93" spans="1:30" ht="17" x14ac:dyDescent="0.2">
      <c r="A93" s="22">
        <v>2</v>
      </c>
      <c r="B93" s="14" t="s">
        <v>124</v>
      </c>
      <c r="D93" s="4">
        <f>D54</f>
        <v>0</v>
      </c>
      <c r="G93" s="4">
        <f>INT(F$4-$AB$6 &gt; $A93)*G60</f>
        <v>0</v>
      </c>
      <c r="J93" s="4">
        <f>INT(I$4-$AB$6 &gt; $A93)*J60</f>
        <v>0</v>
      </c>
      <c r="M93" s="4">
        <f>INT(L$4-$AB$6 &gt; $A93)*M60</f>
        <v>0</v>
      </c>
      <c r="P93" s="4">
        <f>INT(O$4-$AB$6 &gt; $A93)*P60</f>
        <v>0</v>
      </c>
      <c r="S93" s="4">
        <f>INT(R$4-$AB$6 &gt; $A93)*S60</f>
        <v>11.04</v>
      </c>
      <c r="V93" s="4">
        <f>INT(U$4-$AB$6 &gt; $A93)*V60</f>
        <v>18.400000000000002</v>
      </c>
      <c r="AD93" s="5"/>
    </row>
    <row r="94" spans="1:30" ht="17" x14ac:dyDescent="0.2">
      <c r="A94" s="22">
        <v>3</v>
      </c>
      <c r="B94" s="14" t="s">
        <v>125</v>
      </c>
      <c r="D94" s="4">
        <f>D55</f>
        <v>0</v>
      </c>
      <c r="G94" s="4">
        <f>INT(F$4-$AB$6 &gt; $A94)*G61</f>
        <v>0</v>
      </c>
      <c r="J94" s="4">
        <f>INT(I$4-$AB$6 &gt; $A94)*J61</f>
        <v>0</v>
      </c>
      <c r="M94" s="4">
        <f>INT(L$4-$AB$6 &gt; $A94)*M61</f>
        <v>0</v>
      </c>
      <c r="P94" s="4">
        <f>INT(O$4-$AB$6 &gt; $A94)*P61</f>
        <v>0</v>
      </c>
      <c r="S94" s="4">
        <f>INT(R$4-$AB$6 &gt; $A94)*S61</f>
        <v>0</v>
      </c>
      <c r="V94" s="4">
        <f>INT(U$4-$AB$6 &gt; $A94)*V61</f>
        <v>5.16</v>
      </c>
      <c r="AD94" s="5"/>
    </row>
    <row r="95" spans="1:30" ht="17" x14ac:dyDescent="0.2">
      <c r="B95" s="14" t="s">
        <v>89</v>
      </c>
      <c r="AD95" s="5"/>
    </row>
    <row r="96" spans="1:30" x14ac:dyDescent="0.2">
      <c r="B96" s="14"/>
      <c r="AD96" s="5"/>
    </row>
    <row r="97" spans="1:31" x14ac:dyDescent="0.2">
      <c r="B97" s="13"/>
      <c r="AD97" s="5"/>
    </row>
    <row r="98" spans="1:31" x14ac:dyDescent="0.2">
      <c r="B98" s="13"/>
      <c r="AD98" s="5"/>
    </row>
    <row r="99" spans="1:31" ht="17" x14ac:dyDescent="0.2">
      <c r="B99" s="11" t="s">
        <v>58</v>
      </c>
      <c r="C99" s="12"/>
      <c r="D99" s="12"/>
      <c r="F99" s="12"/>
      <c r="G99" s="12"/>
      <c r="I99" s="12"/>
      <c r="J99" s="12"/>
      <c r="L99" s="12"/>
      <c r="M99" s="12"/>
      <c r="O99" s="12"/>
      <c r="P99" s="12"/>
      <c r="R99" s="12"/>
      <c r="S99" s="12"/>
      <c r="U99" s="12"/>
      <c r="V99" s="12"/>
      <c r="AD99" s="5"/>
    </row>
    <row r="100" spans="1:31" ht="17" x14ac:dyDescent="0.2">
      <c r="B100" s="10" t="s">
        <v>152</v>
      </c>
      <c r="C100" s="4">
        <f>C19*C7</f>
        <v>1500000</v>
      </c>
      <c r="D100" s="4">
        <f>D19*D7</f>
        <v>25000000</v>
      </c>
      <c r="W100">
        <v>1.1000000000000001</v>
      </c>
      <c r="X100">
        <f>SUM(W$6:W100)</f>
        <v>1.1000000000000001</v>
      </c>
      <c r="Y100">
        <v>20</v>
      </c>
      <c r="AD100" s="5">
        <v>5495710</v>
      </c>
      <c r="AE100">
        <f t="shared" si="0"/>
        <v>1373928</v>
      </c>
    </row>
    <row r="101" spans="1:31" ht="17" x14ac:dyDescent="0.2">
      <c r="B101" s="10" t="s">
        <v>153</v>
      </c>
      <c r="D101" s="4">
        <f>SUM(D120:D123)</f>
        <v>0</v>
      </c>
      <c r="AD101" s="5"/>
    </row>
    <row r="102" spans="1:31" ht="17" x14ac:dyDescent="0.2">
      <c r="B102" s="10" t="s">
        <v>149</v>
      </c>
      <c r="C102" s="4">
        <f>C100+C101</f>
        <v>1500000</v>
      </c>
      <c r="D102" s="4">
        <f>D100+D101</f>
        <v>25000000</v>
      </c>
      <c r="AD102" s="5"/>
    </row>
    <row r="103" spans="1:31" x14ac:dyDescent="0.2">
      <c r="AD103" s="5"/>
    </row>
    <row r="104" spans="1:31" ht="17" x14ac:dyDescent="0.2">
      <c r="B104" s="10" t="s">
        <v>158</v>
      </c>
      <c r="C104" s="4">
        <f>C9*C19*$C$13</f>
        <v>5250</v>
      </c>
      <c r="D104" s="4">
        <f>D9*D19*$C$13</f>
        <v>7000</v>
      </c>
      <c r="AD104" s="5"/>
    </row>
    <row r="105" spans="1:31" ht="17" x14ac:dyDescent="0.2">
      <c r="B105" s="10" t="s">
        <v>70</v>
      </c>
      <c r="C105" s="4">
        <f>C23*C19</f>
        <v>750000</v>
      </c>
      <c r="D105" s="4">
        <f>D23*D19</f>
        <v>5000000</v>
      </c>
      <c r="AD105" s="5"/>
    </row>
    <row r="106" spans="1:31" ht="17" x14ac:dyDescent="0.2">
      <c r="B106" s="10" t="s">
        <v>150</v>
      </c>
      <c r="C106" s="4">
        <f>$C20*MAX(C7-C9-C23,0)</f>
        <v>742.5</v>
      </c>
      <c r="D106" s="4">
        <f>$D20*MAX(D7-D9-D23,0)</f>
        <v>19990</v>
      </c>
      <c r="AD106" s="5"/>
    </row>
    <row r="107" spans="1:31" x14ac:dyDescent="0.2">
      <c r="AD107" s="5"/>
    </row>
    <row r="108" spans="1:31" ht="34" x14ac:dyDescent="0.2">
      <c r="B108" s="10" t="s">
        <v>151</v>
      </c>
      <c r="C108" s="4">
        <f>MAX(C7-C9-C23, 0)*C111</f>
        <v>741757.5</v>
      </c>
      <c r="D108" s="4">
        <f>MAX(D7-D9-D23, 0)*D111</f>
        <v>19970010</v>
      </c>
      <c r="AD108" s="5"/>
    </row>
    <row r="109" spans="1:31" x14ac:dyDescent="0.2">
      <c r="AD109" s="5"/>
    </row>
    <row r="110" spans="1:31" ht="17" x14ac:dyDescent="0.2">
      <c r="B110" s="15" t="s">
        <v>79</v>
      </c>
      <c r="C110" s="8"/>
      <c r="D110" s="8"/>
      <c r="AD110" s="5"/>
    </row>
    <row r="111" spans="1:31" ht="68" x14ac:dyDescent="0.2">
      <c r="A111" s="22" t="s">
        <v>173</v>
      </c>
      <c r="B111" s="10" t="s">
        <v>80</v>
      </c>
      <c r="C111" s="4">
        <f>MAX(C100/C7-C20,0)</f>
        <v>149.85</v>
      </c>
      <c r="D111" s="4">
        <f>MAX(D100/D7-D20,0)</f>
        <v>99.9</v>
      </c>
      <c r="AD111" s="5"/>
    </row>
    <row r="112" spans="1:31" ht="51" x14ac:dyDescent="0.2">
      <c r="B112" s="10" t="s">
        <v>174</v>
      </c>
      <c r="C112" s="4">
        <f>C111/$C$21</f>
        <v>1</v>
      </c>
      <c r="D112" s="4">
        <f>D111/$D$21</f>
        <v>1</v>
      </c>
      <c r="AD112" s="5"/>
    </row>
    <row r="113" spans="1:30" ht="51" x14ac:dyDescent="0.2">
      <c r="A113" s="22" t="s">
        <v>176</v>
      </c>
      <c r="B113" s="10" t="s">
        <v>175</v>
      </c>
      <c r="C113" s="4">
        <f>MAX(MIN(C112/$C$15, 1), 0)</f>
        <v>1</v>
      </c>
      <c r="D113" s="4">
        <f>MAX(MIN((D112-$C$14)/$C$15, 1), 0)</f>
        <v>1</v>
      </c>
      <c r="AD113" s="5"/>
    </row>
    <row r="114" spans="1:30" x14ac:dyDescent="0.2">
      <c r="AD114" s="5"/>
    </row>
    <row r="115" spans="1:30" ht="17" x14ac:dyDescent="0.2">
      <c r="B115" s="10" t="s">
        <v>82</v>
      </c>
      <c r="C115" s="4">
        <f>C108*C113</f>
        <v>741757.5</v>
      </c>
      <c r="D115" s="4">
        <f>D108*D113</f>
        <v>19970010</v>
      </c>
      <c r="AD115" s="5"/>
    </row>
    <row r="116" spans="1:30" ht="17" x14ac:dyDescent="0.2">
      <c r="B116" s="10" t="s">
        <v>154</v>
      </c>
      <c r="C116" s="4">
        <f>C115+D115</f>
        <v>20711767.5</v>
      </c>
      <c r="AD116" s="5"/>
    </row>
    <row r="117" spans="1:30" ht="17" x14ac:dyDescent="0.2">
      <c r="B117" s="10" t="s">
        <v>147</v>
      </c>
      <c r="C117" s="4">
        <f>C115/$C116</f>
        <v>3.5813336548896658E-2</v>
      </c>
      <c r="D117" s="4">
        <f>D115/$C116</f>
        <v>0.96418666345110338</v>
      </c>
      <c r="AD117" s="5"/>
    </row>
    <row r="118" spans="1:30" x14ac:dyDescent="0.2">
      <c r="AD118" s="5"/>
    </row>
    <row r="119" spans="1:30" ht="17" x14ac:dyDescent="0.2">
      <c r="B119" s="15" t="s">
        <v>81</v>
      </c>
      <c r="C119" s="8"/>
      <c r="D119" s="8"/>
      <c r="AD119" s="5"/>
    </row>
    <row r="120" spans="1:30" ht="17" x14ac:dyDescent="0.2">
      <c r="B120" s="14" t="s">
        <v>74</v>
      </c>
      <c r="D120" s="4">
        <f>D46*D91</f>
        <v>0</v>
      </c>
      <c r="G120" s="4">
        <f>D120 - D132 + G52*G46</f>
        <v>0.85</v>
      </c>
      <c r="J120" s="4">
        <f>G120 - G132 + J52*J46</f>
        <v>5.0999999999999996</v>
      </c>
      <c r="M120" s="4">
        <f>J120 - J132 + M52*M46</f>
        <v>15.299999999999999</v>
      </c>
      <c r="P120" s="4">
        <f>M120 - M132 + P52*P46</f>
        <v>31.299999999999997</v>
      </c>
      <c r="S120" s="4">
        <f>P120 - P132 + S52*S46</f>
        <v>61.899999999999991</v>
      </c>
      <c r="V120" s="4">
        <f>S120 - S132 + V52*V46</f>
        <v>112.89999999999999</v>
      </c>
      <c r="AD120" s="5"/>
    </row>
    <row r="121" spans="1:30" ht="17" x14ac:dyDescent="0.2">
      <c r="B121" s="14" t="s">
        <v>75</v>
      </c>
      <c r="D121" s="4">
        <v>0</v>
      </c>
      <c r="G121" s="4">
        <f>D121 - D133 + G53*G47</f>
        <v>0</v>
      </c>
      <c r="J121" s="4">
        <f>G121 - G133 + J53*J47</f>
        <v>0.8</v>
      </c>
      <c r="M121" s="4">
        <f>J121 - J133 + M53*M47</f>
        <v>4.8</v>
      </c>
      <c r="P121" s="4">
        <f>M121 - M133 + P53*P47</f>
        <v>14.399999999999999</v>
      </c>
      <c r="S121" s="4">
        <f>P121 - P133 + S53*S47</f>
        <v>30.4</v>
      </c>
      <c r="V121" s="4">
        <f>S121 - S133 + V53*V47</f>
        <v>59.199999999999996</v>
      </c>
      <c r="AD121" s="5"/>
    </row>
    <row r="122" spans="1:30" ht="17" x14ac:dyDescent="0.2">
      <c r="B122" s="14" t="s">
        <v>76</v>
      </c>
      <c r="D122" s="4">
        <v>0</v>
      </c>
      <c r="G122" s="4">
        <f>D122 - D134 + G54*G48</f>
        <v>0</v>
      </c>
      <c r="J122" s="4">
        <f>G122 - G134 + J54*J48</f>
        <v>0</v>
      </c>
      <c r="M122" s="4">
        <f>J122 - J134 + M54*M48</f>
        <v>0.92</v>
      </c>
      <c r="P122" s="4">
        <f>M122 - M134 + P54*P48</f>
        <v>5.5200000000000005</v>
      </c>
      <c r="S122" s="4">
        <f>P122 - P134 + S54*S48</f>
        <v>16.559999999999999</v>
      </c>
      <c r="V122" s="4">
        <f>S122 - S134 + V54*V48</f>
        <v>34.96</v>
      </c>
      <c r="AA122" t="s">
        <v>117</v>
      </c>
      <c r="AD122" s="5"/>
    </row>
    <row r="123" spans="1:30" ht="17" x14ac:dyDescent="0.2">
      <c r="B123" s="14" t="s">
        <v>87</v>
      </c>
      <c r="D123" s="4">
        <v>0</v>
      </c>
      <c r="G123" s="4">
        <f>D123 - D135 + G55*G49</f>
        <v>0</v>
      </c>
      <c r="J123" s="4">
        <f>G123 - G135 + J55*J49</f>
        <v>0</v>
      </c>
      <c r="M123" s="4">
        <f>J123 - J135 + M55*M49</f>
        <v>0</v>
      </c>
      <c r="P123" s="4">
        <f>M123 - M135 + P55*P49</f>
        <v>0.43</v>
      </c>
      <c r="S123" s="4">
        <f>P123 - P135 + S55*S49</f>
        <v>2.58</v>
      </c>
      <c r="V123" s="4">
        <f>S123 - S135 + V55*V49</f>
        <v>7.74</v>
      </c>
      <c r="AA123" t="s">
        <v>118</v>
      </c>
      <c r="AD123" s="5"/>
    </row>
    <row r="124" spans="1:30" x14ac:dyDescent="0.2">
      <c r="B124" s="14"/>
      <c r="AD124" s="5"/>
    </row>
    <row r="125" spans="1:30" ht="34" x14ac:dyDescent="0.2">
      <c r="A125" s="22">
        <v>0</v>
      </c>
      <c r="B125" s="14" t="s">
        <v>136</v>
      </c>
      <c r="D125" s="4">
        <f>INT(C$4-$AB$6&gt;$A125)*D120</f>
        <v>0</v>
      </c>
      <c r="G125" s="4">
        <f>INT(F$4-$AB$6&gt;$A125)*G120</f>
        <v>0</v>
      </c>
      <c r="J125" s="4">
        <f>INT(I$4-$AB$6&gt;$A125)*J120</f>
        <v>0</v>
      </c>
      <c r="M125" s="4">
        <f>INT(L$4-$AB$6&gt;$A125)*M120</f>
        <v>15.299999999999999</v>
      </c>
      <c r="P125" s="4">
        <f>INT(O$4-$AB$6&gt;$A125)*P120</f>
        <v>31.299999999999997</v>
      </c>
      <c r="S125" s="4">
        <f>INT(R$4-$AB$6&gt;$A125)*S120</f>
        <v>61.899999999999991</v>
      </c>
      <c r="V125" s="4">
        <f>INT(U$4-$AB$6&gt;$A125)*V120</f>
        <v>112.89999999999999</v>
      </c>
      <c r="AD125" s="5"/>
    </row>
    <row r="126" spans="1:30" ht="34" x14ac:dyDescent="0.2">
      <c r="A126" s="22">
        <v>1</v>
      </c>
      <c r="B126" s="14" t="s">
        <v>137</v>
      </c>
      <c r="D126" s="4">
        <f>INT(C$4-$AB$6&gt;$A126)*D121</f>
        <v>0</v>
      </c>
      <c r="G126" s="4">
        <f>INT(F$4-$AB$6&gt;$A126)*G121</f>
        <v>0</v>
      </c>
      <c r="J126" s="4">
        <f>INT(I$4-$AB$6&gt;$A126)*J121</f>
        <v>0</v>
      </c>
      <c r="M126" s="4">
        <f>INT(L$4-$AB$6&gt;$A126)*M121</f>
        <v>0</v>
      </c>
      <c r="P126" s="4">
        <f>INT(O$4-$AB$6&gt;$A126)*P121</f>
        <v>14.399999999999999</v>
      </c>
      <c r="S126" s="4">
        <f>INT(R$4-$AB$6&gt;$A126)*S121</f>
        <v>30.4</v>
      </c>
      <c r="V126" s="4">
        <f>INT(U$4-$AB$6&gt;$A126)*V121</f>
        <v>59.199999999999996</v>
      </c>
      <c r="AD126" s="5"/>
    </row>
    <row r="127" spans="1:30" ht="34" x14ac:dyDescent="0.2">
      <c r="A127" s="22">
        <v>2</v>
      </c>
      <c r="B127" s="14" t="s">
        <v>138</v>
      </c>
      <c r="D127" s="4">
        <f>INT(C$4-$AB$6&gt;$A127)*D122</f>
        <v>0</v>
      </c>
      <c r="G127" s="4">
        <f>INT(F$4-$AB$6&gt;$A127)*G122</f>
        <v>0</v>
      </c>
      <c r="J127" s="4">
        <f>INT(I$4-$AB$6&gt;$A127)*J122</f>
        <v>0</v>
      </c>
      <c r="M127" s="4">
        <f>INT(L$4-$AB$6&gt;$A127)*M122</f>
        <v>0</v>
      </c>
      <c r="P127" s="4">
        <f>INT(O$4-$AB$6&gt;$A127)*P122</f>
        <v>0</v>
      </c>
      <c r="S127" s="4">
        <f>INT(R$4-$AB$6&gt;$A127)*S122</f>
        <v>16.559999999999999</v>
      </c>
      <c r="V127" s="4">
        <f>INT(U$4-$AB$6&gt;$A127)*V122</f>
        <v>34.96</v>
      </c>
      <c r="AD127" s="5"/>
    </row>
    <row r="128" spans="1:30" ht="34" x14ac:dyDescent="0.2">
      <c r="A128" s="22">
        <v>3</v>
      </c>
      <c r="B128" s="14" t="s">
        <v>139</v>
      </c>
      <c r="D128" s="4">
        <f>INT(C$4-$AB$6&gt;$A128)*D123</f>
        <v>0</v>
      </c>
      <c r="G128" s="4">
        <f>INT(F$4-$AB$6&gt;$A128)*G123</f>
        <v>0</v>
      </c>
      <c r="J128" s="4">
        <f>INT(I$4-$AB$6&gt;$A128)*J123</f>
        <v>0</v>
      </c>
      <c r="M128" s="4">
        <f>INT(L$4-$AB$6&gt;$A128)*M123</f>
        <v>0</v>
      </c>
      <c r="P128" s="4">
        <f>INT(O$4-$AB$6&gt;$A128)*P123</f>
        <v>0</v>
      </c>
      <c r="S128" s="4">
        <f>INT(R$4-$AB$6&gt;$A128)*S123</f>
        <v>0</v>
      </c>
      <c r="V128" s="4">
        <f>INT(U$4-$AB$6&gt;$A128)*V123</f>
        <v>7.74</v>
      </c>
      <c r="AD128" s="5"/>
    </row>
    <row r="129" spans="2:31" x14ac:dyDescent="0.2">
      <c r="B129" s="14"/>
      <c r="AD129" s="5"/>
    </row>
    <row r="130" spans="2:31" ht="16" customHeight="1" x14ac:dyDescent="0.2">
      <c r="B130" s="10" t="s">
        <v>142</v>
      </c>
      <c r="Z130" t="s">
        <v>88</v>
      </c>
      <c r="AD130" s="5"/>
    </row>
    <row r="131" spans="2:31" ht="16" customHeight="1" x14ac:dyDescent="0.2">
      <c r="B131" s="10" t="s">
        <v>95</v>
      </c>
      <c r="AD131" s="5"/>
    </row>
    <row r="132" spans="2:31" ht="16" customHeight="1" x14ac:dyDescent="0.2">
      <c r="B132" s="14" t="s">
        <v>126</v>
      </c>
      <c r="D132" s="4">
        <v>0</v>
      </c>
      <c r="G132" s="4">
        <f>INT(F4-$AB$6 &gt; 0)</f>
        <v>0</v>
      </c>
      <c r="J132" s="4">
        <f>INT(I4-$AB$6 &gt; 0)</f>
        <v>0</v>
      </c>
      <c r="M132" s="4">
        <f>INT(L4-$AB$6 &gt; 0)</f>
        <v>1</v>
      </c>
      <c r="AD132" s="5"/>
    </row>
    <row r="133" spans="2:31" ht="16" customHeight="1" x14ac:dyDescent="0.2">
      <c r="B133" s="14" t="s">
        <v>127</v>
      </c>
      <c r="D133" s="4">
        <v>0</v>
      </c>
      <c r="AD133" s="5"/>
    </row>
    <row r="134" spans="2:31" ht="16" customHeight="1" x14ac:dyDescent="0.2">
      <c r="B134" s="14" t="s">
        <v>128</v>
      </c>
      <c r="D134" s="4">
        <v>0</v>
      </c>
      <c r="AD134" s="5"/>
    </row>
    <row r="135" spans="2:31" ht="17" x14ac:dyDescent="0.2">
      <c r="B135" s="14" t="s">
        <v>129</v>
      </c>
      <c r="D135" s="4">
        <v>0</v>
      </c>
      <c r="AD135" s="5"/>
    </row>
    <row r="136" spans="2:31" x14ac:dyDescent="0.2">
      <c r="AD136" s="5"/>
    </row>
    <row r="137" spans="2:31" ht="17" x14ac:dyDescent="0.2">
      <c r="B137" s="15" t="s">
        <v>78</v>
      </c>
      <c r="C137" s="8"/>
      <c r="D137" s="8"/>
      <c r="AD137" s="5"/>
    </row>
    <row r="138" spans="2:31" ht="17" x14ac:dyDescent="0.2">
      <c r="B138" s="10" t="s">
        <v>148</v>
      </c>
      <c r="C138" s="4">
        <f>MIN(C116,C29)</f>
        <v>200000</v>
      </c>
      <c r="W138">
        <v>0.5</v>
      </c>
      <c r="X138">
        <f>SUM(W$6:W138)</f>
        <v>1.6</v>
      </c>
      <c r="Y138">
        <v>20</v>
      </c>
      <c r="AD138" s="5">
        <v>5605620</v>
      </c>
      <c r="AE138">
        <f t="shared" si="0"/>
        <v>1401405</v>
      </c>
    </row>
    <row r="139" spans="2:31" ht="17" x14ac:dyDescent="0.2">
      <c r="B139" s="10" t="s">
        <v>155</v>
      </c>
      <c r="C139" s="4">
        <f>C29-C138</f>
        <v>0</v>
      </c>
      <c r="W139">
        <v>0.3</v>
      </c>
      <c r="X139">
        <f>SUM(W$6:W139)</f>
        <v>1.9000000000000001</v>
      </c>
      <c r="Y139">
        <v>20</v>
      </c>
      <c r="AD139" s="5">
        <v>5717730</v>
      </c>
      <c r="AE139">
        <f t="shared" si="0"/>
        <v>1429433</v>
      </c>
    </row>
    <row r="140" spans="2:31" ht="17" x14ac:dyDescent="0.2">
      <c r="B140" s="10" t="s">
        <v>148</v>
      </c>
      <c r="C140" s="4">
        <f>MIN(C29,C138)</f>
        <v>200000</v>
      </c>
      <c r="W140">
        <v>0.2</v>
      </c>
      <c r="X140">
        <f>SUM(W$6:W140)</f>
        <v>2.1</v>
      </c>
      <c r="Y140">
        <v>20</v>
      </c>
      <c r="AD140" s="5">
        <v>5832080</v>
      </c>
      <c r="AE140">
        <f t="shared" si="0"/>
        <v>1458020</v>
      </c>
    </row>
    <row r="141" spans="2:31" x14ac:dyDescent="0.2">
      <c r="W141">
        <v>0.18</v>
      </c>
      <c r="X141">
        <f>SUM(W$6:W141)</f>
        <v>2.2800000000000002</v>
      </c>
      <c r="Y141">
        <v>20</v>
      </c>
      <c r="AD141" s="5">
        <v>5948720</v>
      </c>
      <c r="AE141">
        <f t="shared" si="0"/>
        <v>1487180</v>
      </c>
    </row>
    <row r="142" spans="2:31" x14ac:dyDescent="0.2">
      <c r="W142">
        <v>0.17</v>
      </c>
      <c r="X142">
        <f>SUM(W$6:W142)</f>
        <v>2.4500000000000002</v>
      </c>
      <c r="Y142">
        <v>20</v>
      </c>
      <c r="AD142" s="5">
        <v>6067690</v>
      </c>
      <c r="AE142">
        <f t="shared" si="0"/>
        <v>1516923</v>
      </c>
    </row>
    <row r="143" spans="2:31" x14ac:dyDescent="0.2">
      <c r="W143">
        <v>0.16</v>
      </c>
      <c r="X143">
        <f>SUM(W$6:W143)</f>
        <v>2.6100000000000003</v>
      </c>
      <c r="Y143">
        <v>20</v>
      </c>
      <c r="AD143" s="5">
        <v>6189040</v>
      </c>
      <c r="AE143">
        <f t="shared" si="0"/>
        <v>1547260</v>
      </c>
    </row>
    <row r="144" spans="2:31" x14ac:dyDescent="0.2">
      <c r="W144">
        <v>0.15</v>
      </c>
      <c r="X144">
        <f>SUM(W$6:W144)</f>
        <v>2.7600000000000002</v>
      </c>
      <c r="Y144">
        <v>20</v>
      </c>
      <c r="AD144" s="5">
        <v>6312820</v>
      </c>
      <c r="AE144">
        <f t="shared" si="0"/>
        <v>1578205</v>
      </c>
    </row>
    <row r="145" spans="2:31" x14ac:dyDescent="0.2">
      <c r="W145">
        <v>0.14000000000000001</v>
      </c>
      <c r="X145">
        <f>SUM(W$6:W145)</f>
        <v>2.9000000000000004</v>
      </c>
      <c r="Y145">
        <v>20</v>
      </c>
      <c r="AD145" s="5">
        <v>6439080</v>
      </c>
      <c r="AE145">
        <f t="shared" si="0"/>
        <v>1609770</v>
      </c>
    </row>
    <row r="146" spans="2:31" x14ac:dyDescent="0.2">
      <c r="W146">
        <v>0.13</v>
      </c>
      <c r="X146">
        <f>SUM(W$6:W146)</f>
        <v>3.0300000000000002</v>
      </c>
      <c r="Y146">
        <v>20</v>
      </c>
      <c r="AD146" s="5">
        <v>6567860</v>
      </c>
      <c r="AE146">
        <f t="shared" si="0"/>
        <v>1641965</v>
      </c>
    </row>
    <row r="147" spans="2:31" ht="17" x14ac:dyDescent="0.2">
      <c r="B147" s="10" t="s">
        <v>65</v>
      </c>
      <c r="C147" s="4">
        <f>C25*(C7-C9)</f>
        <v>9154</v>
      </c>
      <c r="D147" s="4">
        <f>D25*(D7-D9)</f>
        <v>74970</v>
      </c>
      <c r="W147">
        <v>0.125</v>
      </c>
      <c r="X147">
        <f>SUM(W$6:W147)</f>
        <v>3.1550000000000002</v>
      </c>
      <c r="Y147">
        <v>20</v>
      </c>
      <c r="AD147" s="5">
        <v>6699220</v>
      </c>
      <c r="AE147">
        <f t="shared" si="0"/>
        <v>1674805</v>
      </c>
    </row>
    <row r="148" spans="2:31" x14ac:dyDescent="0.2">
      <c r="W148">
        <v>0.1225</v>
      </c>
      <c r="X148">
        <f>SUM(W$6:W148)</f>
        <v>3.2775000000000003</v>
      </c>
      <c r="Y148">
        <v>20</v>
      </c>
      <c r="AD148" s="5">
        <v>6833200</v>
      </c>
      <c r="AE148">
        <f t="shared" si="0"/>
        <v>1708300</v>
      </c>
    </row>
    <row r="149" spans="2:31" x14ac:dyDescent="0.2">
      <c r="W149">
        <v>0.12239999999999999</v>
      </c>
      <c r="X149">
        <f>SUM(W$6:W149)</f>
        <v>3.3999000000000001</v>
      </c>
      <c r="Y149">
        <v>20</v>
      </c>
      <c r="AD149" s="5">
        <v>6969860</v>
      </c>
      <c r="AE149">
        <f t="shared" si="0"/>
        <v>1742465</v>
      </c>
    </row>
    <row r="150" spans="2:31" x14ac:dyDescent="0.2">
      <c r="W150">
        <v>0.12230000000000001</v>
      </c>
      <c r="X150">
        <f>SUM(W$6:W150)</f>
        <v>3.5222000000000002</v>
      </c>
      <c r="Y150">
        <v>20</v>
      </c>
    </row>
  </sheetData>
  <mergeCells count="15">
    <mergeCell ref="Z4:AB4"/>
    <mergeCell ref="E2:F2"/>
    <mergeCell ref="E3:F3"/>
    <mergeCell ref="F5:G5"/>
    <mergeCell ref="I5:J5"/>
    <mergeCell ref="A14:A15"/>
    <mergeCell ref="A52:A55"/>
    <mergeCell ref="A58:A61"/>
    <mergeCell ref="A69:A72"/>
    <mergeCell ref="U5:V5"/>
    <mergeCell ref="A5:B5"/>
    <mergeCell ref="L5:M5"/>
    <mergeCell ref="O5:P5"/>
    <mergeCell ref="R5:S5"/>
    <mergeCell ref="C5:D5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2025-12-26T05:18:55Z</dcterms:modified>
</cp:coreProperties>
</file>