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CEC78003-B42E-B647-9794-4D0FE38B4C20}" xr6:coauthVersionLast="47" xr6:coauthVersionMax="47" xr10:uidLastSave="{00000000-0000-0000-0000-000000000000}"/>
  <bookViews>
    <workbookView xWindow="12440" yWindow="56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3" l="1"/>
  <c r="J72" i="3"/>
  <c r="I79" i="3" s="1"/>
  <c r="J49" i="3"/>
  <c r="J55" i="3"/>
  <c r="J54" i="3"/>
  <c r="J84" i="3"/>
  <c r="J86" i="3"/>
  <c r="J85" i="3"/>
  <c r="P86" i="3"/>
  <c r="P85" i="3"/>
  <c r="M85" i="3"/>
  <c r="I84" i="3"/>
  <c r="I85" i="3"/>
  <c r="J73" i="3"/>
  <c r="F129" i="3"/>
  <c r="I38" i="3"/>
  <c r="I78" i="3"/>
  <c r="J74" i="3"/>
  <c r="F79" i="3"/>
  <c r="G80" i="3" s="1"/>
  <c r="F78" i="3"/>
  <c r="F80" i="3"/>
  <c r="J43" i="3"/>
  <c r="J42" i="3"/>
  <c r="G55" i="3"/>
  <c r="G54" i="3"/>
  <c r="G58" i="3"/>
  <c r="G52" i="3"/>
  <c r="G48" i="3"/>
  <c r="G49" i="3"/>
  <c r="J48" i="3"/>
  <c r="J51" i="3"/>
  <c r="J50" i="3"/>
  <c r="J44" i="3"/>
  <c r="I37" i="3"/>
  <c r="G99" i="3"/>
  <c r="G94" i="3"/>
  <c r="G50" i="3"/>
  <c r="P69" i="3"/>
  <c r="M68" i="3"/>
  <c r="M69" i="3"/>
  <c r="J67" i="3"/>
  <c r="G66" i="3"/>
  <c r="G11" i="3"/>
  <c r="H37" i="3"/>
  <c r="I40" i="3"/>
  <c r="I39" i="3"/>
  <c r="M39" i="3"/>
  <c r="J38" i="3"/>
  <c r="G37" i="3"/>
  <c r="H38" i="3"/>
  <c r="H39" i="3"/>
  <c r="G10" i="3"/>
  <c r="F21" i="3"/>
  <c r="F22" i="3"/>
  <c r="G134" i="3"/>
  <c r="G21" i="3"/>
  <c r="G26" i="3"/>
  <c r="G25" i="3"/>
  <c r="Y26" i="3"/>
  <c r="V26" i="3"/>
  <c r="S26" i="3"/>
  <c r="P26" i="3"/>
  <c r="M26" i="3"/>
  <c r="J26" i="3"/>
  <c r="J25" i="3"/>
  <c r="J11" i="3"/>
  <c r="M45" i="3"/>
  <c r="M57" i="3" s="1"/>
  <c r="M86" i="3"/>
  <c r="F26" i="3"/>
  <c r="G13" i="3"/>
  <c r="J8" i="3"/>
  <c r="I7" i="3"/>
  <c r="I8" i="3"/>
  <c r="F133" i="3"/>
  <c r="G101" i="3"/>
  <c r="G46" i="3"/>
  <c r="G51" i="3"/>
  <c r="J60" i="3"/>
  <c r="J45" i="3"/>
  <c r="J57" i="3" s="1"/>
  <c r="M44" i="3"/>
  <c r="M56" i="3" s="1"/>
  <c r="G110" i="3"/>
  <c r="G117" i="3" s="1"/>
  <c r="G89" i="3"/>
  <c r="G56" i="3"/>
  <c r="G90" i="3" s="1"/>
  <c r="G57" i="3"/>
  <c r="G91" i="3" s="1"/>
  <c r="P45" i="3"/>
  <c r="P57" i="3" s="1"/>
  <c r="H36" i="3"/>
  <c r="G107" i="3"/>
  <c r="F107" i="3"/>
  <c r="K36" i="3"/>
  <c r="F110" i="3"/>
  <c r="F111" i="3" s="1"/>
  <c r="F118" i="3" s="1"/>
  <c r="F29" i="3"/>
  <c r="G29" i="3" s="1"/>
  <c r="I106" i="3"/>
  <c r="F106" i="3"/>
  <c r="F109" i="3" s="1"/>
  <c r="F81" i="3"/>
  <c r="AD10" i="3"/>
  <c r="F13" i="3"/>
  <c r="I13" i="3" s="1"/>
  <c r="L7" i="3" s="1"/>
  <c r="L13" i="3" s="1"/>
  <c r="O7" i="3" s="1"/>
  <c r="O13" i="3" s="1"/>
  <c r="R7" i="3" s="1"/>
  <c r="R13" i="3" s="1"/>
  <c r="U7" i="3" s="1"/>
  <c r="U13" i="3" s="1"/>
  <c r="U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Y63" i="3"/>
  <c r="Y87" i="3" s="1"/>
  <c r="Y62" i="3"/>
  <c r="Y86" i="3" s="1"/>
  <c r="Y61" i="3"/>
  <c r="Y85" i="3" s="1"/>
  <c r="Y60" i="3"/>
  <c r="V60" i="3"/>
  <c r="W36" i="3"/>
  <c r="J87" i="3"/>
  <c r="G86" i="3"/>
  <c r="G85" i="3"/>
  <c r="G87" i="3"/>
  <c r="G95" i="3"/>
  <c r="G96" i="3"/>
  <c r="I86" i="3" s="1"/>
  <c r="G97" i="3"/>
  <c r="I87" i="3" s="1"/>
  <c r="P40" i="3"/>
  <c r="T36" i="3"/>
  <c r="Q36" i="3"/>
  <c r="N36" i="3"/>
  <c r="P62" i="3"/>
  <c r="M61" i="3"/>
  <c r="S60" i="3"/>
  <c r="P60" i="3"/>
  <c r="G8" i="3"/>
  <c r="F8" i="3"/>
  <c r="I80" i="3" l="1"/>
  <c r="I81" i="3"/>
  <c r="J75" i="3"/>
  <c r="J52" i="3"/>
  <c r="J56" i="3"/>
  <c r="J37" i="3"/>
  <c r="J66" i="3" s="1"/>
  <c r="K38" i="3"/>
  <c r="F145" i="3"/>
  <c r="F117" i="3"/>
  <c r="G102" i="3"/>
  <c r="G100" i="3"/>
  <c r="F119" i="3"/>
  <c r="F120" i="3" s="1"/>
  <c r="G92" i="3"/>
  <c r="G111" i="3"/>
  <c r="G118" i="3" s="1"/>
  <c r="F114" i="3"/>
  <c r="F116" i="3" s="1"/>
  <c r="I108" i="3"/>
  <c r="I109" i="3" s="1"/>
  <c r="U107" i="3"/>
  <c r="I107" i="3"/>
  <c r="L107" i="3"/>
  <c r="O107" i="3"/>
  <c r="R107" i="3"/>
  <c r="L26" i="3"/>
  <c r="O26" i="3"/>
  <c r="I26" i="3"/>
  <c r="R26" i="3"/>
  <c r="G123" i="3"/>
  <c r="G137" i="3" s="1"/>
  <c r="J108" i="3"/>
  <c r="J109" i="3" s="1"/>
  <c r="J7" i="3"/>
  <c r="H40" i="3"/>
  <c r="G22" i="3"/>
  <c r="G145" i="3" l="1"/>
  <c r="G120" i="3"/>
  <c r="F123" i="3"/>
  <c r="G133" i="3"/>
  <c r="G114" i="3"/>
  <c r="J10" i="3"/>
  <c r="J107" i="3"/>
  <c r="G115" i="3"/>
  <c r="J13" i="3"/>
  <c r="M8" i="3"/>
  <c r="G122" i="3" l="1"/>
  <c r="F121" i="3"/>
  <c r="G144" i="3" s="1"/>
  <c r="F122" i="3"/>
  <c r="G119" i="3"/>
  <c r="G116" i="3"/>
  <c r="F134" i="3"/>
  <c r="F135" i="3" s="1"/>
  <c r="G135" i="3"/>
  <c r="M7" i="3"/>
  <c r="P8" i="3"/>
  <c r="K39" i="3" l="1"/>
  <c r="F137" i="3"/>
  <c r="M10" i="3"/>
  <c r="M107" i="3"/>
  <c r="M13" i="3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44" i="3" l="1"/>
  <c r="M25" i="3"/>
  <c r="F126" i="3"/>
  <c r="F148" i="3"/>
  <c r="G148" i="3"/>
  <c r="F138" i="3"/>
  <c r="G138" i="3" s="1"/>
  <c r="G139" i="3" s="1"/>
  <c r="J46" i="3"/>
  <c r="P7" i="3"/>
  <c r="P107" i="3" s="1"/>
  <c r="P13" i="3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8" i="3" l="1"/>
  <c r="F127" i="3"/>
  <c r="F128" i="3" s="1"/>
  <c r="M11" i="3"/>
  <c r="P25" i="3"/>
  <c r="S7" i="3"/>
  <c r="S13" i="3" s="1"/>
  <c r="S10" i="3"/>
  <c r="S107" i="3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L37" i="3" l="1"/>
  <c r="M37" i="3" s="1"/>
  <c r="M66" i="3" s="1"/>
  <c r="L38" i="3"/>
  <c r="M38" i="3" s="1"/>
  <c r="M67" i="3" s="1"/>
  <c r="G130" i="3"/>
  <c r="S25" i="3"/>
  <c r="V7" i="3"/>
  <c r="P11" i="3"/>
  <c r="V10" i="3"/>
  <c r="V107" i="3"/>
  <c r="Y7" i="3"/>
  <c r="Y13" i="3" s="1"/>
  <c r="V13" i="3"/>
  <c r="F139" i="3"/>
  <c r="K40" i="3"/>
  <c r="O8" i="3"/>
  <c r="Q3" i="2"/>
  <c r="AA4" i="2" s="1"/>
  <c r="F130" i="3" l="1"/>
  <c r="G143" i="3"/>
  <c r="G142" i="3"/>
  <c r="G131" i="3"/>
  <c r="Y25" i="3"/>
  <c r="V25" i="3"/>
  <c r="S11" i="3"/>
  <c r="V11" i="3"/>
  <c r="Y10" i="3"/>
  <c r="Y11" i="3" s="1"/>
  <c r="Y107" i="3"/>
  <c r="G78" i="3"/>
  <c r="N37" i="3"/>
  <c r="O37" i="3" s="1"/>
  <c r="P37" i="3" s="1"/>
  <c r="P66" i="3" s="1"/>
  <c r="L39" i="3"/>
  <c r="M50" i="3" s="1"/>
  <c r="L40" i="3"/>
  <c r="M51" i="3" s="1"/>
  <c r="R8" i="3"/>
  <c r="F4" i="2"/>
  <c r="R7" i="2"/>
  <c r="G4" i="2"/>
  <c r="K4" i="2"/>
  <c r="J4" i="2"/>
  <c r="F150" i="3" l="1"/>
  <c r="N38" i="3"/>
  <c r="O38" i="3" s="1"/>
  <c r="P38" i="3" s="1"/>
  <c r="P67" i="3" s="1"/>
  <c r="F142" i="3"/>
  <c r="I110" i="3" s="1"/>
  <c r="F131" i="3"/>
  <c r="F151" i="3"/>
  <c r="F143" i="3"/>
  <c r="G79" i="3"/>
  <c r="G81" i="3"/>
  <c r="U8" i="3"/>
  <c r="X7" i="3"/>
  <c r="X107" i="3" s="1"/>
  <c r="Q37" i="3"/>
  <c r="R37" i="3" s="1"/>
  <c r="S37" i="3" s="1"/>
  <c r="S66" i="3" s="1"/>
  <c r="U4" i="2"/>
  <c r="R8" i="2"/>
  <c r="I117" i="3" l="1"/>
  <c r="N39" i="3"/>
  <c r="N40" i="3"/>
  <c r="O39" i="3"/>
  <c r="P39" i="3" s="1"/>
  <c r="J110" i="3"/>
  <c r="Q38" i="3"/>
  <c r="R38" i="3" s="1"/>
  <c r="S38" i="3" s="1"/>
  <c r="S67" i="3" s="1"/>
  <c r="O40" i="3"/>
  <c r="P51" i="3" s="1"/>
  <c r="X8" i="3"/>
  <c r="X13" i="3"/>
  <c r="T37" i="3"/>
  <c r="U37" i="3" s="1"/>
  <c r="V37" i="3" s="1"/>
  <c r="V66" i="3" s="1"/>
  <c r="O4" i="2"/>
  <c r="P4" i="2" s="1"/>
  <c r="X5" i="2" s="1"/>
  <c r="Z5" i="2" s="1"/>
  <c r="J5" i="2" s="1"/>
  <c r="R9" i="2"/>
  <c r="Q40" i="3" l="1"/>
  <c r="P68" i="3"/>
  <c r="Q39" i="3"/>
  <c r="J117" i="3"/>
  <c r="X26" i="3"/>
  <c r="M108" i="3"/>
  <c r="M109" i="3" s="1"/>
  <c r="J111" i="3"/>
  <c r="I111" i="3"/>
  <c r="L108" i="3"/>
  <c r="L109" i="3" s="1"/>
  <c r="R40" i="3"/>
  <c r="S40" i="3" s="1"/>
  <c r="S69" i="3" s="1"/>
  <c r="R39" i="3"/>
  <c r="S39" i="3" s="1"/>
  <c r="T38" i="3"/>
  <c r="U38" i="3" s="1"/>
  <c r="V38" i="3" s="1"/>
  <c r="V67" i="3" s="1"/>
  <c r="W37" i="3"/>
  <c r="X37" i="3" s="1"/>
  <c r="Y37" i="3" s="1"/>
  <c r="Y66" i="3" s="1"/>
  <c r="Q4" i="2"/>
  <c r="Y5" i="2" s="1"/>
  <c r="AA5" i="2" s="1"/>
  <c r="F5" i="2"/>
  <c r="R10" i="2"/>
  <c r="S68" i="3" l="1"/>
  <c r="I114" i="3"/>
  <c r="I116" i="3" s="1"/>
  <c r="I133" i="3"/>
  <c r="I123" i="3" s="1"/>
  <c r="I118" i="3"/>
  <c r="J118" i="3"/>
  <c r="J114" i="3"/>
  <c r="J133" i="3"/>
  <c r="T40" i="3"/>
  <c r="T39" i="3"/>
  <c r="U39" i="3" s="1"/>
  <c r="V39" i="3" s="1"/>
  <c r="W38" i="3"/>
  <c r="X38" i="3" s="1"/>
  <c r="Y38" i="3" s="1"/>
  <c r="Y67" i="3" s="1"/>
  <c r="R11" i="2"/>
  <c r="G5" i="2"/>
  <c r="U5" i="2" s="1"/>
  <c r="O5" i="2" s="1"/>
  <c r="Q5" i="2" s="1"/>
  <c r="K5" i="2"/>
  <c r="V68" i="3" l="1"/>
  <c r="J123" i="3"/>
  <c r="J134" i="3"/>
  <c r="I145" i="3"/>
  <c r="I119" i="3"/>
  <c r="I120" i="3" s="1"/>
  <c r="J119" i="3"/>
  <c r="J120" i="3" s="1"/>
  <c r="J145" i="3"/>
  <c r="J135" i="3"/>
  <c r="I134" i="3"/>
  <c r="I135" i="3" s="1"/>
  <c r="I137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W40" i="3" l="1"/>
  <c r="V69" i="3"/>
  <c r="Y68" i="3"/>
  <c r="J122" i="3"/>
  <c r="I122" i="3"/>
  <c r="I121" i="3"/>
  <c r="J137" i="3"/>
  <c r="I138" i="3" s="1"/>
  <c r="X40" i="3"/>
  <c r="Y40" i="3" s="1"/>
  <c r="G6" i="2"/>
  <c r="R13" i="2"/>
  <c r="F6" i="2"/>
  <c r="U6" i="2" s="1"/>
  <c r="W6" i="2" s="1"/>
  <c r="O6" i="2" s="1"/>
  <c r="Y69" i="3" l="1"/>
  <c r="I144" i="3"/>
  <c r="I148" i="3" s="1"/>
  <c r="J144" i="3"/>
  <c r="J148" i="3" s="1"/>
  <c r="I126" i="3"/>
  <c r="I139" i="3"/>
  <c r="R14" i="2"/>
  <c r="Y7" i="2"/>
  <c r="AA7" i="2" s="1"/>
  <c r="J138" i="3" l="1"/>
  <c r="J139" i="3" s="1"/>
  <c r="I127" i="3"/>
  <c r="I130" i="3" s="1"/>
  <c r="I131" i="3" s="1"/>
  <c r="X7" i="2"/>
  <c r="Z7" i="2" s="1"/>
  <c r="R15" i="2"/>
  <c r="G7" i="2"/>
  <c r="K7" i="2"/>
  <c r="I128" i="3" l="1"/>
  <c r="I129" i="3" s="1"/>
  <c r="I143" i="3"/>
  <c r="I142" i="3"/>
  <c r="J130" i="3"/>
  <c r="J7" i="2"/>
  <c r="F7" i="2"/>
  <c r="U7" i="2" s="1"/>
  <c r="O7" i="2" s="1"/>
  <c r="R16" i="2"/>
  <c r="J79" i="3" l="1"/>
  <c r="J78" i="3"/>
  <c r="J90" i="3"/>
  <c r="J80" i="3"/>
  <c r="J131" i="3"/>
  <c r="J143" i="3"/>
  <c r="J142" i="3"/>
  <c r="M110" i="3" s="1"/>
  <c r="I150" i="3"/>
  <c r="I151" i="3" s="1"/>
  <c r="J81" i="3"/>
  <c r="P7" i="2"/>
  <c r="X8" i="2" s="1"/>
  <c r="Z8" i="2" s="1"/>
  <c r="Q7" i="2"/>
  <c r="Y8" i="2" s="1"/>
  <c r="AA8" i="2" s="1"/>
  <c r="G8" i="2" s="1"/>
  <c r="J8" i="2"/>
  <c r="R17" i="2"/>
  <c r="F8" i="2"/>
  <c r="J95" i="3" l="1"/>
  <c r="J89" i="3"/>
  <c r="M117" i="3"/>
  <c r="J91" i="3"/>
  <c r="J96" i="3" s="1"/>
  <c r="J92" i="3"/>
  <c r="J97" i="3" s="1"/>
  <c r="M111" i="3"/>
  <c r="P108" i="3"/>
  <c r="P109" i="3" s="1"/>
  <c r="L110" i="3"/>
  <c r="K8" i="2"/>
  <c r="W8" i="2"/>
  <c r="R18" i="2"/>
  <c r="J94" i="3" l="1"/>
  <c r="J99" i="3" s="1"/>
  <c r="J101" i="3"/>
  <c r="M73" i="3"/>
  <c r="L84" i="3"/>
  <c r="M84" i="3" s="1"/>
  <c r="M42" i="3"/>
  <c r="M54" i="3" s="1"/>
  <c r="L117" i="3"/>
  <c r="M114" i="3"/>
  <c r="M118" i="3"/>
  <c r="M74" i="3"/>
  <c r="J102" i="3"/>
  <c r="M133" i="3"/>
  <c r="M123" i="3" s="1"/>
  <c r="L87" i="3"/>
  <c r="M43" i="3"/>
  <c r="L86" i="3"/>
  <c r="L111" i="3"/>
  <c r="O108" i="3"/>
  <c r="O109" i="3" s="1"/>
  <c r="O8" i="2"/>
  <c r="Q8" i="2" s="1"/>
  <c r="Y9" i="2" s="1"/>
  <c r="AA9" i="2" s="1"/>
  <c r="R19" i="2"/>
  <c r="M49" i="3" l="1"/>
  <c r="M55" i="3"/>
  <c r="M48" i="3"/>
  <c r="M71" i="3"/>
  <c r="L78" i="3" s="1"/>
  <c r="J115" i="3"/>
  <c r="J116" i="3" s="1"/>
  <c r="L85" i="3"/>
  <c r="M119" i="3"/>
  <c r="L118" i="3"/>
  <c r="L114" i="3"/>
  <c r="L116" i="3" s="1"/>
  <c r="J100" i="3"/>
  <c r="M134" i="3"/>
  <c r="M135" i="3" s="1"/>
  <c r="L133" i="3"/>
  <c r="L123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52" i="3" l="1"/>
  <c r="M58" i="3"/>
  <c r="M72" i="3"/>
  <c r="L80" i="3" s="1"/>
  <c r="L145" i="3"/>
  <c r="L119" i="3"/>
  <c r="L120" i="3" s="1"/>
  <c r="M137" i="3"/>
  <c r="L134" i="3"/>
  <c r="L135" i="3" s="1"/>
  <c r="L137" i="3" s="1"/>
  <c r="M46" i="3"/>
  <c r="Q9" i="2"/>
  <c r="Y10" i="2" s="1"/>
  <c r="AA10" i="2" s="1"/>
  <c r="G10" i="2" s="1"/>
  <c r="R21" i="2"/>
  <c r="F10" i="2"/>
  <c r="M120" i="3" l="1"/>
  <c r="M122" i="3" s="1"/>
  <c r="M145" i="3"/>
  <c r="L138" i="3"/>
  <c r="L139" i="3" s="1"/>
  <c r="L79" i="3"/>
  <c r="L81" i="3"/>
  <c r="M75" i="3"/>
  <c r="U10" i="2"/>
  <c r="W10" i="2" s="1"/>
  <c r="O10" i="2" s="1"/>
  <c r="Q10" i="2" s="1"/>
  <c r="K10" i="2"/>
  <c r="R22" i="2"/>
  <c r="L122" i="3" l="1"/>
  <c r="L121" i="3"/>
  <c r="M144" i="3" s="1"/>
  <c r="M148" i="3" s="1"/>
  <c r="M138" i="3"/>
  <c r="M139" i="3" s="1"/>
  <c r="Y11" i="2"/>
  <c r="P10" i="2"/>
  <c r="X11" i="2" s="1"/>
  <c r="Z11" i="2" s="1"/>
  <c r="J11" i="2" s="1"/>
  <c r="R23" i="2"/>
  <c r="L144" i="3" l="1"/>
  <c r="L148" i="3" s="1"/>
  <c r="L126" i="3"/>
  <c r="L127" i="3" s="1"/>
  <c r="L130" i="3" s="1"/>
  <c r="L13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M130" i="3"/>
  <c r="L143" i="3"/>
  <c r="L142" i="3"/>
  <c r="O110" i="3" s="1"/>
  <c r="M142" i="3"/>
  <c r="P110" i="3" s="1"/>
  <c r="K11" i="2"/>
  <c r="Q11" i="2"/>
  <c r="R25" i="2"/>
  <c r="F12" i="2"/>
  <c r="M78" i="3" l="1"/>
  <c r="M79" i="3"/>
  <c r="M80" i="3"/>
  <c r="M81" i="3"/>
  <c r="M143" i="3"/>
  <c r="L150" i="3"/>
  <c r="L151" i="3" s="1"/>
  <c r="M131" i="3"/>
  <c r="O117" i="3"/>
  <c r="P117" i="3"/>
  <c r="O111" i="3"/>
  <c r="S108" i="3"/>
  <c r="S109" i="3" s="1"/>
  <c r="P111" i="3"/>
  <c r="R108" i="3"/>
  <c r="R109" i="3" s="1"/>
  <c r="Y12" i="2"/>
  <c r="AA12" i="2" s="1"/>
  <c r="R26" i="2"/>
  <c r="M92" i="3" l="1"/>
  <c r="M97" i="3"/>
  <c r="M91" i="3"/>
  <c r="M96" i="3"/>
  <c r="P44" i="3" s="1"/>
  <c r="P50" i="3" s="1"/>
  <c r="M90" i="3"/>
  <c r="M95" i="3"/>
  <c r="M89" i="3"/>
  <c r="M94" i="3"/>
  <c r="P42" i="3"/>
  <c r="M99" i="3"/>
  <c r="P43" i="3"/>
  <c r="P49" i="3" s="1"/>
  <c r="M100" i="3"/>
  <c r="O86" i="3"/>
  <c r="O87" i="3"/>
  <c r="P74" i="3"/>
  <c r="P118" i="3"/>
  <c r="P114" i="3"/>
  <c r="O118" i="3"/>
  <c r="O114" i="3"/>
  <c r="O116" i="3" s="1"/>
  <c r="O133" i="3"/>
  <c r="O123" i="3" s="1"/>
  <c r="P133" i="3"/>
  <c r="P123" i="3" s="1"/>
  <c r="G12" i="2"/>
  <c r="U12" i="2" s="1"/>
  <c r="W12" i="2" s="1"/>
  <c r="O12" i="2" s="1"/>
  <c r="Q12" i="2" s="1"/>
  <c r="K12" i="2"/>
  <c r="R27" i="2"/>
  <c r="P55" i="3" l="1"/>
  <c r="O84" i="3"/>
  <c r="P84" i="3" s="1"/>
  <c r="M101" i="3"/>
  <c r="P72" i="3"/>
  <c r="O85" i="3"/>
  <c r="M115" i="3"/>
  <c r="M116" i="3" s="1"/>
  <c r="M102" i="3"/>
  <c r="P48" i="3"/>
  <c r="P52" i="3" s="1"/>
  <c r="P54" i="3"/>
  <c r="P71" i="3"/>
  <c r="O78" i="3" s="1"/>
  <c r="P46" i="3"/>
  <c r="P56" i="3"/>
  <c r="P73" i="3"/>
  <c r="O119" i="3"/>
  <c r="O120" i="3" s="1"/>
  <c r="O145" i="3"/>
  <c r="P119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58" i="3" l="1"/>
  <c r="O81" i="3"/>
  <c r="O79" i="3"/>
  <c r="P145" i="3"/>
  <c r="P75" i="3"/>
  <c r="P120" i="3"/>
  <c r="P122" i="3" s="1"/>
  <c r="O80" i="3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21" i="3" l="1"/>
  <c r="O126" i="3" s="1"/>
  <c r="O122" i="3"/>
  <c r="O138" i="3"/>
  <c r="O139" i="3" s="1"/>
  <c r="K14" i="2"/>
  <c r="P13" i="2"/>
  <c r="X14" i="2" s="1"/>
  <c r="Z14" i="2" s="1"/>
  <c r="J14" i="2" s="1"/>
  <c r="P144" i="3" l="1"/>
  <c r="P148" i="3" s="1"/>
  <c r="O144" i="3"/>
  <c r="O148" i="3" s="1"/>
  <c r="P138" i="3"/>
  <c r="P139" i="3" s="1"/>
  <c r="O127" i="3"/>
  <c r="O130" i="3" s="1"/>
  <c r="O131" i="3" s="1"/>
  <c r="F14" i="2"/>
  <c r="U14" i="2" s="1"/>
  <c r="W14" i="2" s="1"/>
  <c r="O14" i="2" s="1"/>
  <c r="P14" i="2" s="1"/>
  <c r="X15" i="2" s="1"/>
  <c r="Z15" i="2" s="1"/>
  <c r="J15" i="2" s="1"/>
  <c r="O128" i="3" l="1"/>
  <c r="O129" i="3" s="1"/>
  <c r="P79" i="3" s="1"/>
  <c r="P130" i="3"/>
  <c r="P142" i="3" s="1"/>
  <c r="O142" i="3"/>
  <c r="O143" i="3"/>
  <c r="O150" i="3"/>
  <c r="O151" i="3" s="1"/>
  <c r="F15" i="2"/>
  <c r="Q14" i="2"/>
  <c r="Y15" i="2" s="1"/>
  <c r="AA15" i="2" s="1"/>
  <c r="G15" i="2" s="1"/>
  <c r="U15" i="2" s="1"/>
  <c r="W15" i="2" s="1"/>
  <c r="O15" i="2" s="1"/>
  <c r="Q15" i="2" s="1"/>
  <c r="P131" i="3" l="1"/>
  <c r="P143" i="3"/>
  <c r="P80" i="3"/>
  <c r="P78" i="3"/>
  <c r="P81" i="3"/>
  <c r="P90" i="3"/>
  <c r="P95" i="3" s="1"/>
  <c r="S110" i="3"/>
  <c r="R110" i="3"/>
  <c r="K15" i="2"/>
  <c r="Y16" i="2" s="1"/>
  <c r="AA16" i="2" s="1"/>
  <c r="G16" i="2" s="1"/>
  <c r="P15" i="2"/>
  <c r="X16" i="2" s="1"/>
  <c r="Z16" i="2" s="1"/>
  <c r="J16" i="2" s="1"/>
  <c r="P89" i="3" l="1"/>
  <c r="P94" i="3" s="1"/>
  <c r="P92" i="3"/>
  <c r="P97" i="3"/>
  <c r="P91" i="3"/>
  <c r="P96" i="3"/>
  <c r="S117" i="3"/>
  <c r="R117" i="3"/>
  <c r="R85" i="3"/>
  <c r="P100" i="3"/>
  <c r="S43" i="3"/>
  <c r="S49" i="3" s="1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P115" i="3" l="1"/>
  <c r="P116" i="3" s="1"/>
  <c r="S42" i="3"/>
  <c r="S48" i="3" s="1"/>
  <c r="R84" i="3"/>
  <c r="S84" i="3" s="1"/>
  <c r="P99" i="3"/>
  <c r="R86" i="3"/>
  <c r="P102" i="3"/>
  <c r="S45" i="3"/>
  <c r="S51" i="3" s="1"/>
  <c r="S44" i="3"/>
  <c r="S50" i="3" s="1"/>
  <c r="P101" i="3"/>
  <c r="R87" i="3"/>
  <c r="S118" i="3"/>
  <c r="S114" i="3"/>
  <c r="R118" i="3"/>
  <c r="R114" i="3"/>
  <c r="R116" i="3" s="1"/>
  <c r="R133" i="3"/>
  <c r="R123" i="3" s="1"/>
  <c r="S133" i="3"/>
  <c r="S123" i="3" s="1"/>
  <c r="S55" i="3"/>
  <c r="S72" i="3"/>
  <c r="S54" i="3"/>
  <c r="S71" i="3"/>
  <c r="Q16" i="2"/>
  <c r="Y17" i="2" s="1"/>
  <c r="AA17" i="2" s="1"/>
  <c r="K17" i="2" s="1"/>
  <c r="F17" i="2"/>
  <c r="S52" i="3" l="1"/>
  <c r="S74" i="3"/>
  <c r="S57" i="3"/>
  <c r="S46" i="3"/>
  <c r="S56" i="3"/>
  <c r="S73" i="3"/>
  <c r="R81" i="3" s="1"/>
  <c r="S58" i="3"/>
  <c r="R119" i="3"/>
  <c r="R120" i="3" s="1"/>
  <c r="R145" i="3"/>
  <c r="S119" i="3"/>
  <c r="S120" i="3" s="1"/>
  <c r="S145" i="3"/>
  <c r="S134" i="3"/>
  <c r="S135" i="3" s="1"/>
  <c r="R134" i="3"/>
  <c r="R135" i="3" s="1"/>
  <c r="R78" i="3"/>
  <c r="R79" i="3"/>
  <c r="G17" i="2"/>
  <c r="U17" i="2" s="1"/>
  <c r="W17" i="2" s="1"/>
  <c r="O17" i="2" s="1"/>
  <c r="P17" i="2" s="1"/>
  <c r="X18" i="2" s="1"/>
  <c r="Z18" i="2" s="1"/>
  <c r="J18" i="2" s="1"/>
  <c r="S75" i="3" l="1"/>
  <c r="R80" i="3"/>
  <c r="S122" i="3"/>
  <c r="R122" i="3"/>
  <c r="R121" i="3"/>
  <c r="S137" i="3"/>
  <c r="R137" i="3"/>
  <c r="Q17" i="2"/>
  <c r="Y18" i="2" s="1"/>
  <c r="AA18" i="2" s="1"/>
  <c r="G18" i="2" s="1"/>
  <c r="F18" i="2"/>
  <c r="R138" i="3" l="1"/>
  <c r="S138" i="3" s="1"/>
  <c r="S139" i="3" s="1"/>
  <c r="R144" i="3"/>
  <c r="R148" i="3" s="1"/>
  <c r="S144" i="3"/>
  <c r="S148" i="3" s="1"/>
  <c r="R126" i="3"/>
  <c r="K18" i="2"/>
  <c r="U18" i="2"/>
  <c r="W18" i="2" s="1"/>
  <c r="O18" i="2" s="1"/>
  <c r="Q18" i="2" s="1"/>
  <c r="R139" i="3" l="1"/>
  <c r="R127" i="3"/>
  <c r="Y19" i="2"/>
  <c r="AA19" i="2" s="1"/>
  <c r="G19" i="2" s="1"/>
  <c r="P18" i="2"/>
  <c r="X19" i="2" s="1"/>
  <c r="Z19" i="2" s="1"/>
  <c r="J19" i="2" s="1"/>
  <c r="S130" i="3" l="1"/>
  <c r="R130" i="3"/>
  <c r="R131" i="3" s="1"/>
  <c r="R128" i="3"/>
  <c r="R129" i="3" s="1"/>
  <c r="S79" i="3" s="1"/>
  <c r="K19" i="2"/>
  <c r="F19" i="2"/>
  <c r="U19" i="2" s="1"/>
  <c r="W19" i="2" s="1"/>
  <c r="O19" i="2" s="1"/>
  <c r="P19" i="2" s="1"/>
  <c r="X20" i="2" s="1"/>
  <c r="Z20" i="2" s="1"/>
  <c r="S90" i="3" l="1"/>
  <c r="S95" i="3" s="1"/>
  <c r="S100" i="3" s="1"/>
  <c r="S131" i="3"/>
  <c r="R143" i="3"/>
  <c r="R142" i="3"/>
  <c r="R150" i="3"/>
  <c r="R151" i="3" s="1"/>
  <c r="S143" i="3"/>
  <c r="S142" i="3"/>
  <c r="S81" i="3"/>
  <c r="S80" i="3"/>
  <c r="S78" i="3"/>
  <c r="V110" i="3"/>
  <c r="U110" i="3"/>
  <c r="Q19" i="2"/>
  <c r="Y20" i="2" s="1"/>
  <c r="AA20" i="2" s="1"/>
  <c r="G20" i="2" s="1"/>
  <c r="J20" i="2"/>
  <c r="F20" i="2"/>
  <c r="S91" i="3" l="1"/>
  <c r="S96" i="3" s="1"/>
  <c r="S89" i="3"/>
  <c r="S94" i="3"/>
  <c r="S92" i="3"/>
  <c r="S97" i="3" s="1"/>
  <c r="U87" i="3" s="1"/>
  <c r="V117" i="3"/>
  <c r="U117" i="3"/>
  <c r="S99" i="3"/>
  <c r="V43" i="3"/>
  <c r="V49" i="3" s="1"/>
  <c r="V42" i="3"/>
  <c r="V48" i="3" s="1"/>
  <c r="U85" i="3"/>
  <c r="V111" i="3"/>
  <c r="Y108" i="3"/>
  <c r="Y109" i="3" s="1"/>
  <c r="U111" i="3"/>
  <c r="X108" i="3"/>
  <c r="X109" i="3" s="1"/>
  <c r="K20" i="2"/>
  <c r="U20" i="2"/>
  <c r="W20" i="2" s="1"/>
  <c r="U86" i="3" l="1"/>
  <c r="V44" i="3"/>
  <c r="V50" i="3" s="1"/>
  <c r="U84" i="3"/>
  <c r="V84" i="3" s="1"/>
  <c r="S101" i="3"/>
  <c r="S115" i="3"/>
  <c r="S116" i="3" s="1"/>
  <c r="V73" i="3"/>
  <c r="S102" i="3"/>
  <c r="V45" i="3"/>
  <c r="V114" i="3"/>
  <c r="V118" i="3"/>
  <c r="V72" i="3"/>
  <c r="U114" i="3"/>
  <c r="U116" i="3" s="1"/>
  <c r="U118" i="3"/>
  <c r="U133" i="3"/>
  <c r="U123" i="3" s="1"/>
  <c r="V133" i="3"/>
  <c r="V123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74" i="3"/>
  <c r="U81" i="3" s="1"/>
  <c r="V57" i="3"/>
  <c r="V46" i="3"/>
  <c r="U145" i="3"/>
  <c r="V119" i="3"/>
  <c r="U119" i="3"/>
  <c r="U120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20" i="3" l="1"/>
  <c r="V122" i="3" s="1"/>
  <c r="V145" i="3"/>
  <c r="U137" i="3"/>
  <c r="V137" i="3"/>
  <c r="U21" i="2"/>
  <c r="W21" i="2" s="1"/>
  <c r="O21" i="2" s="1"/>
  <c r="Q21" i="2" s="1"/>
  <c r="K21" i="2"/>
  <c r="U138" i="3" l="1"/>
  <c r="U139" i="3" s="1"/>
  <c r="U121" i="3"/>
  <c r="V144" i="3" s="1"/>
  <c r="V148" i="3" s="1"/>
  <c r="U122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8" i="3" l="1"/>
  <c r="V139" i="3" s="1"/>
  <c r="U126" i="3"/>
  <c r="U144" i="3"/>
  <c r="U148" i="3" s="1"/>
  <c r="U127" i="3"/>
  <c r="U130" i="3" s="1"/>
  <c r="U131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0" i="3"/>
  <c r="U128" i="3"/>
  <c r="U129" i="3" s="1"/>
  <c r="V78" i="3" s="1"/>
  <c r="G23" i="2"/>
  <c r="K23" i="2"/>
  <c r="F23" i="2"/>
  <c r="U23" i="2" s="1"/>
  <c r="W23" i="2" s="1"/>
  <c r="O23" i="2" s="1"/>
  <c r="Q23" i="2" s="1"/>
  <c r="Y24" i="2" s="1"/>
  <c r="AA24" i="2" s="1"/>
  <c r="V89" i="3" l="1"/>
  <c r="V94" i="3"/>
  <c r="V131" i="3"/>
  <c r="X117" i="3"/>
  <c r="V143" i="3"/>
  <c r="V142" i="3"/>
  <c r="Y110" i="3" s="1"/>
  <c r="U150" i="3"/>
  <c r="U151" i="3" s="1"/>
  <c r="V79" i="3"/>
  <c r="V80" i="3"/>
  <c r="Y42" i="3"/>
  <c r="Y48" i="3" s="1"/>
  <c r="V81" i="3"/>
  <c r="X111" i="3"/>
  <c r="P23" i="2"/>
  <c r="X24" i="2" s="1"/>
  <c r="Z24" i="2" s="1"/>
  <c r="J24" i="2" s="1"/>
  <c r="G24" i="2"/>
  <c r="K24" i="2"/>
  <c r="V90" i="3" l="1"/>
  <c r="V95" i="3"/>
  <c r="V100" i="3" s="1"/>
  <c r="V92" i="3"/>
  <c r="V97" i="3"/>
  <c r="V91" i="3"/>
  <c r="V96" i="3"/>
  <c r="X86" i="3" s="1"/>
  <c r="X84" i="3"/>
  <c r="Y84" i="3" s="1"/>
  <c r="Y43" i="3"/>
  <c r="Y72" i="3" s="1"/>
  <c r="Y44" i="3"/>
  <c r="Y50" i="3" s="1"/>
  <c r="Y117" i="3"/>
  <c r="X114" i="3"/>
  <c r="X116" i="3" s="1"/>
  <c r="X118" i="3"/>
  <c r="V99" i="3"/>
  <c r="X133" i="3"/>
  <c r="X123" i="3" s="1"/>
  <c r="Y54" i="3"/>
  <c r="Y71" i="3"/>
  <c r="X78" i="3" s="1"/>
  <c r="Y111" i="3"/>
  <c r="F24" i="2"/>
  <c r="U24" i="2" s="1"/>
  <c r="W24" i="2" s="1"/>
  <c r="O24" i="2" s="1"/>
  <c r="P24" i="2" s="1"/>
  <c r="X25" i="2" s="1"/>
  <c r="Z25" i="2" s="1"/>
  <c r="J25" i="2" s="1"/>
  <c r="V101" i="3" l="1"/>
  <c r="Y45" i="3"/>
  <c r="Y51" i="3" s="1"/>
  <c r="X87" i="3"/>
  <c r="V102" i="3"/>
  <c r="V115" i="3"/>
  <c r="V116" i="3" s="1"/>
  <c r="X85" i="3"/>
  <c r="Y73" i="3"/>
  <c r="X80" i="3" s="1"/>
  <c r="Y56" i="3"/>
  <c r="Y74" i="3"/>
  <c r="Y57" i="3"/>
  <c r="X119" i="3"/>
  <c r="X120" i="3" s="1"/>
  <c r="X145" i="3"/>
  <c r="Y114" i="3"/>
  <c r="Y118" i="3"/>
  <c r="Y133" i="3"/>
  <c r="Y123" i="3" s="1"/>
  <c r="X134" i="3"/>
  <c r="X135" i="3" s="1"/>
  <c r="X79" i="3"/>
  <c r="Y46" i="3"/>
  <c r="Y49" i="3"/>
  <c r="Y52" i="3" s="1"/>
  <c r="Y55" i="3"/>
  <c r="Q24" i="2"/>
  <c r="Y25" i="2" s="1"/>
  <c r="AA25" i="2" s="1"/>
  <c r="G25" i="2" s="1"/>
  <c r="F25" i="2"/>
  <c r="X81" i="3" l="1"/>
  <c r="Y75" i="3"/>
  <c r="Y58" i="3"/>
  <c r="Y119" i="3"/>
  <c r="Y120" i="3" s="1"/>
  <c r="Y145" i="3"/>
  <c r="X137" i="3"/>
  <c r="Y134" i="3"/>
  <c r="Y135" i="3" s="1"/>
  <c r="Y137" i="3" s="1"/>
  <c r="X138" i="3" s="1"/>
  <c r="K25" i="2"/>
  <c r="U25" i="2"/>
  <c r="W25" i="2" s="1"/>
  <c r="O25" i="2" s="1"/>
  <c r="Q25" i="2" s="1"/>
  <c r="Y26" i="2" s="1"/>
  <c r="AA26" i="2" s="1"/>
  <c r="G26" i="2" s="1"/>
  <c r="Y122" i="3" l="1"/>
  <c r="X121" i="3"/>
  <c r="X122" i="3"/>
  <c r="Y138" i="3"/>
  <c r="Y139" i="3" s="1"/>
  <c r="X139" i="3"/>
  <c r="P25" i="2"/>
  <c r="X26" i="2" s="1"/>
  <c r="Z26" i="2" s="1"/>
  <c r="J26" i="2" s="1"/>
  <c r="K26" i="2"/>
  <c r="X144" i="3" l="1"/>
  <c r="X148" i="3" s="1"/>
  <c r="Y144" i="3"/>
  <c r="Y148" i="3" s="1"/>
  <c r="X126" i="3"/>
  <c r="F26" i="2"/>
  <c r="U26" i="2" s="1"/>
  <c r="W26" i="2" s="1"/>
  <c r="O26" i="2" s="1"/>
  <c r="Q26" i="2" s="1"/>
  <c r="Y27" i="2" s="1"/>
  <c r="AA27" i="2" s="1"/>
  <c r="X127" i="3" l="1"/>
  <c r="P26" i="2"/>
  <c r="X27" i="2" s="1"/>
  <c r="Z27" i="2" s="1"/>
  <c r="J27" i="2" s="1"/>
  <c r="G27" i="2"/>
  <c r="K27" i="2"/>
  <c r="X130" i="3" l="1"/>
  <c r="X131" i="3" s="1"/>
  <c r="Y130" i="3"/>
  <c r="X128" i="3"/>
  <c r="X129" i="3" s="1"/>
  <c r="F27" i="2"/>
  <c r="U27" i="2" s="1"/>
  <c r="W27" i="2" s="1"/>
  <c r="O27" i="2" s="1"/>
  <c r="P27" i="2" s="1"/>
  <c r="X28" i="2" s="1"/>
  <c r="Z28" i="2" s="1"/>
  <c r="J28" i="2" s="1"/>
  <c r="Y131" i="3" l="1"/>
  <c r="Y143" i="3"/>
  <c r="Y142" i="3"/>
  <c r="X143" i="3"/>
  <c r="X142" i="3"/>
  <c r="X150" i="3"/>
  <c r="X151" i="3" s="1"/>
  <c r="Y80" i="3"/>
  <c r="Y81" i="3"/>
  <c r="Y79" i="3"/>
  <c r="Y78" i="3"/>
  <c r="Q27" i="2"/>
  <c r="Y28" i="2" s="1"/>
  <c r="AA28" i="2" s="1"/>
  <c r="G28" i="2" s="1"/>
  <c r="F28" i="2"/>
  <c r="Y90" i="3" l="1"/>
  <c r="Y95" i="3" s="1"/>
  <c r="Y92" i="3"/>
  <c r="Y97" i="3"/>
  <c r="Y89" i="3"/>
  <c r="Y94" i="3" s="1"/>
  <c r="Y91" i="3"/>
  <c r="Y96" i="3"/>
  <c r="U28" i="2"/>
  <c r="W28" i="2" s="1"/>
  <c r="O28" i="2" s="1"/>
  <c r="Q28" i="2" s="1"/>
  <c r="K28" i="2"/>
  <c r="Y115" i="3" l="1"/>
  <c r="Y116" i="3" s="1"/>
  <c r="Y99" i="3"/>
  <c r="Y101" i="3"/>
  <c r="Y102" i="3"/>
  <c r="Y100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<sst xmlns="http://schemas.openxmlformats.org/spreadsheetml/2006/main" count="417" uniqueCount="284">
  <si>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</si>
  <si>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</si>
  <si>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</si>
  <si>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</si>
  <si>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</si>
  <si>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</si>
  <si>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</si>
  <si>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</si>
  <si>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</si>
  <si>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</si>
  <si>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</si>
  <si>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</si>
  <si>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</si>
  <si>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</si>
  <si>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</si>
  <si>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</si>
  <si>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</si>
  <si>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</si>
  <si>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</si>
  <si>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</si>
  <si>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</si>
  <si>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</si>
  <si>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</si>
  <si>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</si>
  <si>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</si>
  <si>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</si>
  <si>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</si>
  <si>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</si>
  <si>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</si>
  <si>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</si>
  <si>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</si>
  <si>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</si>
  <si>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</si>
  <si>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</si>
  <si>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</si>
  <si>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</si>
  <si>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</si>
  <si>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</si>
  <si>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</si>
  <si>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</si>
  <si>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</si>
  <si>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</si>
  <si>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</si>
  <si>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</si>
  <si>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</si>
  <si>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</si>
  <si>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</si>
  <si>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</si>
  <si>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</si>
  <si>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</si>
  <si>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</si>
  <si>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</si>
  <si>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</si>
  <si>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</si>
  <si>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</si>
  <si>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</si>
  <si>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</si>
  <si>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</si>
  <si>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</si>
  <si>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</si>
  <si>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</si>
  <si>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</si>
  <si>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</si>
  <si>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</si>
  <si>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</si>
  <si>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</si>
  <si>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</si>
  <si>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</si>
  <si>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</si>
  <si>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</si>
  <si>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</si>
  <si>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</si>
  <si>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</si>
  <si>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</si>
  <si>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</si>
  <si>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</si>
  <si>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</si>
  <si>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</si>
  <si>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</si>
  <si>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</si>
  <si>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</si>
  <si>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</si>
  <si>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</si>
  <si>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</si>
  <si>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</si>
  <si>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</si>
  <si>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</si>
  <si>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</si>
  <si>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</si>
  <si>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</si>
  <si>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</si>
  <si>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</si>
  <si>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</si>
  <si>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</si>
  <si>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</si>
  <si>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</si>
  <si>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</si>
  <si>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</si>
  <si>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</si>
  <si>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</si>
  <si>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</si>
  <si>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</si>
  <si>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</si>
  <si>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</si>
  <si>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</si>
  <si>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</si>
  <si>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</si>
  <si>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</si>
  <si>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</si>
  <si>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</si>
  <si>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</si>
  <si>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</si>
  <si>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</si>
  <si>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</si>
  <si>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</si>
  <si>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</si>
  <si>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</si>
  <si>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</si>
  <si>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</si>
  <si>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</si>
  <si>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</si>
  <si>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</si>
  <si>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</si>
  <si>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</si>
  <si>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</si>
  <si>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</si>
  <si>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</si>
  <si>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</si>
  <si>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</si>
  <si>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</si>
  <si>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</si>
  <si>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</si>
  <si>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</si>
  <si>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</si>
  <si>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</si>
  <si>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</si>
  <si>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</si>
  <si>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</si>
  <si>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</si>
  <si>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</si>
  <si>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</si>
  <si>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</si>
  <si>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</si>
  <si>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</si>
  <si>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</si>
  <si>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</si>
  <si>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</si>
  <si>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</si>
  <si>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</si>
  <si>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</si>
  <si>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</si>
  <si>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</si>
  <si>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</si>
  <si>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</si>
  <si>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</si>
  <si>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</si>
  <si>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</si>
  <si>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</si>
  <si>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</si>
  <si>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</si>
  <si>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</si>
  <si>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</si>
  <si>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</si>
  <si>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</si>
  <si>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</si>
  <si>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</si>
  <si>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</si>
  <si>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</si>
  <si>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</si>
  <si>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</si>
  <si>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</si>
  <si>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</si>
  <si>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</si>
  <si>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</si>
  <si>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</si>
  <si>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</si>
  <si>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</si>
  <si>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</si>
  <si>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</si>
  <si>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</si>
  <si>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</si>
  <si>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</si>
  <si>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</si>
  <si>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</si>
  <si>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</si>
  <si>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</si>
  <si>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</si>
  <si>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</si>
  <si>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</si>
  <si>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</si>
  <si>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</si>
  <si>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</si>
  <si>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</si>
  <si>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</si>
  <si>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</si>
  <si>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</si>
  <si>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</si>
  <si>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</si>
  <si>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</si>
  <si>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</si>
  <si>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</si>
  <si>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</si>
  <si>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</si>
  <si>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</si>
  <si>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</si>
  <si>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</si>
  <si>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</si>
  <si>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</si>
  <si>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</si>
  <si>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</si>
  <si>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</si>
  <si>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</si>
  <si>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</si>
  <si>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</si>
  <si>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</si>
  <si>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</si>
  <si>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</si>
  <si>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</si>
  <si>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</si>
  <si>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</si>
  <si>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</si>
  <si>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</si>
  <si>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</si>
  <si>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</si>
  <si>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</si>
  <si>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</si>
  <si>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</si>
  <si>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</si>
  <si>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</si>
  <si>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</si>
  <si>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</si>
  <si>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</si>
  <si>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</si>
  <si>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</si>
  <si>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</si>
  <si>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</si>
  <si>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</si>
  <si>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</si>
  <si>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</si>
  <si>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</si>
  <si>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</si>
  <si>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</si>
  <si>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</si>
  <si>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</si>
  <si>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</si>
  <si>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</si>
  <si>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</si>
  <si>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</si>
  <si>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arr_biomass_c_ag_converted_away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</si>
  <si>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</si>
  <si>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</si>
  <si>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</si>
  <si>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</si>
  <si>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</si>
  <si>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</si>
  <si>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</si>
  <si>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</si>
  <si>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</si>
  <si>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</si>
  <si>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</si>
  <si>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</si>
  <si>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</si>
  <si>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</si>
  <si>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</si>
  <si>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</si>
  <si>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</si>
  <si>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</si>
  <si>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</si>
  <si>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</si>
  <si>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</si>
  <si>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</si>
  <si>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</si>
  <si>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</si>
  <si>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</si>
  <si>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</si>
  <si>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</si>
  <si>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</si>
  <si>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</si>
  <si>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</si>
  <si>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arr_orig_biomass_c_average_per_area_no_ds</t>
  </si>
  <si>
    <t>vec_total_removals_met</t>
  </si>
  <si>
    <t>vec_sf_nominal_initial</t>
  </si>
  <si>
    <t>vec_area_protected_young</t>
  </si>
  <si>
    <t>vec_biomass_c_ag_min_reqd_per_area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</si>
</sst>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2" borderId="0" xfId="0" applyFont="1" applyFill="1"/>
    <xf numFmtId="0" fontId="3" fillId="14" borderId="0" xfId="0" applyFont="1" applyFill="1" applyAlignment="1">
      <alignment horizontal="right" vertical="center" wrapText="1"/>
    </xf>
    <xf numFmtId="0" fontId="3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63" zoomScaleNormal="95" workbookViewId="0">
      <selection activeCell="J72" sqref="J72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6" t="s">
        <v>161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8" t="s">
        <v>235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163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51" t="s">
        <v>156</v>
      </c>
      <c r="B7" s="40" t="s">
        <v>175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51" t="s">
        <v>157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51" t="s">
        <v>225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51" t="s">
        <v>224</v>
      </c>
      <c r="B10" s="40" t="s">
        <v>175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51" t="s">
        <v>222</v>
      </c>
      <c r="B11" s="40" t="s">
        <v>175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51" t="s">
        <v>223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51" t="s">
        <v>158</v>
      </c>
      <c r="B13" s="40" t="s">
        <v>175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51" t="s">
        <v>226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51" t="s">
        <v>251</v>
      </c>
      <c r="B15" s="41" t="s">
        <v>162</v>
      </c>
      <c r="D15" s="22" t="s">
        <v>250</v>
      </c>
      <c r="E15" s="10" t="s">
        <v>249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51" t="s">
        <v>227</v>
      </c>
      <c r="B16" s="41" t="s">
        <v>162</v>
      </c>
      <c r="E16" s="10" t="s">
        <v>230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51" t="s">
        <v>228</v>
      </c>
      <c r="B17" s="41" t="s">
        <v>162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51" t="s">
        <v>229</v>
      </c>
      <c r="B18" s="41" t="s">
        <v>162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51" t="s">
        <v>231</v>
      </c>
      <c r="B19" s="41" t="s">
        <v>162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51" t="s">
        <v>233</v>
      </c>
      <c r="B20" s="41" t="s">
        <v>162</v>
      </c>
      <c r="E20" s="10" t="s">
        <v>174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51" t="s">
        <v>283</v>
      </c>
      <c r="B21" s="42" t="s">
        <v>175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51" t="s">
        <v>232</v>
      </c>
      <c r="B22" s="42" t="s">
        <v>175</v>
      </c>
      <c r="E22" s="10" t="s">
        <v>176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51" t="s">
        <v>159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51" t="s">
        <v>282</v>
      </c>
      <c r="B25" s="43" t="s">
        <v>164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51" t="s">
        <v>160</v>
      </c>
      <c r="B26" s="43" t="s">
        <v>164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170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51" t="s">
        <v>281</v>
      </c>
      <c r="B28" s="41" t="s">
        <v>162</v>
      </c>
      <c r="D28" s="28" t="s">
        <v>171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51" t="s">
        <v>234</v>
      </c>
      <c r="B29" s="42" t="s">
        <v>175</v>
      </c>
      <c r="D29" s="28"/>
      <c r="E29" s="34" t="s">
        <v>172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51" t="s">
        <v>169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180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9" t="s">
        <v>181</v>
      </c>
      <c r="B37" s="37" t="s">
        <v>175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50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</row>
    <row r="39" spans="1:26" ht="17" x14ac:dyDescent="0.2">
      <c r="A39" s="50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8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</row>
    <row r="40" spans="1:26" ht="17" x14ac:dyDescent="0.2">
      <c r="A40" s="50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50" t="s">
        <v>192</v>
      </c>
      <c r="B42" s="37" t="s">
        <v>175</v>
      </c>
      <c r="E42" s="14" t="s">
        <v>196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50"/>
      <c r="B43" s="37"/>
      <c r="E43" s="14" t="s">
        <v>197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50"/>
      <c r="B44" s="37"/>
      <c r="E44" s="14" t="s">
        <v>198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50"/>
      <c r="B45" s="37"/>
      <c r="E45" s="14" t="s">
        <v>199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51" t="s">
        <v>193</v>
      </c>
      <c r="B46" s="40" t="s">
        <v>175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50" t="s">
        <v>265</v>
      </c>
      <c r="B48" s="37" t="s">
        <v>175</v>
      </c>
      <c r="D48" s="28" t="s">
        <v>253</v>
      </c>
      <c r="E48" s="14" t="s">
        <v>252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50"/>
      <c r="B49" s="37"/>
      <c r="D49" s="28"/>
      <c r="E49" s="14" t="s">
        <v>254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</row>
    <row r="50" spans="1:25" ht="17" x14ac:dyDescent="0.2">
      <c r="A50" s="50"/>
      <c r="B50" s="37"/>
      <c r="D50" s="28"/>
      <c r="E50" s="14" t="s">
        <v>255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50"/>
      <c r="B51" s="37"/>
      <c r="D51" s="28"/>
      <c r="E51" s="14" t="s">
        <v>256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51" t="s">
        <v>266</v>
      </c>
      <c r="B52" s="40" t="s">
        <v>175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50" t="s">
        <v>194</v>
      </c>
      <c r="B54" s="37" t="s">
        <v>175</v>
      </c>
      <c r="E54" s="14" t="s">
        <v>200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50"/>
      <c r="B55" s="37"/>
      <c r="E55" s="14" t="s">
        <v>201</v>
      </c>
      <c r="G55" s="4">
        <f>G43*$G$20</f>
        <v>0</v>
      </c>
      <c r="J55" s="4">
        <f>J43*$G$20</f>
        <v>0</v>
      </c>
      <c r="M55" s="4">
        <f>M43*$G$20</f>
        <v>0</v>
      </c>
      <c r="P55" s="4">
        <f t="shared" ref="P55:P57" si="9">P43*$G$20</f>
        <v>0</v>
      </c>
      <c r="S55" s="4">
        <f t="shared" ref="S55:S57" si="10">S43*$G$20</f>
        <v>0</v>
      </c>
      <c r="V55" s="4">
        <f t="shared" ref="V55:V57" si="11">V43*$G$20</f>
        <v>0</v>
      </c>
      <c r="Y55" s="4">
        <f t="shared" ref="Y55:Y57" si="12">Y43*$G$20</f>
        <v>0</v>
      </c>
    </row>
    <row r="56" spans="1:25" ht="17" x14ac:dyDescent="0.2">
      <c r="A56" s="50"/>
      <c r="B56" s="37"/>
      <c r="E56" s="14" t="s">
        <v>202</v>
      </c>
      <c r="G56" s="4">
        <f t="shared" ref="G55:G57" si="13">G44*$G$20</f>
        <v>0</v>
      </c>
      <c r="J56" s="4">
        <f>J44*$G$20</f>
        <v>0</v>
      </c>
      <c r="M56" s="4">
        <f t="shared" ref="M55:M57" si="14">M44*$G$20</f>
        <v>0</v>
      </c>
      <c r="P56" s="4">
        <f t="shared" si="9"/>
        <v>0</v>
      </c>
      <c r="S56" s="4">
        <f t="shared" si="10"/>
        <v>0</v>
      </c>
      <c r="V56" s="4">
        <f t="shared" si="11"/>
        <v>0</v>
      </c>
      <c r="Y56" s="4">
        <f t="shared" si="12"/>
        <v>0</v>
      </c>
    </row>
    <row r="57" spans="1:25" ht="17" x14ac:dyDescent="0.2">
      <c r="A57" s="50"/>
      <c r="B57" s="37"/>
      <c r="E57" s="14" t="s">
        <v>203</v>
      </c>
      <c r="G57" s="4">
        <f t="shared" si="13"/>
        <v>0</v>
      </c>
      <c r="J57" s="4">
        <f t="shared" ref="J55:J57" si="15">J45*$G$20</f>
        <v>0</v>
      </c>
      <c r="M57" s="4">
        <f t="shared" si="14"/>
        <v>0</v>
      </c>
      <c r="P57" s="4">
        <f t="shared" si="9"/>
        <v>0</v>
      </c>
      <c r="S57" s="4">
        <f t="shared" si="10"/>
        <v>0</v>
      </c>
      <c r="V57" s="4">
        <f t="shared" si="11"/>
        <v>0</v>
      </c>
      <c r="Y57" s="4">
        <f t="shared" si="12"/>
        <v>0</v>
      </c>
    </row>
    <row r="58" spans="1:25" x14ac:dyDescent="0.2">
      <c r="A58" s="51" t="s">
        <v>195</v>
      </c>
      <c r="B58" s="40" t="s">
        <v>175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50" t="s">
        <v>179</v>
      </c>
      <c r="B60" s="37" t="s">
        <v>175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50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50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50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50" t="s">
        <v>239</v>
      </c>
      <c r="B66" s="37" t="s">
        <v>175</v>
      </c>
      <c r="E66" s="14" t="s">
        <v>109</v>
      </c>
      <c r="G66" s="4">
        <f>G37*G60</f>
        <v>0</v>
      </c>
      <c r="J66" s="4">
        <f>J37*J60</f>
        <v>0.85</v>
      </c>
      <c r="M66" s="4">
        <f>J66*(1- $F$29)+M37*M60</f>
        <v>5.0983000000000001</v>
      </c>
      <c r="P66" s="4">
        <f>M66*(1- $F$29)+P37*P60</f>
        <v>15.288103399999999</v>
      </c>
      <c r="S66" s="4">
        <f>P66*(1- $F$29)+S37*S60</f>
        <v>32.257527193199998</v>
      </c>
      <c r="V66" s="4">
        <f>S66*(1- $F$29)+V37*V60</f>
        <v>62.793012138813594</v>
      </c>
      <c r="Y66" s="4">
        <f>V66*(1- $F$29)+Y37*Y60</f>
        <v>113.66742611453597</v>
      </c>
    </row>
    <row r="67" spans="1:30" ht="17" x14ac:dyDescent="0.2">
      <c r="A67" s="50"/>
      <c r="B67" s="37"/>
      <c r="E67" s="14" t="s">
        <v>110</v>
      </c>
      <c r="J67" s="4">
        <f>J38*J61</f>
        <v>0</v>
      </c>
      <c r="M67" s="4">
        <f>J67*(1- $F$29)+M38*M61</f>
        <v>0.8</v>
      </c>
      <c r="P67" s="4">
        <f>M67*(1- $F$29)+P38*P61</f>
        <v>4.7984</v>
      </c>
      <c r="S67" s="4">
        <f>P67*(1- $F$29)+S38*S61</f>
        <v>14.3888032</v>
      </c>
      <c r="V67" s="4">
        <f>S67*(1- $F$29)+V38*V61</f>
        <v>30.3600255936</v>
      </c>
      <c r="Y67" s="4">
        <f>V67*(1- $F$29)+Y38*Y61</f>
        <v>59.099305542412793</v>
      </c>
    </row>
    <row r="68" spans="1:30" ht="17" x14ac:dyDescent="0.2">
      <c r="A68" s="50"/>
      <c r="B68" s="37"/>
      <c r="D68" s="28"/>
      <c r="E68" s="14" t="s">
        <v>111</v>
      </c>
      <c r="M68" s="4">
        <f>J68*(1- $F$29)+M39*M62</f>
        <v>0</v>
      </c>
      <c r="P68" s="4">
        <f>M68*(1- $F$29)+P39*P62</f>
        <v>0.92</v>
      </c>
      <c r="S68" s="4">
        <f>P68*(1- $F$29)+S39*S62</f>
        <v>5.5181600000000008</v>
      </c>
      <c r="V68" s="4">
        <f>S68*(1- $F$29)+V39*V62</f>
        <v>16.547123679999999</v>
      </c>
      <c r="Y68" s="4">
        <f>V68*(1- $F$29)+Y39*Y62</f>
        <v>34.91402943264</v>
      </c>
    </row>
    <row r="69" spans="1:30" ht="17" x14ac:dyDescent="0.2">
      <c r="A69" s="50"/>
      <c r="B69" s="37"/>
      <c r="D69" s="28"/>
      <c r="E69" s="14" t="s">
        <v>112</v>
      </c>
      <c r="M69" s="4">
        <f>J69*(1- $F$29)+M40*M63</f>
        <v>0</v>
      </c>
      <c r="P69" s="4">
        <f>M69*(1- $F$29)+P40*P63</f>
        <v>0</v>
      </c>
      <c r="S69" s="4">
        <f>P69*(1- $F$29)+S40*S63</f>
        <v>0.43</v>
      </c>
      <c r="V69" s="4">
        <f>S69*(1- $F$29)+V40*V63</f>
        <v>2.5791399999999998</v>
      </c>
      <c r="Y69" s="4">
        <f>V69*(1- $F$29)+Y40*Y63</f>
        <v>7.7339817200000001</v>
      </c>
    </row>
    <row r="70" spans="1:30" x14ac:dyDescent="0.2">
      <c r="D70" s="28"/>
      <c r="E70" s="14"/>
    </row>
    <row r="71" spans="1:30" ht="17" x14ac:dyDescent="0.2">
      <c r="A71" s="50" t="s">
        <v>236</v>
      </c>
      <c r="B71" s="37" t="s">
        <v>175</v>
      </c>
      <c r="E71" s="14" t="s">
        <v>127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50"/>
      <c r="B72" s="37"/>
      <c r="E72" s="14" t="s">
        <v>128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50"/>
      <c r="B73" s="37"/>
      <c r="D73" s="28" t="s">
        <v>152</v>
      </c>
      <c r="E73" s="14" t="s">
        <v>129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50"/>
      <c r="B74" s="37"/>
      <c r="D74" s="28"/>
      <c r="E74" s="14" t="s">
        <v>130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51" t="s">
        <v>237</v>
      </c>
      <c r="B75" s="40" t="s">
        <v>175</v>
      </c>
      <c r="D75" s="28"/>
      <c r="E75" s="14" t="s">
        <v>147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2" t="s">
        <v>238</v>
      </c>
      <c r="B77" s="37" t="s">
        <v>175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2"/>
      <c r="B78" s="37"/>
      <c r="E78" s="14" t="s">
        <v>148</v>
      </c>
      <c r="F78" s="4">
        <f>SUM(G$71:G71)</f>
        <v>0</v>
      </c>
      <c r="G78" s="4">
        <f>IF(F78&gt;=F$129, IF(F77&lt;F$129, F$129-F77, 0),G71)</f>
        <v>0</v>
      </c>
      <c r="I78" s="4">
        <f>SUM(J$71:J71)</f>
        <v>0</v>
      </c>
      <c r="J78" s="4">
        <f>IF(I78&gt;=I$129, IF(I77&lt;I$129, I$129-I77, 0),J71)</f>
        <v>0</v>
      </c>
      <c r="L78" s="4">
        <f>SUM(M$71:M71)</f>
        <v>0</v>
      </c>
      <c r="M78" s="4">
        <f>IF(L78&gt;=L$129, IF(L77&lt;L$129, L$129-L77, 0),M71)</f>
        <v>0</v>
      </c>
      <c r="O78" s="4">
        <f>SUM(P$71:P71)</f>
        <v>0</v>
      </c>
      <c r="P78" s="4">
        <f>IF(O78&gt;=O$129, IF(O77&lt;O$129, O$129-O77, 0),P71)</f>
        <v>0</v>
      </c>
      <c r="R78" s="4">
        <f>SUM(S$71:S71)</f>
        <v>6.7881033999999989</v>
      </c>
      <c r="S78" s="4">
        <f>IF(R78&gt;=R$129, IF(R77&lt;R$129, R$129-R77, 0),S71)</f>
        <v>0</v>
      </c>
      <c r="U78" s="4">
        <f>SUM(V$71:V71)</f>
        <v>23.757527193199998</v>
      </c>
      <c r="V78" s="4">
        <f>IF(U78&gt;=U$129, IF(U77&lt;U$129, U$129-U77, 0),V71)</f>
        <v>23.757527193199998</v>
      </c>
      <c r="X78" s="4">
        <f>SUM(Y$71:Y71)</f>
        <v>30.582999999999998</v>
      </c>
      <c r="Y78" s="4">
        <f>IF(X78&gt;=X$129, IF(X77&lt;X$129, X$129-X77, 0),Y71)</f>
        <v>30.582999999999998</v>
      </c>
    </row>
    <row r="79" spans="1:30" ht="17" x14ac:dyDescent="0.2">
      <c r="A79" s="52"/>
      <c r="B79" s="37"/>
      <c r="D79" s="22">
        <v>0</v>
      </c>
      <c r="E79" s="14" t="s">
        <v>149</v>
      </c>
      <c r="F79" s="4">
        <f>SUM(G$71:G72)</f>
        <v>0</v>
      </c>
      <c r="G79" s="4">
        <f>IF(F79&gt;=F$129, IF(F78&lt;F$129, F$129-F78, 0),G72)</f>
        <v>0</v>
      </c>
      <c r="I79" s="4">
        <f>SUM(J$71:J72)</f>
        <v>0</v>
      </c>
      <c r="J79" s="4">
        <f>IF(I79&gt;=I$129, IF(I78&lt;I$129, I$129-I78, 0),J72)</f>
        <v>0</v>
      </c>
      <c r="L79" s="4">
        <f>SUM(M$71:M72)</f>
        <v>0</v>
      </c>
      <c r="M79" s="4">
        <f>IF(L79&gt;=L$129, IF(L78&lt;L$129, L$129-L78, 0),M72)</f>
        <v>0</v>
      </c>
      <c r="O79" s="4">
        <f>SUM(P$71:P72)</f>
        <v>0</v>
      </c>
      <c r="P79" s="4">
        <f>IF(O79&gt;=O$129, IF(O78&lt;O$129, O$129-O78, 0),P72)</f>
        <v>0</v>
      </c>
      <c r="R79" s="4">
        <f>SUM(S$71:S72)</f>
        <v>6.7881033999999989</v>
      </c>
      <c r="S79" s="4">
        <f>IF(R79&gt;=R$129, IF(R78&lt;R$129, R$129-R78, 0),S72)</f>
        <v>0</v>
      </c>
      <c r="U79" s="4">
        <f>SUM(V$71:V72)</f>
        <v>30.146330393199996</v>
      </c>
      <c r="V79" s="4">
        <f>IF(U79&gt;=U$129, IF(U78&lt;U$129, U$129-U78, 0),V72)</f>
        <v>6.3888031999999981</v>
      </c>
      <c r="X79" s="4">
        <f>SUM(Y$71:Y72)</f>
        <v>46.567</v>
      </c>
      <c r="Y79" s="4">
        <f>IF(X79&gt;=X$129, IF(X78&lt;X$129, X$129-X78, 0),Y72)</f>
        <v>15.984000000000002</v>
      </c>
    </row>
    <row r="80" spans="1:30" ht="17" x14ac:dyDescent="0.2">
      <c r="A80" s="52"/>
      <c r="B80" s="37"/>
      <c r="D80" s="22">
        <v>1</v>
      </c>
      <c r="E80" s="14" t="s">
        <v>150</v>
      </c>
      <c r="F80" s="4">
        <f>SUM(G$71:G73)</f>
        <v>0</v>
      </c>
      <c r="G80" s="4">
        <f>IF(F80&gt;=F$129, IF(F79&lt;F$129, F$129-F79, 0),G73)</f>
        <v>0</v>
      </c>
      <c r="I80" s="4">
        <f>SUM(J$71:J73)</f>
        <v>0</v>
      </c>
      <c r="J80" s="4">
        <f>IF(I80&gt;=I$129, IF(I79&lt;I$129, I$129-I79, 0),J73)</f>
        <v>0</v>
      </c>
      <c r="L80" s="4">
        <f>SUM(M$71:M73)</f>
        <v>0</v>
      </c>
      <c r="M80" s="4">
        <f>IF(L80&gt;=L$129, IF(L79&lt;L$129, L$129-L79, 0),M73)</f>
        <v>0</v>
      </c>
      <c r="O80" s="4">
        <f>SUM(P$71:P73)</f>
        <v>0</v>
      </c>
      <c r="P80" s="4">
        <f>IF(O80&gt;=O$129, IF(O79&lt;O$129, O$129-O79, 0),P73)</f>
        <v>0</v>
      </c>
      <c r="R80" s="4">
        <f>SUM(S$71:S73)</f>
        <v>6.7881033999999989</v>
      </c>
      <c r="S80" s="4">
        <f>IF(R80&gt;=R$129, IF(R79&lt;R$129, R$129-R79, 0),S73)</f>
        <v>0</v>
      </c>
      <c r="U80" s="4">
        <f>SUM(V$71:V73)</f>
        <v>30.146330393199996</v>
      </c>
      <c r="V80" s="4">
        <f>IF(U80&gt;=U$129, IF(U79&lt;U$129, U$129-U79, 0),V73)</f>
        <v>0</v>
      </c>
      <c r="X80" s="4">
        <f>SUM(Y$71:Y73)</f>
        <v>53.914123679999996</v>
      </c>
      <c r="Y80" s="4">
        <f>IF(X80&gt;=X$129, IF(X79&lt;X$129, X$129-X79, 0),Y73)</f>
        <v>7.3471236799999957</v>
      </c>
    </row>
    <row r="81" spans="1:25" ht="17" x14ac:dyDescent="0.2">
      <c r="A81" s="52"/>
      <c r="B81" s="37"/>
      <c r="D81" s="22">
        <v>2</v>
      </c>
      <c r="E81" s="14" t="s">
        <v>151</v>
      </c>
      <c r="F81" s="4">
        <f>SUM(G$71:G74)</f>
        <v>0</v>
      </c>
      <c r="G81" s="4">
        <f>IF(F81&gt;=F$129, IF(F80&lt;F$129, F$129-F80, 0),G74)</f>
        <v>0</v>
      </c>
      <c r="I81" s="4">
        <f>SUM(J$71:J74)</f>
        <v>0</v>
      </c>
      <c r="J81" s="4">
        <f>IF(I81&gt;=I$129, IF(I80&lt;I$129, I$129-I80, 0),J74)</f>
        <v>0</v>
      </c>
      <c r="L81" s="4">
        <f>SUM(M$71:M74)</f>
        <v>0</v>
      </c>
      <c r="M81" s="4">
        <f>IF(L81&gt;=L$129, IF(L80&lt;L$129, L$129-L80, 0),M74)</f>
        <v>0</v>
      </c>
      <c r="O81" s="4">
        <f>SUM(P$71:P74)</f>
        <v>0</v>
      </c>
      <c r="P81" s="4">
        <f>IF(O81&gt;=O$129, IF(O80&lt;O$129, O$129-O80, 0),P74)</f>
        <v>0</v>
      </c>
      <c r="R81" s="4">
        <f>SUM(S$71:S74)</f>
        <v>6.7881033999999989</v>
      </c>
      <c r="S81" s="4">
        <f>IF(R81&gt;=R$129, IF(R80&lt;R$129, R$129-R80, 0),S74)</f>
        <v>0</v>
      </c>
      <c r="U81" s="4">
        <f>SUM(V$71:V74)</f>
        <v>30.146330393199996</v>
      </c>
      <c r="V81" s="4">
        <f>IF(U81&gt;=U$129, IF(U80&lt;U$129, U$129-U80, 0),V74)</f>
        <v>0</v>
      </c>
      <c r="X81" s="4">
        <f>SUM(Y$71:Y74)</f>
        <v>53.914123679999996</v>
      </c>
      <c r="Y81" s="4">
        <f>IF(X81&gt;=X$129, IF(X80&lt;X$129, X$129-X80,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136</v>
      </c>
      <c r="L83" s="4" t="s">
        <v>136</v>
      </c>
      <c r="O83" s="4" t="s">
        <v>136</v>
      </c>
      <c r="R83" s="4" t="s">
        <v>136</v>
      </c>
      <c r="U83" s="4" t="s">
        <v>136</v>
      </c>
      <c r="X83" s="4" t="s">
        <v>136</v>
      </c>
    </row>
    <row r="84" spans="1:25" ht="17" x14ac:dyDescent="0.2">
      <c r="A84" s="49" t="s">
        <v>182</v>
      </c>
      <c r="B84" s="37" t="s">
        <v>175</v>
      </c>
      <c r="E84" s="14" t="s">
        <v>131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0.92886400737928387</v>
      </c>
      <c r="Y84" s="4">
        <f>Y60*X84</f>
        <v>0.5573184044275703</v>
      </c>
    </row>
    <row r="85" spans="1:25" ht="17" x14ac:dyDescent="0.2">
      <c r="A85" s="49"/>
      <c r="B85" s="37"/>
      <c r="E85" s="14" t="s">
        <v>132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9"/>
      <c r="B86" s="37"/>
      <c r="E86" s="14" t="s">
        <v>133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9"/>
      <c r="B87" s="37"/>
      <c r="E87" s="14" t="s">
        <v>134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9" t="s">
        <v>205</v>
      </c>
      <c r="B89" s="37" t="s">
        <v>175</v>
      </c>
      <c r="E89" s="14" t="s">
        <v>206</v>
      </c>
      <c r="G89" s="4">
        <f>G55*G32</f>
        <v>0</v>
      </c>
      <c r="J89" s="4">
        <f>(G94-J78)*$F$29</f>
        <v>0</v>
      </c>
      <c r="M89" s="4">
        <f>(J94-M78)*$F$29</f>
        <v>1.6999999999999999E-3</v>
      </c>
      <c r="P89" s="4">
        <f>(M94-P78)*$F$29</f>
        <v>1.01966E-2</v>
      </c>
      <c r="S89" s="4">
        <f>(P94-S78)*$F$29</f>
        <v>3.0576206799999998E-2</v>
      </c>
      <c r="V89" s="4">
        <f>(S94-V78)*$F$29</f>
        <v>1.7000000000000001E-2</v>
      </c>
      <c r="Y89" s="4">
        <f>(V94-Y78)*$F$29</f>
        <v>1.7000000000000001E-2</v>
      </c>
    </row>
    <row r="90" spans="1:25" ht="17" x14ac:dyDescent="0.2">
      <c r="A90" s="49"/>
      <c r="B90" s="37"/>
      <c r="E90" s="14" t="s">
        <v>207</v>
      </c>
      <c r="G90" s="4">
        <f>G56*G33</f>
        <v>0</v>
      </c>
      <c r="J90" s="4">
        <f>(G95-J79)*$F$29</f>
        <v>0</v>
      </c>
      <c r="M90" s="4">
        <f t="shared" ref="M90:M92" si="16">(J95-M79)*$F$29</f>
        <v>0</v>
      </c>
      <c r="P90" s="4">
        <f t="shared" ref="P90:P92" si="17">(M95-P79)*$F$29</f>
        <v>1.6000000000000001E-3</v>
      </c>
      <c r="S90" s="4">
        <f t="shared" ref="S90:S92" si="18">(P95-S79)*$F$29</f>
        <v>9.5968000000000008E-3</v>
      </c>
      <c r="V90" s="4">
        <f t="shared" ref="V90:V92" si="19">(S95-V79)*$F$29</f>
        <v>1.6000000000000004E-2</v>
      </c>
      <c r="Y90" s="4">
        <f t="shared" ref="Y90:Y92" si="20">(V95-Y79)*$F$29</f>
        <v>1.6E-2</v>
      </c>
    </row>
    <row r="91" spans="1:25" ht="17" x14ac:dyDescent="0.2">
      <c r="A91" s="49"/>
      <c r="B91" s="37"/>
      <c r="E91" s="14" t="s">
        <v>208</v>
      </c>
      <c r="G91" s="4">
        <f>G57*G34</f>
        <v>0</v>
      </c>
      <c r="J91" s="4">
        <f t="shared" ref="J90:J92" si="21">(G96-J80)*$F$29</f>
        <v>0</v>
      </c>
      <c r="M91" s="4">
        <f t="shared" si="16"/>
        <v>0</v>
      </c>
      <c r="P91" s="4">
        <f t="shared" si="17"/>
        <v>0</v>
      </c>
      <c r="S91" s="4">
        <f t="shared" si="18"/>
        <v>1.8400000000000001E-3</v>
      </c>
      <c r="V91" s="4">
        <f t="shared" si="19"/>
        <v>1.1036320000000002E-2</v>
      </c>
      <c r="Y91" s="4">
        <f t="shared" si="20"/>
        <v>1.8400000000000007E-2</v>
      </c>
    </row>
    <row r="92" spans="1:25" ht="17" x14ac:dyDescent="0.2">
      <c r="A92" s="49"/>
      <c r="B92" s="37"/>
      <c r="E92" s="14" t="s">
        <v>209</v>
      </c>
      <c r="G92" s="4">
        <f>G58*G35</f>
        <v>0</v>
      </c>
      <c r="J92" s="4">
        <f t="shared" si="21"/>
        <v>0</v>
      </c>
      <c r="M92" s="4">
        <f t="shared" si="16"/>
        <v>0</v>
      </c>
      <c r="P92" s="4">
        <f t="shared" si="17"/>
        <v>0</v>
      </c>
      <c r="S92" s="4">
        <f t="shared" si="18"/>
        <v>0</v>
      </c>
      <c r="V92" s="4">
        <f t="shared" si="19"/>
        <v>8.5999999999999998E-4</v>
      </c>
      <c r="Y92" s="4">
        <f t="shared" si="20"/>
        <v>5.1582799999999995E-3</v>
      </c>
    </row>
    <row r="93" spans="1:25" x14ac:dyDescent="0.2">
      <c r="E93" s="14"/>
    </row>
    <row r="94" spans="1:25" ht="17" x14ac:dyDescent="0.2">
      <c r="A94" s="47" t="s">
        <v>210</v>
      </c>
      <c r="B94" s="37" t="s">
        <v>175</v>
      </c>
      <c r="E94" s="14" t="s">
        <v>70</v>
      </c>
      <c r="G94" s="4">
        <f>G60*G37</f>
        <v>0</v>
      </c>
      <c r="J94" s="4">
        <f>G94 - J78 - J89 - J42 + J37*J84</f>
        <v>0.85</v>
      </c>
      <c r="M94" s="4">
        <f>J94 - M78 - M89 - M42 + M37*M84</f>
        <v>5.0983000000000001</v>
      </c>
      <c r="P94" s="4">
        <f>M94 - P78 - P89 - P42 + P37*P84</f>
        <v>15.288103399999999</v>
      </c>
      <c r="S94" s="4">
        <f>P94 - S78 - S89 - S42 + S37*S84</f>
        <v>32.257527193199998</v>
      </c>
      <c r="V94" s="4">
        <f>S94 - V78 - V89 - V42 + V37*V84</f>
        <v>39.082999999999998</v>
      </c>
      <c r="Y94" s="4">
        <f>V94 - Y78 - Y89 - Y42 + Y37*Y84</f>
        <v>55.855064376343478</v>
      </c>
    </row>
    <row r="95" spans="1:25" ht="17" x14ac:dyDescent="0.2">
      <c r="A95" s="47"/>
      <c r="B95" s="37"/>
      <c r="E95" s="14" t="s">
        <v>71</v>
      </c>
      <c r="G95" s="4">
        <f>G61*G38</f>
        <v>0</v>
      </c>
      <c r="J95" s="4">
        <f t="shared" ref="J95:J97" si="22">G95 - J79 - J90 - J43 + J38*J85</f>
        <v>0</v>
      </c>
      <c r="M95" s="4">
        <f t="shared" ref="M95:M97" si="23">J95 - M79 - M90 - M43 + M38*M85</f>
        <v>0.8</v>
      </c>
      <c r="P95" s="4">
        <f t="shared" ref="P95:P97" si="24">M95 - P79 - P90 - P43 + P38*P85</f>
        <v>4.7984</v>
      </c>
      <c r="S95" s="4">
        <f t="shared" ref="S95:S97" si="25">P95 - S79 - S90 - S43 + S38*S85</f>
        <v>14.3888032</v>
      </c>
      <c r="V95" s="4">
        <f t="shared" ref="V95:V97" si="26">S95 - V79 - V90 - V43 + V38*V85</f>
        <v>23.984000000000002</v>
      </c>
      <c r="Y95" s="4">
        <f t="shared" ref="Y95:Y97" si="27">V95 - Y79 - Y90 - Y43 + Y38*Y85</f>
        <v>36.783999999999999</v>
      </c>
    </row>
    <row r="96" spans="1:25" ht="17" x14ac:dyDescent="0.2">
      <c r="A96" s="47"/>
      <c r="B96" s="37"/>
      <c r="E96" s="14" t="s">
        <v>72</v>
      </c>
      <c r="G96" s="4">
        <f>G62*G39</f>
        <v>0</v>
      </c>
      <c r="J96" s="4">
        <f>G96 - J80 - J91 - J44 + J39*J86</f>
        <v>0</v>
      </c>
      <c r="M96" s="4">
        <f>J96 - M80 - M91 - M44 + M39*M86</f>
        <v>0</v>
      </c>
      <c r="P96" s="4">
        <f>M96 - P80 - P91 - P44 + P39*P86</f>
        <v>0.92</v>
      </c>
      <c r="S96" s="4">
        <f>P96 - S80 - S91 - S44 + S39*S86</f>
        <v>5.5181600000000008</v>
      </c>
      <c r="V96" s="4">
        <f>S96 - V80 - V91 - V44 + V39*V86</f>
        <v>16.547123679999999</v>
      </c>
      <c r="Y96" s="4">
        <f>V96 - Y80 - Y91 - Y44 + Y39*Y86</f>
        <v>27.581600000000005</v>
      </c>
    </row>
    <row r="97" spans="1:25" ht="17" customHeight="1" x14ac:dyDescent="0.2">
      <c r="A97" s="47"/>
      <c r="B97" s="37"/>
      <c r="E97" s="14" t="s">
        <v>81</v>
      </c>
      <c r="G97" s="4">
        <f>G63*G40</f>
        <v>0</v>
      </c>
      <c r="J97" s="4">
        <f t="shared" si="22"/>
        <v>0</v>
      </c>
      <c r="M97" s="4">
        <f t="shared" si="23"/>
        <v>0</v>
      </c>
      <c r="P97" s="4">
        <f t="shared" si="24"/>
        <v>0</v>
      </c>
      <c r="S97" s="4">
        <f t="shared" si="25"/>
        <v>0.43</v>
      </c>
      <c r="V97" s="4">
        <f t="shared" si="26"/>
        <v>2.5791399999999998</v>
      </c>
      <c r="Y97" s="4">
        <f t="shared" si="27"/>
        <v>7.7339817200000001</v>
      </c>
    </row>
    <row r="98" spans="1:25" x14ac:dyDescent="0.2">
      <c r="D98" s="35"/>
      <c r="E98" s="14"/>
    </row>
    <row r="99" spans="1:25" ht="17" x14ac:dyDescent="0.2">
      <c r="A99" s="47" t="s">
        <v>211</v>
      </c>
      <c r="B99" s="37" t="s">
        <v>175</v>
      </c>
      <c r="D99" s="35"/>
      <c r="E99" s="14" t="s">
        <v>212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13.963766094085869</v>
      </c>
    </row>
    <row r="100" spans="1:25" ht="17" x14ac:dyDescent="0.2">
      <c r="A100" s="47"/>
      <c r="B100" s="37"/>
      <c r="D100" s="35"/>
      <c r="E100" s="14" t="s">
        <v>213</v>
      </c>
      <c r="G100" s="4">
        <f t="shared" ref="G100:G102" si="28">G95*$G$20</f>
        <v>0</v>
      </c>
      <c r="J100" s="4">
        <f t="shared" ref="J100:J102" si="29">J95*$G$20</f>
        <v>0</v>
      </c>
      <c r="M100" s="4">
        <f t="shared" ref="M100:M102" si="30">M95*$G$20</f>
        <v>0.2</v>
      </c>
      <c r="P100" s="4">
        <f t="shared" ref="P100:P102" si="31">P95*$G$20</f>
        <v>1.1996</v>
      </c>
      <c r="S100" s="4">
        <f t="shared" ref="S100:S102" si="32">S95*$G$20</f>
        <v>3.5972008</v>
      </c>
      <c r="V100" s="4">
        <f t="shared" ref="V100:V102" si="33">V95*$G$20</f>
        <v>5.9960000000000004</v>
      </c>
      <c r="Y100" s="4">
        <f t="shared" ref="Y100:Y102" si="34">Y95*$G$20</f>
        <v>9.1959999999999997</v>
      </c>
    </row>
    <row r="101" spans="1:25" ht="17" x14ac:dyDescent="0.2">
      <c r="A101" s="47"/>
      <c r="B101" s="37"/>
      <c r="D101" s="35"/>
      <c r="E101" s="14" t="s">
        <v>214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7"/>
      <c r="B102" s="37"/>
      <c r="D102" s="35"/>
      <c r="E102" s="14" t="s">
        <v>215</v>
      </c>
      <c r="G102" s="4">
        <f t="shared" si="28"/>
        <v>0</v>
      </c>
      <c r="J102" s="4">
        <f t="shared" si="29"/>
        <v>0</v>
      </c>
      <c r="M102" s="4">
        <f t="shared" si="30"/>
        <v>0</v>
      </c>
      <c r="P102" s="4">
        <f t="shared" si="31"/>
        <v>0</v>
      </c>
      <c r="S102" s="4">
        <f t="shared" si="32"/>
        <v>0.1075</v>
      </c>
      <c r="V102" s="4">
        <f t="shared" si="33"/>
        <v>0.64478499999999994</v>
      </c>
      <c r="Y102" s="4">
        <f t="shared" si="34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140</v>
      </c>
      <c r="F105" s="8" t="s">
        <v>124</v>
      </c>
      <c r="G105" s="8"/>
    </row>
    <row r="106" spans="1:25" ht="17" x14ac:dyDescent="0.2">
      <c r="A106" s="46" t="s">
        <v>240</v>
      </c>
      <c r="B106" s="44" t="s">
        <v>183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46" t="s">
        <v>241</v>
      </c>
      <c r="B107" s="40" t="s">
        <v>175</v>
      </c>
      <c r="E107" s="14" t="s">
        <v>141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46" t="s">
        <v>184</v>
      </c>
      <c r="B108" s="40" t="s">
        <v>175</v>
      </c>
      <c r="E108" s="14" t="s">
        <v>165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46" t="s">
        <v>185</v>
      </c>
      <c r="B109" s="43" t="s">
        <v>164</v>
      </c>
      <c r="E109" s="14" t="s">
        <v>131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46" t="s">
        <v>242</v>
      </c>
      <c r="B110" s="43" t="s">
        <v>164</v>
      </c>
      <c r="E110" s="14" t="s">
        <v>173</v>
      </c>
      <c r="F110" s="4">
        <f>F7*F19</f>
        <v>1500000</v>
      </c>
      <c r="G110" s="4">
        <f>G7*G19</f>
        <v>25000000</v>
      </c>
      <c r="I110" s="4">
        <f>F110 - F130 - F118 - F142+I109*I7</f>
        <v>1421423.1421982395</v>
      </c>
      <c r="J110" s="4">
        <f>G110 - G130 - G118 - G142 + J109*J7</f>
        <v>23256357.107801761</v>
      </c>
      <c r="L110" s="4">
        <f>I110 - I130 - I118 - I142+L109*L7</f>
        <v>1339098.0188325029</v>
      </c>
      <c r="M110" s="4">
        <f>J110 - J130 - J118 - J142 + M109*M7</f>
        <v>21469509.138674762</v>
      </c>
      <c r="O110" s="4">
        <f>L110 - L130 - L118 - L142+O109*O7</f>
        <v>1262299.2941418488</v>
      </c>
      <c r="P110" s="4">
        <f>M110 - M130 - M118 - M142 + P109*P7</f>
        <v>19621955.062304016</v>
      </c>
      <c r="R110" s="4">
        <f>O110 - O130 - O118 - O142+R109*R7</f>
        <v>1188284.3985212983</v>
      </c>
      <c r="S110" s="4">
        <f>P110 - P130 - P118 - P142 + S109*S7</f>
        <v>17672326.76258811</v>
      </c>
      <c r="U110" s="4">
        <f>R110 - R130 - R118 - R142+U109*U7</f>
        <v>1097914.9514073269</v>
      </c>
      <c r="V110" s="4">
        <f>S110 - S130 - S118 - S142 + V109*V7</f>
        <v>14958270.076713715</v>
      </c>
      <c r="X110" s="4">
        <f>U110 - U130 - U118 - U142+X109*X7</f>
        <v>819907.25090646883</v>
      </c>
      <c r="Y110" s="4">
        <f>V110 - V130 - V118 - V142 + Y109*Y7</f>
        <v>3187373.7005417161</v>
      </c>
    </row>
    <row r="111" spans="1:25" ht="17" x14ac:dyDescent="0.2">
      <c r="A111" s="46" t="s">
        <v>245</v>
      </c>
      <c r="B111" s="43" t="s">
        <v>164</v>
      </c>
      <c r="E111" s="14" t="s">
        <v>142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x14ac:dyDescent="0.2">
      <c r="E112" s="13"/>
    </row>
    <row r="113" spans="1:25" ht="17" x14ac:dyDescent="0.2">
      <c r="E113" s="11" t="s">
        <v>58</v>
      </c>
      <c r="F113" s="12"/>
      <c r="G113" s="12"/>
      <c r="I113" s="12"/>
      <c r="J113" s="12"/>
      <c r="L113" s="12"/>
      <c r="M113" s="12"/>
      <c r="O113" s="12"/>
      <c r="P113" s="12"/>
      <c r="R113" s="12"/>
      <c r="S113" s="12"/>
      <c r="U113" s="12"/>
      <c r="V113" s="12"/>
      <c r="X113" s="12"/>
      <c r="Y113" s="12"/>
    </row>
    <row r="114" spans="1:25" ht="17" x14ac:dyDescent="0.2">
      <c r="A114" s="46" t="s">
        <v>247</v>
      </c>
      <c r="B114" s="44" t="s">
        <v>183</v>
      </c>
      <c r="E114" s="10" t="s">
        <v>220</v>
      </c>
      <c r="F114" s="4">
        <f>F111*F7</f>
        <v>1500000</v>
      </c>
      <c r="G114" s="4">
        <f>G111*G7</f>
        <v>25000000</v>
      </c>
      <c r="I114" s="4">
        <f>I111*I7</f>
        <v>1421423.1421982395</v>
      </c>
      <c r="J114" s="4">
        <f>J111*J7</f>
        <v>23256357.107801761</v>
      </c>
      <c r="L114" s="4">
        <f>L111*L7</f>
        <v>1339098.0188325029</v>
      </c>
      <c r="M114" s="4">
        <f>M111*M7</f>
        <v>21469509.138674762</v>
      </c>
      <c r="O114" s="4">
        <f>O111*O7</f>
        <v>1262299.2941418488</v>
      </c>
      <c r="P114" s="4">
        <f>P111*P7</f>
        <v>19621955.062304016</v>
      </c>
      <c r="R114" s="4">
        <f>R111*R7</f>
        <v>1188284.3985212983</v>
      </c>
      <c r="S114" s="4">
        <f>S111*S7</f>
        <v>17672326.76258811</v>
      </c>
      <c r="U114" s="4">
        <f>U111*U7</f>
        <v>1097914.9514073269</v>
      </c>
      <c r="V114" s="4">
        <f>V111*V7</f>
        <v>14958270.076713715</v>
      </c>
      <c r="X114" s="4">
        <f>X111*X7</f>
        <v>819907.25090646883</v>
      </c>
      <c r="Y114" s="4">
        <f>Y111*Y7</f>
        <v>3187373.7005417161</v>
      </c>
    </row>
    <row r="115" spans="1:25" ht="17" x14ac:dyDescent="0.2">
      <c r="A115" s="46" t="s">
        <v>246</v>
      </c>
      <c r="B115" s="43" t="s">
        <v>164</v>
      </c>
      <c r="E115" s="10" t="s">
        <v>219</v>
      </c>
      <c r="G115" s="4">
        <f>SUM(G94:G97)</f>
        <v>0</v>
      </c>
      <c r="J115" s="4">
        <f>SUM(J94:J97)</f>
        <v>0.85</v>
      </c>
      <c r="M115" s="4">
        <f>SUM(M94:M97)</f>
        <v>5.8982999999999999</v>
      </c>
      <c r="P115" s="4">
        <f>SUM(P94:P97)</f>
        <v>21.0065034</v>
      </c>
      <c r="S115" s="4">
        <f>SUM(S94:S97)</f>
        <v>52.594490393199997</v>
      </c>
      <c r="V115" s="4">
        <f>SUM(V94:V97)</f>
        <v>82.193263680000001</v>
      </c>
      <c r="Y115" s="4">
        <f>SUM(Y94:Y97)</f>
        <v>127.95464609634348</v>
      </c>
    </row>
    <row r="116" spans="1:25" ht="17" x14ac:dyDescent="0.2">
      <c r="A116" s="46" t="s">
        <v>243</v>
      </c>
      <c r="B116" s="43" t="s">
        <v>164</v>
      </c>
      <c r="E116" s="10" t="s">
        <v>218</v>
      </c>
      <c r="F116" s="4">
        <f>F114+F115</f>
        <v>1500000</v>
      </c>
      <c r="G116" s="4">
        <f>G114+G115</f>
        <v>25000000</v>
      </c>
      <c r="I116" s="4">
        <f>I114+I115</f>
        <v>1421423.1421982395</v>
      </c>
      <c r="J116" s="4">
        <f>J114+J115</f>
        <v>23256357.957801763</v>
      </c>
      <c r="L116" s="4">
        <f>L114+L115</f>
        <v>1339098.0188325029</v>
      </c>
      <c r="M116" s="4">
        <f>M114+M115</f>
        <v>21469515.036974762</v>
      </c>
      <c r="O116" s="4">
        <f>O114+O115</f>
        <v>1262299.2941418488</v>
      </c>
      <c r="P116" s="4">
        <f>P114+P115</f>
        <v>19621976.068807416</v>
      </c>
      <c r="R116" s="4">
        <f>R114+R115</f>
        <v>1188284.3985212983</v>
      </c>
      <c r="S116" s="4">
        <f>S114+S115</f>
        <v>17672379.357078504</v>
      </c>
      <c r="U116" s="4">
        <f>U114+U115</f>
        <v>1097914.9514073269</v>
      </c>
      <c r="V116" s="4">
        <f>V114+V115</f>
        <v>14958352.269977394</v>
      </c>
      <c r="X116" s="4">
        <f>X114+X115</f>
        <v>819907.25090646883</v>
      </c>
      <c r="Y116" s="4">
        <f>Y114+Y115</f>
        <v>3187501.6551878126</v>
      </c>
    </row>
    <row r="117" spans="1:25" ht="17" x14ac:dyDescent="0.2">
      <c r="A117" s="46" t="s">
        <v>244</v>
      </c>
      <c r="B117" s="43" t="s">
        <v>164</v>
      </c>
      <c r="E117" s="10" t="s">
        <v>221</v>
      </c>
      <c r="F117" s="4">
        <f>F110*$F$20</f>
        <v>450000</v>
      </c>
      <c r="G117" s="4">
        <f>G110*$G$20</f>
        <v>6250000</v>
      </c>
      <c r="I117" s="4">
        <f>I110*$F$20</f>
        <v>426426.94265947182</v>
      </c>
      <c r="J117" s="4">
        <f>J110*$G$20</f>
        <v>5814089.2769504404</v>
      </c>
      <c r="L117" s="4">
        <f>L110*$F$20</f>
        <v>401729.40564975084</v>
      </c>
      <c r="M117" s="4">
        <f>M110*$G$20</f>
        <v>5367377.2846686905</v>
      </c>
      <c r="O117" s="4">
        <f>O110*$F$20</f>
        <v>378689.78824255464</v>
      </c>
      <c r="P117" s="4">
        <f>P110*$G$20</f>
        <v>4905488.7655760041</v>
      </c>
      <c r="R117" s="4">
        <f>R110*$F$20</f>
        <v>356485.31955638947</v>
      </c>
      <c r="S117" s="4">
        <f>S110*$G$20</f>
        <v>4418081.6906470275</v>
      </c>
      <c r="U117" s="4">
        <f>U110*$F$20</f>
        <v>329374.48542219802</v>
      </c>
      <c r="V117" s="4">
        <f>V110*$G$20</f>
        <v>3739567.5191784287</v>
      </c>
      <c r="X117" s="4">
        <f>X110*$F$20</f>
        <v>245972.17527194065</v>
      </c>
      <c r="Y117" s="4">
        <f>Y110*$G$20</f>
        <v>796843.42513542902</v>
      </c>
    </row>
    <row r="118" spans="1:25" ht="17" x14ac:dyDescent="0.2">
      <c r="A118" s="46" t="s">
        <v>248</v>
      </c>
      <c r="B118" s="40" t="s">
        <v>175</v>
      </c>
      <c r="E118" s="10" t="s">
        <v>271</v>
      </c>
      <c r="F118" s="4">
        <f>F9*F111</f>
        <v>7500</v>
      </c>
      <c r="G118" s="4">
        <f>G9*G111</f>
        <v>10000</v>
      </c>
      <c r="I118" s="4">
        <f>I9*I111</f>
        <v>8857.1090267628988</v>
      </c>
      <c r="J118" s="4">
        <f>J9*J111</f>
        <v>10236.891884186449</v>
      </c>
      <c r="L118" s="4">
        <f>L9*L111</f>
        <v>7854.741615320102</v>
      </c>
      <c r="M118" s="4">
        <f>M9*M111</f>
        <v>8079.3220666777197</v>
      </c>
      <c r="O118" s="4">
        <f>O9*O111</f>
        <v>8988.9064689653533</v>
      </c>
      <c r="P118" s="4">
        <f>P9*P111</f>
        <v>15088.008506193015</v>
      </c>
      <c r="R118" s="4">
        <f>R9*R111</f>
        <v>12175.045066816581</v>
      </c>
      <c r="S118" s="4">
        <f>S9*S111</f>
        <v>2762.363504155991</v>
      </c>
      <c r="U118" s="4">
        <f>U9*U111</f>
        <v>11138.267622972882</v>
      </c>
      <c r="V118" s="4">
        <f>V9*V111</f>
        <v>6295.9467582824846</v>
      </c>
      <c r="X118" s="4">
        <f>X9*X111</f>
        <v>8403.1489844001189</v>
      </c>
      <c r="Y118" s="4">
        <f>Y9*Y111</f>
        <v>1342.1328142319546</v>
      </c>
    </row>
    <row r="119" spans="1:25" ht="17" x14ac:dyDescent="0.2">
      <c r="A119" s="46" t="s">
        <v>267</v>
      </c>
      <c r="B119" s="40" t="s">
        <v>175</v>
      </c>
      <c r="E119" s="10" t="s">
        <v>272</v>
      </c>
      <c r="F119" s="4">
        <f>MIN(F118,F9*F15)</f>
        <v>250</v>
      </c>
      <c r="G119" s="4">
        <f>MIN(G118,G9*G15)</f>
        <v>1000</v>
      </c>
      <c r="I119" s="4">
        <f>MIN(I118,I9*I15)</f>
        <v>316.2</v>
      </c>
      <c r="J119" s="4">
        <f>MIN(J118,J9*J15)</f>
        <v>1078</v>
      </c>
      <c r="L119" s="4">
        <f>MIN(L118,L9*L15)</f>
        <v>301.60000000000002</v>
      </c>
      <c r="M119" s="4">
        <f>MIN(M118,M9*M15)</f>
        <v>921.2</v>
      </c>
      <c r="O119" s="4">
        <f>MIN(O118,O9*O15)</f>
        <v>329</v>
      </c>
      <c r="P119" s="4">
        <f>MIN(P118,P9*P15)</f>
        <v>1900.8000000000002</v>
      </c>
      <c r="R119" s="4">
        <f>MIN(R118,R9*R15)</f>
        <v>520</v>
      </c>
      <c r="S119" s="4">
        <f>MIN(S118,S9*S15)</f>
        <v>393.9</v>
      </c>
      <c r="U119" s="4">
        <f>MIN(U118,U9*U15)</f>
        <v>401.79999999999995</v>
      </c>
      <c r="V119" s="4">
        <f>MIN(V118,V9*V15)</f>
        <v>1155</v>
      </c>
      <c r="X119" s="4">
        <f>MIN(X118,X9*X15)</f>
        <v>499.79999999999995</v>
      </c>
      <c r="Y119" s="4">
        <f>MIN(Y118,Y9*Y15)</f>
        <v>945</v>
      </c>
    </row>
    <row r="120" spans="1:25" ht="17" x14ac:dyDescent="0.2">
      <c r="A120" s="46" t="s">
        <v>268</v>
      </c>
      <c r="B120" s="40" t="s">
        <v>175</v>
      </c>
      <c r="E120" s="10" t="s">
        <v>259</v>
      </c>
      <c r="F120" s="4">
        <f>(F118-F119)*$F$14</f>
        <v>5075</v>
      </c>
      <c r="G120" s="4">
        <f>(G118-G119+G46-G52)*$F$14</f>
        <v>6300</v>
      </c>
      <c r="I120" s="4">
        <f>(I118-I119)*$F$14</f>
        <v>5978.6363187340285</v>
      </c>
      <c r="J120" s="4">
        <f>(J118-J119+J46-J52)*$F$14</f>
        <v>6411.2243189305136</v>
      </c>
      <c r="L120" s="4">
        <f>(L118-L119)*$F$14</f>
        <v>5287.1991307240705</v>
      </c>
      <c r="M120" s="4">
        <f>(M118-M119+M46-M52)*$F$14</f>
        <v>5010.6854466744035</v>
      </c>
      <c r="O120" s="4">
        <f>(O118-O119)*$F$14</f>
        <v>6061.9345282757467</v>
      </c>
      <c r="P120" s="4">
        <f>(P118-P119+P46-P52)*$F$14</f>
        <v>9231.0459543351099</v>
      </c>
      <c r="R120" s="4">
        <f>(R118-R119)*$F$14</f>
        <v>8158.5315467716064</v>
      </c>
      <c r="S120" s="4">
        <f>(S118-S119+S46-S52)*$F$14</f>
        <v>1657.9244529091936</v>
      </c>
      <c r="U120" s="4">
        <f>(U118-U119)*$F$14</f>
        <v>7515.5273360810179</v>
      </c>
      <c r="V120" s="4">
        <f>(V118-V119+V46-V52)*$F$14</f>
        <v>3598.6627307977387</v>
      </c>
      <c r="X120" s="4">
        <f>(X118-X119)*$F$14</f>
        <v>5532.3442890800825</v>
      </c>
      <c r="Y120" s="4">
        <f>(Y118-Y119+Y46-Y52)*$F$14</f>
        <v>277.99296996236819</v>
      </c>
    </row>
    <row r="121" spans="1:25" ht="17" x14ac:dyDescent="0.2">
      <c r="A121" s="46" t="s">
        <v>260</v>
      </c>
      <c r="B121" s="43" t="s">
        <v>164</v>
      </c>
      <c r="E121" s="14" t="s">
        <v>257</v>
      </c>
      <c r="F121" s="4">
        <f>MIN(F120+G120, F32)</f>
        <v>11375</v>
      </c>
      <c r="I121" s="4">
        <f>MIN(I120+J120, I32)</f>
        <v>12389.860637664542</v>
      </c>
      <c r="L121" s="4">
        <f>MIN(L120+M120, L32)</f>
        <v>10297.884577398474</v>
      </c>
      <c r="O121" s="4">
        <f>MIN(O120+P120, O32)</f>
        <v>15292.980482610856</v>
      </c>
      <c r="R121" s="4">
        <f>MIN(R120+S120, R32)</f>
        <v>9816.4559996808002</v>
      </c>
      <c r="U121" s="4">
        <f>MIN(U120+V120, U32)</f>
        <v>11114.190066878757</v>
      </c>
      <c r="X121" s="4">
        <f>MIN(X120+Y120, X32)</f>
        <v>5810.3372590424506</v>
      </c>
    </row>
    <row r="122" spans="1:25" ht="17" x14ac:dyDescent="0.2">
      <c r="A122" s="46" t="s">
        <v>261</v>
      </c>
      <c r="B122" s="40" t="s">
        <v>175</v>
      </c>
      <c r="E122" s="14" t="s">
        <v>273</v>
      </c>
      <c r="F122" s="4">
        <f>F120/(F120+G120)</f>
        <v>0.44615384615384618</v>
      </c>
      <c r="G122" s="4">
        <f>G120/(F120+G120)</f>
        <v>0.55384615384615388</v>
      </c>
      <c r="I122" s="4">
        <f>I120/(I120+J120)</f>
        <v>0.48254266077531816</v>
      </c>
      <c r="J122" s="4">
        <f>J120/(I120+J120)</f>
        <v>0.51745733922468184</v>
      </c>
      <c r="L122" s="4">
        <f>L120/(L120+M120)</f>
        <v>0.51342575176345207</v>
      </c>
      <c r="M122" s="4">
        <f>M120/(L120+M120)</f>
        <v>0.48657424823654793</v>
      </c>
      <c r="O122" s="4">
        <f>O120/(O120+P120)</f>
        <v>0.39638673018438575</v>
      </c>
      <c r="P122" s="4">
        <f>P120/(O120+P120)</f>
        <v>0.60361326981561425</v>
      </c>
      <c r="R122" s="4">
        <f>R120/(R120+S120)</f>
        <v>0.83110763671093679</v>
      </c>
      <c r="S122" s="4">
        <f>S120/(R120+S120)</f>
        <v>0.16889236328906318</v>
      </c>
      <c r="U122" s="4">
        <f>U120/(U120+V120)</f>
        <v>0.67621007836440883</v>
      </c>
      <c r="V122" s="4">
        <f>V120/(U120+V120)</f>
        <v>0.32378992163559123</v>
      </c>
      <c r="X122" s="4">
        <f>X120/(X120+Y120)</f>
        <v>0.95215545026586257</v>
      </c>
      <c r="Y122" s="4">
        <f>Y120/(X120+Y120)</f>
        <v>4.7844549734137418E-2</v>
      </c>
    </row>
    <row r="123" spans="1:25" ht="34" x14ac:dyDescent="0.2">
      <c r="A123" s="46" t="s">
        <v>186</v>
      </c>
      <c r="B123" s="40" t="s">
        <v>175</v>
      </c>
      <c r="E123" s="10" t="s">
        <v>121</v>
      </c>
      <c r="F123" s="4">
        <f>MAX(F13-F26, 0)*F133</f>
        <v>741757.5</v>
      </c>
      <c r="G123" s="4">
        <f>MAX(G13-G26, 0)*G133</f>
        <v>19970010</v>
      </c>
      <c r="I123" s="4">
        <f>MAX(I13-I26, 0)*I133</f>
        <v>697549.84714221046</v>
      </c>
      <c r="J123" s="4">
        <f>MAX(J13-J26, 0)*J133</f>
        <v>18573008.54128737</v>
      </c>
      <c r="L123" s="4">
        <f>MAX(L13-L26, 0)*L133</f>
        <v>585747.5895575179</v>
      </c>
      <c r="M123" s="4">
        <f>MAX(M13-M26, 0)*M133</f>
        <v>17143948.479013555</v>
      </c>
      <c r="O123" s="4">
        <f>MAX(O13-O26, 0)*O133</f>
        <v>482268.69033299608</v>
      </c>
      <c r="P123" s="4">
        <f>MAX(P13-P26, 0)*P133</f>
        <v>15657747.771976728</v>
      </c>
      <c r="R123" s="4">
        <f>MAX(R13-R26, 0)*R133</f>
        <v>384257.42411140393</v>
      </c>
      <c r="S123" s="4">
        <f>MAX(S13-S26, 0)*S133</f>
        <v>14178856.060528994</v>
      </c>
      <c r="U123" s="4">
        <f>MAX(U13-U26, 0)*U133</f>
        <v>268100.68087206065</v>
      </c>
      <c r="V123" s="4">
        <f>MAX(V13-V26, 0)*V133</f>
        <v>11963898.943907974</v>
      </c>
      <c r="X123" s="4">
        <f>MAX(X13-X26, 0)*X133</f>
        <v>193790.29082328439</v>
      </c>
      <c r="Y123" s="4">
        <f>MAX(Y13-Y26, 0)*Y133</f>
        <v>2533336.3124467055</v>
      </c>
    </row>
    <row r="125" spans="1:25" ht="17" x14ac:dyDescent="0.2">
      <c r="E125" s="15" t="s">
        <v>73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5" ht="17" x14ac:dyDescent="0.2">
      <c r="A126" s="46" t="s">
        <v>262</v>
      </c>
      <c r="B126" s="40" t="s">
        <v>175</v>
      </c>
      <c r="E126" s="14" t="s">
        <v>264</v>
      </c>
      <c r="F126" s="4">
        <f>MAX(F32-F121,0)</f>
        <v>1988625</v>
      </c>
      <c r="I126" s="4">
        <f>MAX(I32-I121,0)</f>
        <v>2037610.1393623354</v>
      </c>
      <c r="L126" s="4">
        <f>MAX(L32-L121,0)</f>
        <v>2099702.1154226013</v>
      </c>
      <c r="O126" s="4">
        <f>MAX(O32-O121,0)</f>
        <v>2194707.0195173891</v>
      </c>
      <c r="R126" s="4">
        <f>MAX(R32-R121,0)</f>
        <v>2990183.5440003192</v>
      </c>
      <c r="U126" s="4">
        <f>MAX(U32-U121,0)</f>
        <v>24988885.809933122</v>
      </c>
      <c r="X126" s="4">
        <f>MAX(X32-X121,0)</f>
        <v>2514189.6627409575</v>
      </c>
    </row>
    <row r="127" spans="1:25" ht="17" x14ac:dyDescent="0.2">
      <c r="A127" s="46" t="s">
        <v>263</v>
      </c>
      <c r="B127" s="40" t="s">
        <v>175</v>
      </c>
      <c r="E127" s="10" t="s">
        <v>166</v>
      </c>
      <c r="F127" s="4">
        <f>MIN(F138,F126)</f>
        <v>1988625</v>
      </c>
      <c r="I127" s="4">
        <f>MIN(I138,I126)</f>
        <v>2037610.1393623354</v>
      </c>
      <c r="L127" s="4">
        <f>MIN(L138,L126)</f>
        <v>2099702.1154226013</v>
      </c>
      <c r="O127" s="4">
        <f>MIN(O138,O126)</f>
        <v>2194707.0195173891</v>
      </c>
      <c r="R127" s="4">
        <f>MIN(R138,R126)</f>
        <v>2990183.5440003192</v>
      </c>
      <c r="U127" s="4">
        <f>MIN(U138,U126)</f>
        <v>12231999.624780035</v>
      </c>
      <c r="X127" s="4">
        <f>MIN(X138,X126)</f>
        <v>1789147.7110482706</v>
      </c>
    </row>
    <row r="128" spans="1:25" ht="17" x14ac:dyDescent="0.2">
      <c r="A128" s="46" t="s">
        <v>274</v>
      </c>
      <c r="B128" s="40" t="s">
        <v>175</v>
      </c>
      <c r="E128" s="10" t="s">
        <v>123</v>
      </c>
      <c r="F128" s="4">
        <f>F126-F127</f>
        <v>0</v>
      </c>
      <c r="I128" s="4">
        <f>I126-I127</f>
        <v>0</v>
      </c>
      <c r="L128" s="4">
        <f>L126-L127</f>
        <v>0</v>
      </c>
      <c r="O128" s="4">
        <f>O126-O127</f>
        <v>0</v>
      </c>
      <c r="R128" s="4">
        <f>R126-R127</f>
        <v>0</v>
      </c>
      <c r="U128" s="4">
        <f>U126-U127</f>
        <v>12756886.185153088</v>
      </c>
      <c r="X128" s="4">
        <f>X126-X127</f>
        <v>725041.95169268688</v>
      </c>
    </row>
    <row r="129" spans="1:28" ht="17" x14ac:dyDescent="0.2">
      <c r="A129" s="46" t="s">
        <v>217</v>
      </c>
      <c r="B129" s="40" t="s">
        <v>175</v>
      </c>
      <c r="E129" s="10" t="s">
        <v>146</v>
      </c>
      <c r="F129" s="4">
        <f>MIN(F128,G75)</f>
        <v>0</v>
      </c>
      <c r="I129" s="4">
        <f>MIN(I128,J75)</f>
        <v>0</v>
      </c>
      <c r="L129" s="4">
        <f>MIN(L128,M75)</f>
        <v>0</v>
      </c>
      <c r="O129" s="4">
        <f>MIN(O128,P75)</f>
        <v>0</v>
      </c>
      <c r="R129" s="4">
        <f>MIN(R128,S75)</f>
        <v>0</v>
      </c>
      <c r="U129" s="4">
        <f>MIN(U128,V75)</f>
        <v>30.146330393199996</v>
      </c>
      <c r="X129" s="4">
        <f>MIN(X128,Y75)</f>
        <v>53.914123679999996</v>
      </c>
    </row>
    <row r="130" spans="1:28" ht="17" x14ac:dyDescent="0.2">
      <c r="A130" s="46" t="s">
        <v>270</v>
      </c>
      <c r="B130" s="40" t="s">
        <v>175</v>
      </c>
      <c r="E130" s="10" t="s">
        <v>120</v>
      </c>
      <c r="F130" s="4">
        <f>F139*F127</f>
        <v>71219.296394549616</v>
      </c>
      <c r="G130" s="4">
        <f>G139*F127</f>
        <v>1917405.7036054505</v>
      </c>
      <c r="I130" s="4">
        <f>I139*I127</f>
        <v>73756.795864359185</v>
      </c>
      <c r="J130" s="4">
        <f>J139*I127</f>
        <v>1963853.343497976</v>
      </c>
      <c r="L130" s="4">
        <f>L139*L127</f>
        <v>69369.234990881247</v>
      </c>
      <c r="M130" s="4">
        <f>M139*L127</f>
        <v>2030332.8804317201</v>
      </c>
      <c r="O130" s="4">
        <f>O139*O127</f>
        <v>65578.525427093409</v>
      </c>
      <c r="P130" s="4">
        <f>P139*O127</f>
        <v>2129128.4940902959</v>
      </c>
      <c r="R130" s="4">
        <f>R139*R127</f>
        <v>78897.979298843828</v>
      </c>
      <c r="S130" s="4">
        <f>S139*R127</f>
        <v>2911285.5647014757</v>
      </c>
      <c r="U130" s="4">
        <f>U139*U127</f>
        <v>268100.68087206065</v>
      </c>
      <c r="V130" s="4">
        <f>V139*U127</f>
        <v>11963898.943907974</v>
      </c>
      <c r="X130" s="4">
        <f>X139*X127</f>
        <v>193790.29082328439</v>
      </c>
      <c r="Y130" s="4">
        <f>Y139*X127</f>
        <v>1595357.4202249863</v>
      </c>
    </row>
    <row r="131" spans="1:28" ht="17" x14ac:dyDescent="0.2">
      <c r="A131" s="46" t="s">
        <v>275</v>
      </c>
      <c r="B131" s="43" t="s">
        <v>164</v>
      </c>
      <c r="E131" s="10" t="s">
        <v>166</v>
      </c>
      <c r="F131" s="4">
        <f>F130</f>
        <v>71219.296394549616</v>
      </c>
      <c r="G131" s="4">
        <f>G130+F129</f>
        <v>1917405.7036054505</v>
      </c>
      <c r="I131" s="4">
        <f>I130</f>
        <v>73756.795864359185</v>
      </c>
      <c r="J131" s="4">
        <f>J130+I129</f>
        <v>1963853.343497976</v>
      </c>
      <c r="L131" s="4">
        <f>L130</f>
        <v>69369.234990881247</v>
      </c>
      <c r="M131" s="4">
        <f>M130+L129</f>
        <v>2030332.8804317201</v>
      </c>
      <c r="O131" s="4">
        <f>O130</f>
        <v>65578.525427093409</v>
      </c>
      <c r="P131" s="4">
        <f>P130+O129</f>
        <v>2129128.4940902959</v>
      </c>
      <c r="R131" s="4">
        <f>R130</f>
        <v>78897.979298843828</v>
      </c>
      <c r="S131" s="4">
        <f>S130+R129</f>
        <v>2911285.5647014757</v>
      </c>
      <c r="U131" s="4">
        <f>U130</f>
        <v>268100.68087206065</v>
      </c>
      <c r="V131" s="4">
        <f>V130+U129</f>
        <v>11963929.090238368</v>
      </c>
      <c r="X131" s="4">
        <f>X130</f>
        <v>193790.29082328439</v>
      </c>
      <c r="Y131" s="4">
        <f>Y130+X129</f>
        <v>1595411.3343486662</v>
      </c>
    </row>
    <row r="132" spans="1:28" ht="17" x14ac:dyDescent="0.2">
      <c r="E132" s="15" t="s">
        <v>74</v>
      </c>
      <c r="F132" s="8"/>
      <c r="G132" s="8"/>
      <c r="I132" s="8"/>
      <c r="J132" s="8"/>
      <c r="L132" s="8"/>
      <c r="M132" s="8"/>
      <c r="O132" s="8"/>
      <c r="P132" s="8"/>
      <c r="R132" s="8"/>
      <c r="S132" s="8"/>
      <c r="U132" s="8"/>
      <c r="V132" s="8"/>
      <c r="X132" s="8"/>
      <c r="Y132" s="8"/>
    </row>
    <row r="133" spans="1:28" ht="34" x14ac:dyDescent="0.2">
      <c r="A133" s="46" t="s">
        <v>279</v>
      </c>
      <c r="B133" s="40" t="s">
        <v>175</v>
      </c>
      <c r="E133" s="10" t="s">
        <v>75</v>
      </c>
      <c r="F133" s="4">
        <f>MAX(F111-$F21,0)</f>
        <v>149.85</v>
      </c>
      <c r="G133" s="4">
        <f>MAX(G111-$G21,0)</f>
        <v>99.9</v>
      </c>
      <c r="I133" s="4">
        <f>MAX(I111-$F21,0)</f>
        <v>142.7065972058532</v>
      </c>
      <c r="J133" s="4">
        <f>MAX(J111-$G21,0)</f>
        <v>92.96265349260409</v>
      </c>
      <c r="L133" s="4">
        <f>MAX(L111-$F21,0)</f>
        <v>135.27657957448451</v>
      </c>
      <c r="M133" s="4">
        <f>MAX(M111-$G21,0)</f>
        <v>85.850234751890639</v>
      </c>
      <c r="O133" s="4">
        <f>MAX(O111-$F21,0)</f>
        <v>128.2629495566479</v>
      </c>
      <c r="P133" s="4">
        <f>MAX(P111-$G21,0)</f>
        <v>78.483377636421963</v>
      </c>
      <c r="R133" s="4">
        <f>MAX(R111-$F21,0)</f>
        <v>121.60045066816581</v>
      </c>
      <c r="S133" s="4">
        <f>MAX(S111-$G21,0)</f>
        <v>70.729833439897206</v>
      </c>
      <c r="U133" s="4">
        <f>MAX(U111-$F21,0)</f>
        <v>113.50579207115184</v>
      </c>
      <c r="V133" s="4">
        <f>MAX(V111-$G21,0)</f>
        <v>59.861397697928425</v>
      </c>
      <c r="X133" s="4">
        <f>MAX(X111-$F21,0)</f>
        <v>85.596418208164479</v>
      </c>
      <c r="Y133" s="4">
        <f>MAX(Y111-$G21,0)</f>
        <v>12.682217278399568</v>
      </c>
    </row>
    <row r="134" spans="1:28" ht="34" x14ac:dyDescent="0.2">
      <c r="A134" s="46" t="s">
        <v>278</v>
      </c>
      <c r="B134" s="40" t="s">
        <v>175</v>
      </c>
      <c r="E134" s="10" t="s">
        <v>137</v>
      </c>
      <c r="F134" s="4">
        <f>F133/$F$22</f>
        <v>1</v>
      </c>
      <c r="G134" s="4">
        <f>G133/$G$22</f>
        <v>1</v>
      </c>
      <c r="I134" s="4">
        <f>I133/$F$22</f>
        <v>0.95232964435003808</v>
      </c>
      <c r="J134" s="4">
        <f>J133/$G$22</f>
        <v>0.93055709201805892</v>
      </c>
      <c r="L134" s="4">
        <f>L133/$F$22</f>
        <v>0.9027466104403371</v>
      </c>
      <c r="M134" s="4">
        <f>M133/$G$22</f>
        <v>0.85936170922813448</v>
      </c>
      <c r="O134" s="4">
        <f>O133/$F$22</f>
        <v>0.85594227265030298</v>
      </c>
      <c r="P134" s="4">
        <f>P133/$G$22</f>
        <v>0.78561939575997952</v>
      </c>
      <c r="R134" s="4">
        <f>R133/$F$22</f>
        <v>0.8114811522733788</v>
      </c>
      <c r="S134" s="4">
        <f>S133/$G$22</f>
        <v>0.70800634073971169</v>
      </c>
      <c r="U134" s="4">
        <f>U133/$F$22</f>
        <v>0.75746274321756324</v>
      </c>
      <c r="V134" s="4">
        <f>V133/$G$22</f>
        <v>0.59921319016945362</v>
      </c>
      <c r="X134" s="4">
        <f>X133/$F$22</f>
        <v>0.57121400205648643</v>
      </c>
      <c r="Y134" s="4">
        <f>Y133/$G$22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46" t="s">
        <v>187</v>
      </c>
      <c r="B135" s="40" t="s">
        <v>175</v>
      </c>
      <c r="E135" s="10" t="s">
        <v>188</v>
      </c>
      <c r="F135" s="4">
        <f>MAX(MIN(F134/$F$17, 1), 0)</f>
        <v>1</v>
      </c>
      <c r="G135" s="4">
        <f>MAX(MIN((G134-$F$16)/$F$17, 1), 0)</f>
        <v>1</v>
      </c>
      <c r="I135" s="4">
        <f>MAX(MIN(I134/$F$17, 1), 0)</f>
        <v>1</v>
      </c>
      <c r="J135" s="4">
        <f>MAX(MIN((J134-$F$16)/$F$17, 1), 0)</f>
        <v>1</v>
      </c>
      <c r="L135" s="4">
        <f>MAX(MIN(L134/$F$17, 1), 0)</f>
        <v>1</v>
      </c>
      <c r="M135" s="4">
        <f>MAX(MIN((M134-$F$16)/$F$17, 1), 0)</f>
        <v>1</v>
      </c>
      <c r="O135" s="4">
        <f>MAX(MIN(O134/$F$17, 1), 0)</f>
        <v>1</v>
      </c>
      <c r="P135" s="4">
        <f>MAX(MIN((P134-$F$16)/$F$17, 1), 0)</f>
        <v>1</v>
      </c>
      <c r="R135" s="4">
        <f>MAX(MIN(R134/$F$17, 1), 0)</f>
        <v>1</v>
      </c>
      <c r="S135" s="4">
        <f>MAX(MIN((S134-$F$16)/$F$17, 1), 0)</f>
        <v>1</v>
      </c>
      <c r="U135" s="4">
        <f>MAX(MIN(U134/$F$17, 1), 0)</f>
        <v>1</v>
      </c>
      <c r="V135" s="4">
        <f>MAX(MIN((V134-$F$16)/$F$17, 1), 0)</f>
        <v>1</v>
      </c>
      <c r="X135" s="4">
        <f>MAX(MIN(X134/$F$17,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A136" s="46"/>
      <c r="Z136">
        <v>0.2</v>
      </c>
      <c r="AA136">
        <f>SUM(Z$6:Z136)</f>
        <v>1</v>
      </c>
      <c r="AB136">
        <v>20</v>
      </c>
    </row>
    <row r="137" spans="1:28" ht="17" x14ac:dyDescent="0.2">
      <c r="A137" s="46" t="s">
        <v>189</v>
      </c>
      <c r="B137" s="40" t="s">
        <v>175</v>
      </c>
      <c r="E137" s="10" t="s">
        <v>76</v>
      </c>
      <c r="F137" s="4">
        <f>F123*F135</f>
        <v>741757.5</v>
      </c>
      <c r="G137" s="4">
        <f>G123*G135</f>
        <v>19970010</v>
      </c>
      <c r="I137" s="4">
        <f>I123*I135</f>
        <v>697549.84714221046</v>
      </c>
      <c r="J137" s="4">
        <f>J123*J135</f>
        <v>18573008.54128737</v>
      </c>
      <c r="L137" s="4">
        <f>L123*L135</f>
        <v>585747.5895575179</v>
      </c>
      <c r="M137" s="4">
        <f>M123*M135</f>
        <v>17143948.479013555</v>
      </c>
      <c r="O137" s="4">
        <f>O123*O135</f>
        <v>482268.69033299608</v>
      </c>
      <c r="P137" s="4">
        <f>P123*P135</f>
        <v>15657747.771976728</v>
      </c>
      <c r="R137" s="4">
        <f>R123*R135</f>
        <v>384257.42411140393</v>
      </c>
      <c r="S137" s="4">
        <f>S123*S135</f>
        <v>14178856.060528994</v>
      </c>
      <c r="U137" s="4">
        <f>U123*U135</f>
        <v>268100.68087206065</v>
      </c>
      <c r="V137" s="4">
        <f>V123*V135</f>
        <v>11963898.943907974</v>
      </c>
      <c r="X137" s="4">
        <f>X123*X135</f>
        <v>193790.29082328439</v>
      </c>
      <c r="Y137" s="4">
        <f>Y123*Y135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46" t="s">
        <v>190</v>
      </c>
      <c r="B138" s="40" t="s">
        <v>175</v>
      </c>
      <c r="E138" s="10" t="s">
        <v>122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46" t="s">
        <v>191</v>
      </c>
      <c r="B139" s="40" t="s">
        <v>175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258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46" t="s">
        <v>276</v>
      </c>
      <c r="B142" s="43" t="s">
        <v>164</v>
      </c>
      <c r="E142" s="10" t="s">
        <v>204</v>
      </c>
      <c r="F142" s="4">
        <f>(F110 - F130 - F118)*$F$29</f>
        <v>2842.5614072109011</v>
      </c>
      <c r="G142" s="4">
        <f>(G110 - G130 - G118)*$G$29</f>
        <v>46145.188592789098</v>
      </c>
      <c r="I142" s="4">
        <f>(I110 - I130 - I118)*$F$29</f>
        <v>2677.6184746142349</v>
      </c>
      <c r="J142" s="4">
        <f>(J110 - J130 - J118)*$G$29</f>
        <v>42564.533744839202</v>
      </c>
      <c r="L142" s="4">
        <f>(L110 - L130 - L118)*$F$29</f>
        <v>2523.7480844526031</v>
      </c>
      <c r="M142" s="4">
        <f>(M110 - M130 - M118)*$G$29</f>
        <v>38862.193872352735</v>
      </c>
      <c r="O142" s="4">
        <f>(O110 - O130 - O118)*$F$29</f>
        <v>2375.4637244915798</v>
      </c>
      <c r="P142" s="4">
        <f>(P110 - P130 - P118)*$G$29</f>
        <v>34955.477119415053</v>
      </c>
      <c r="R142" s="4">
        <f>(R110 - R130 - R118)*$F$29</f>
        <v>2194.4227483112763</v>
      </c>
      <c r="S142" s="4">
        <f>(S110 - S130 - S118)*$G$29</f>
        <v>29516.557668764955</v>
      </c>
      <c r="U142" s="4">
        <f>(U110 - U130 - U118)*$F$29</f>
        <v>1637.352005824587</v>
      </c>
      <c r="V142" s="4">
        <f>(V110 - V130 - V118)*$G$29</f>
        <v>5976.1503720949167</v>
      </c>
      <c r="X142" s="4">
        <f>(X110 - X130 - X118)*$F$29</f>
        <v>1235.4276221975688</v>
      </c>
      <c r="Y142" s="4">
        <f>(Y110 - Y130 - Y118)*$G$29</f>
        <v>3181.3482950049956</v>
      </c>
    </row>
    <row r="143" spans="1:28" ht="17" x14ac:dyDescent="0.2">
      <c r="A143" s="46" t="s">
        <v>277</v>
      </c>
      <c r="B143" s="43" t="s">
        <v>164</v>
      </c>
      <c r="E143" s="14" t="s">
        <v>216</v>
      </c>
      <c r="F143" s="4">
        <f>F130*$F20</f>
        <v>21365.788918364884</v>
      </c>
      <c r="G143" s="4">
        <f>(G130+F129)*$G20</f>
        <v>479351.42590136261</v>
      </c>
      <c r="I143" s="4">
        <f>I130*$F20</f>
        <v>22127.038759307754</v>
      </c>
      <c r="J143" s="4">
        <f>(J130+I129)*$G20</f>
        <v>490963.33587449399</v>
      </c>
      <c r="L143" s="4">
        <f>L130*$F20</f>
        <v>20810.770497264373</v>
      </c>
      <c r="M143" s="4">
        <f>(M130+L129)*$G20</f>
        <v>507583.22010793001</v>
      </c>
      <c r="O143" s="4">
        <f>O130*$F20</f>
        <v>19673.557628128023</v>
      </c>
      <c r="P143" s="4">
        <f>(P130+O129)*$G20</f>
        <v>532282.12352257397</v>
      </c>
      <c r="R143" s="4">
        <f>R130*$F20</f>
        <v>23669.393789653146</v>
      </c>
      <c r="S143" s="4">
        <f>(S130+R129)*$G20</f>
        <v>727821.39117536892</v>
      </c>
      <c r="U143" s="4">
        <f>U130*$F20</f>
        <v>80430.204261618186</v>
      </c>
      <c r="V143" s="4">
        <f>(V130+U129)*$G20</f>
        <v>2990982.272559592</v>
      </c>
      <c r="X143" s="4">
        <f>X130*$F20</f>
        <v>58137.087246985313</v>
      </c>
      <c r="Y143" s="4">
        <f>(Y130+X129)*$G20</f>
        <v>398852.83358716656</v>
      </c>
    </row>
    <row r="144" spans="1:28" ht="17" x14ac:dyDescent="0.2">
      <c r="A144" s="46" t="s">
        <v>177</v>
      </c>
      <c r="B144" s="43" t="s">
        <v>164</v>
      </c>
      <c r="E144" s="10" t="s">
        <v>167</v>
      </c>
      <c r="F144" s="4">
        <f>F118-F121*F122-F119</f>
        <v>2175</v>
      </c>
      <c r="G144" s="4">
        <f>G118-F121*G122-G119</f>
        <v>2700</v>
      </c>
      <c r="I144" s="4">
        <f>I118-I121*I122-I119</f>
        <v>2562.2727080288705</v>
      </c>
      <c r="J144" s="4">
        <f>J118-I121*J122-J119</f>
        <v>2747.6675652559352</v>
      </c>
      <c r="L144" s="4">
        <f>L118-L121*L122-L119</f>
        <v>2265.9424845960316</v>
      </c>
      <c r="M144" s="4">
        <f>M118-L121*M122-M119</f>
        <v>2147.4366200033164</v>
      </c>
      <c r="O144" s="4">
        <f>O118-O121*O122-O119</f>
        <v>2597.9719406896065</v>
      </c>
      <c r="P144" s="4">
        <f>P118-O121*P122-P119</f>
        <v>3956.1625518579049</v>
      </c>
      <c r="R144" s="4">
        <f>R118-R121*R122-R119</f>
        <v>3496.5135200449749</v>
      </c>
      <c r="S144" s="4">
        <f>S118-R121*S122-S119</f>
        <v>710.53905124679738</v>
      </c>
      <c r="U144" s="4">
        <f>U118-U121*U122-U119</f>
        <v>3220.9402868918642</v>
      </c>
      <c r="V144" s="4">
        <f>V118-U121*V122-V119</f>
        <v>1542.2840274847454</v>
      </c>
      <c r="X144" s="4">
        <f>X118-X121*X122-X119</f>
        <v>2371.0046953200363</v>
      </c>
      <c r="Y144" s="4">
        <f>Y118-X121*Y122-Y119</f>
        <v>119.13984426958632</v>
      </c>
    </row>
    <row r="145" spans="1:28" ht="17" x14ac:dyDescent="0.2">
      <c r="A145" s="46" t="s">
        <v>178</v>
      </c>
      <c r="B145" s="43" t="s">
        <v>164</v>
      </c>
      <c r="E145" s="10" t="s">
        <v>168</v>
      </c>
      <c r="F145" s="4">
        <f>F118*$F20</f>
        <v>2250</v>
      </c>
      <c r="G145" s="4">
        <f>(G118+G46-G52)*$G20</f>
        <v>2500</v>
      </c>
      <c r="I145" s="4">
        <f>I118*$F20</f>
        <v>2657.1327080288697</v>
      </c>
      <c r="J145" s="4">
        <f>(J118+J46-J52)*$G20</f>
        <v>2559.2229710466122</v>
      </c>
      <c r="L145" s="4">
        <f>L118*$F20</f>
        <v>2356.4224845960307</v>
      </c>
      <c r="M145" s="4">
        <f>(M118+M46-M52)*$G20</f>
        <v>2019.8305166694299</v>
      </c>
      <c r="O145" s="4">
        <f>O118*$F20</f>
        <v>2696.6719406896059</v>
      </c>
      <c r="P145" s="4">
        <f>(P118+P46-P52)*$G20</f>
        <v>3772.0021265482537</v>
      </c>
      <c r="R145" s="4">
        <f>R118*$F20</f>
        <v>3652.5135200449745</v>
      </c>
      <c r="S145" s="4">
        <f>(S118+S46-S52)*$G20</f>
        <v>690.59087603899775</v>
      </c>
      <c r="U145" s="4">
        <f>U118*$F20</f>
        <v>3341.4802868918646</v>
      </c>
      <c r="V145" s="4">
        <f>(V118+V46-V52)*$G20</f>
        <v>1573.9866895706211</v>
      </c>
      <c r="X145" s="4">
        <f>X118*$F20</f>
        <v>2520.9446953200354</v>
      </c>
      <c r="Y145" s="4">
        <f>(Y118+Y46-Y52)*$G20</f>
        <v>335.53320355798866</v>
      </c>
    </row>
    <row r="148" spans="1:28" x14ac:dyDescent="0.2">
      <c r="A148" s="33" t="s">
        <v>269</v>
      </c>
      <c r="F148" s="4">
        <f>F144+F119</f>
        <v>2425</v>
      </c>
      <c r="G148" s="4">
        <f>G144+G119</f>
        <v>3700</v>
      </c>
      <c r="I148" s="4">
        <f>I144+I119</f>
        <v>2878.4727080288703</v>
      </c>
      <c r="J148" s="4">
        <f>J144+J119</f>
        <v>3825.6675652559352</v>
      </c>
      <c r="L148" s="4">
        <f>L144+L119</f>
        <v>2567.5424845960315</v>
      </c>
      <c r="M148" s="4">
        <f>M144+M119</f>
        <v>3068.6366200033162</v>
      </c>
      <c r="O148" s="4">
        <f>O144+O119</f>
        <v>2926.9719406896065</v>
      </c>
      <c r="P148" s="4">
        <f>P144+P119</f>
        <v>5856.9625518579051</v>
      </c>
      <c r="R148" s="4">
        <f>R144+R119</f>
        <v>4016.5135200449749</v>
      </c>
      <c r="S148" s="4">
        <f>S144+S119</f>
        <v>1104.4390512467974</v>
      </c>
      <c r="U148" s="4">
        <f>U144+U119</f>
        <v>3622.7402868918643</v>
      </c>
      <c r="V148" s="4">
        <f>V144+V119</f>
        <v>2697.2840274847454</v>
      </c>
      <c r="X148" s="4">
        <f>X144+X119</f>
        <v>2870.8046953200364</v>
      </c>
      <c r="Y148" s="4">
        <f>Y144+Y119</f>
        <v>1064.1398442695863</v>
      </c>
    </row>
    <row r="150" spans="1:28" x14ac:dyDescent="0.2">
      <c r="A150" s="46" t="s">
        <v>280</v>
      </c>
      <c r="B150" s="43" t="s">
        <v>164</v>
      </c>
      <c r="F150" s="4">
        <f>F121+F130+G130+F129</f>
        <v>2000000</v>
      </c>
      <c r="I150" s="4">
        <f>I121+I130+J130</f>
        <v>2049999.9999999998</v>
      </c>
      <c r="L150" s="4">
        <f>L121+L130+M130</f>
        <v>2110000</v>
      </c>
      <c r="O150" s="4">
        <f>O121+O130+P130</f>
        <v>2210000</v>
      </c>
      <c r="R150" s="4">
        <f>R121+R130+S130</f>
        <v>3000000.0000000005</v>
      </c>
      <c r="U150" s="4">
        <f>U121+U130+V130</f>
        <v>12243113.814846914</v>
      </c>
      <c r="X150" s="4">
        <f>X121+X130+Y130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2026-01-16T21:13:09Z</dcterms:modified>
</cp:coreProperties>
</file>