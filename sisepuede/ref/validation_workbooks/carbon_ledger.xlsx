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7ADD75E4-B89C-564A-AF5D-2C1999A2946F}" xr6:coauthVersionLast="47" xr6:coauthVersionMax="47" xr10:uidLastSave="{00000000-0000-0000-0000-000000000000}"/>
  <bookViews>
    <workbookView xWindow="-320" yWindow="760" windowWidth="3456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1" i="3" l="1"/>
  <c r="J38" i="3"/>
  <c r="K44" i="3"/>
  <c r="K50" i="3"/>
  <c r="K38" i="3"/>
  <c r="J40" i="3"/>
  <c r="H38" i="3"/>
  <c r="H10" i="3"/>
  <c r="K39" i="3"/>
  <c r="G30" i="3"/>
  <c r="Y149" i="3"/>
  <c r="J30" i="3"/>
  <c r="Z16" i="3"/>
  <c r="Y16" i="3"/>
  <c r="W16" i="3"/>
  <c r="V16" i="3"/>
  <c r="T16" i="3"/>
  <c r="S16" i="3"/>
  <c r="Q16" i="3"/>
  <c r="P16" i="3"/>
  <c r="N16" i="3"/>
  <c r="M16" i="3"/>
  <c r="K16" i="3"/>
  <c r="J16" i="3"/>
  <c r="H16" i="3"/>
  <c r="G16" i="3"/>
  <c r="G112" i="3"/>
  <c r="G113" i="3" s="1"/>
  <c r="G117" i="3" s="1"/>
  <c r="G119" i="3" s="1"/>
  <c r="G120" i="3" s="1"/>
  <c r="H22" i="3"/>
  <c r="G22" i="3"/>
  <c r="G121" i="3" l="1"/>
  <c r="H47" i="3"/>
  <c r="H51" i="3"/>
  <c r="H57" i="3"/>
  <c r="H91" i="3" s="1"/>
  <c r="H56" i="3"/>
  <c r="H112" i="3"/>
  <c r="J108" i="3"/>
  <c r="G109" i="3"/>
  <c r="J110" i="3" s="1"/>
  <c r="H109" i="3"/>
  <c r="K88" i="3"/>
  <c r="K87" i="3"/>
  <c r="G81" i="3"/>
  <c r="G80" i="3"/>
  <c r="G82" i="3"/>
  <c r="H49" i="3"/>
  <c r="H50" i="3"/>
  <c r="K45" i="3"/>
  <c r="N40" i="3"/>
  <c r="K69" i="3"/>
  <c r="I39" i="3"/>
  <c r="G23" i="3"/>
  <c r="N46" i="3"/>
  <c r="N59" i="3" s="1"/>
  <c r="N88" i="3"/>
  <c r="H13" i="3"/>
  <c r="H27" i="3" s="1"/>
  <c r="H52" i="3"/>
  <c r="K62" i="3"/>
  <c r="K46" i="3"/>
  <c r="K59" i="3" s="1"/>
  <c r="N45" i="3"/>
  <c r="N58" i="3" s="1"/>
  <c r="H58" i="3"/>
  <c r="H92" i="3" s="1"/>
  <c r="H59" i="3"/>
  <c r="H93" i="3" s="1"/>
  <c r="Q46" i="3"/>
  <c r="Q59" i="3" s="1"/>
  <c r="I37" i="3"/>
  <c r="L37" i="3"/>
  <c r="H30" i="3"/>
  <c r="G108" i="3"/>
  <c r="G111" i="3" s="1"/>
  <c r="G83" i="3"/>
  <c r="AF10" i="3"/>
  <c r="G13" i="3"/>
  <c r="Z108" i="3"/>
  <c r="Y108" i="3"/>
  <c r="W108" i="3"/>
  <c r="V108" i="3"/>
  <c r="T108" i="3"/>
  <c r="S108" i="3"/>
  <c r="Q108" i="3"/>
  <c r="P108" i="3"/>
  <c r="N108" i="3"/>
  <c r="M108" i="3"/>
  <c r="K108" i="3"/>
  <c r="H108" i="3"/>
  <c r="H111" i="3" s="1"/>
  <c r="H62" i="3"/>
  <c r="H86" i="3" s="1"/>
  <c r="Q89" i="3"/>
  <c r="N89" i="3"/>
  <c r="Z65" i="3"/>
  <c r="Z89" i="3" s="1"/>
  <c r="Z64" i="3"/>
  <c r="Z88" i="3" s="1"/>
  <c r="Z63" i="3"/>
  <c r="Z87" i="3" s="1"/>
  <c r="Z62" i="3"/>
  <c r="W62" i="3"/>
  <c r="X37" i="3"/>
  <c r="K89" i="3"/>
  <c r="H88" i="3"/>
  <c r="H87" i="3"/>
  <c r="H89" i="3"/>
  <c r="H97" i="3"/>
  <c r="J87" i="3" s="1"/>
  <c r="H98" i="3"/>
  <c r="H99" i="3"/>
  <c r="J89" i="3" s="1"/>
  <c r="Q41" i="3"/>
  <c r="U37" i="3"/>
  <c r="R37" i="3"/>
  <c r="O37" i="3"/>
  <c r="Q64" i="3"/>
  <c r="Q88" i="3" s="1"/>
  <c r="N63" i="3"/>
  <c r="N87" i="3" s="1"/>
  <c r="T62" i="3"/>
  <c r="Q62" i="3"/>
  <c r="H8" i="3"/>
  <c r="K8" i="3" s="1"/>
  <c r="G8" i="3"/>
  <c r="I38" i="3" l="1"/>
  <c r="G27" i="3"/>
  <c r="J7" i="3"/>
  <c r="K110" i="3"/>
  <c r="K111" i="3" s="1"/>
  <c r="H53" i="3"/>
  <c r="H54" i="3" s="1"/>
  <c r="I40" i="3"/>
  <c r="H60" i="3"/>
  <c r="H94" i="3" s="1"/>
  <c r="N71" i="3"/>
  <c r="Q71" i="3" s="1"/>
  <c r="K75" i="3"/>
  <c r="G114" i="3"/>
  <c r="G136" i="3" s="1"/>
  <c r="G137" i="3" s="1"/>
  <c r="G126" i="3"/>
  <c r="J111" i="3"/>
  <c r="H96" i="3"/>
  <c r="K74" i="3"/>
  <c r="N70" i="3"/>
  <c r="K57" i="3"/>
  <c r="H68" i="3"/>
  <c r="H103" i="3"/>
  <c r="K76" i="3"/>
  <c r="H26" i="3"/>
  <c r="H11" i="3" s="1"/>
  <c r="J88" i="3"/>
  <c r="J13" i="3"/>
  <c r="K58" i="3"/>
  <c r="H104" i="3"/>
  <c r="H102" i="3"/>
  <c r="H113" i="3"/>
  <c r="H121" i="3" s="1"/>
  <c r="K7" i="3"/>
  <c r="I41" i="3"/>
  <c r="H23" i="3"/>
  <c r="H149" i="3" l="1"/>
  <c r="G149" i="3"/>
  <c r="J109" i="3"/>
  <c r="G139" i="3"/>
  <c r="H122" i="3"/>
  <c r="H148" i="3" s="1"/>
  <c r="G122" i="3"/>
  <c r="G123" i="3" s="1"/>
  <c r="H118" i="3"/>
  <c r="K109" i="3"/>
  <c r="K13" i="3"/>
  <c r="H101" i="3"/>
  <c r="M7" i="3"/>
  <c r="M13" i="3" s="1"/>
  <c r="P7" i="3" s="1"/>
  <c r="P13" i="3" s="1"/>
  <c r="S7" i="3" s="1"/>
  <c r="S13" i="3" s="1"/>
  <c r="V7" i="3" s="1"/>
  <c r="V13" i="3" s="1"/>
  <c r="V27" i="3" s="1"/>
  <c r="J27" i="3"/>
  <c r="H114" i="3"/>
  <c r="J86" i="3"/>
  <c r="K86" i="3" s="1"/>
  <c r="J8" i="3"/>
  <c r="H117" i="3"/>
  <c r="K10" i="3"/>
  <c r="N8" i="3"/>
  <c r="H119" i="3" l="1"/>
  <c r="H120" i="3" s="1"/>
  <c r="H123" i="3"/>
  <c r="G148" i="3"/>
  <c r="G124" i="3"/>
  <c r="V109" i="3"/>
  <c r="S109" i="3"/>
  <c r="M27" i="3"/>
  <c r="P27" i="3"/>
  <c r="S27" i="3"/>
  <c r="M109" i="3"/>
  <c r="P109" i="3"/>
  <c r="H126" i="3"/>
  <c r="H136" i="3"/>
  <c r="H137" i="3" s="1"/>
  <c r="K27" i="3"/>
  <c r="K26" i="3"/>
  <c r="K11" i="3" s="1"/>
  <c r="N7" i="3"/>
  <c r="Q8" i="3"/>
  <c r="N109" i="3" l="1"/>
  <c r="N13" i="3"/>
  <c r="N27" i="3" s="1"/>
  <c r="H139" i="3"/>
  <c r="G140" i="3" s="1"/>
  <c r="H125" i="3"/>
  <c r="H147" i="3" s="1"/>
  <c r="G125" i="3"/>
  <c r="G147" i="3" s="1"/>
  <c r="J39" i="3"/>
  <c r="J41" i="3"/>
  <c r="K52" i="3" s="1"/>
  <c r="N10" i="3"/>
  <c r="T8" i="3"/>
  <c r="W63" i="3"/>
  <c r="W87" i="3" s="1"/>
  <c r="W64" i="3"/>
  <c r="W88" i="3" s="1"/>
  <c r="T63" i="3"/>
  <c r="T87" i="3" s="1"/>
  <c r="N62" i="3"/>
  <c r="T65" i="3"/>
  <c r="T89" i="3" s="1"/>
  <c r="W65" i="3"/>
  <c r="W89" i="3" s="1"/>
  <c r="T64" i="3"/>
  <c r="T88" i="3" s="1"/>
  <c r="Q63" i="3"/>
  <c r="Q87" i="3" s="1"/>
  <c r="AF14" i="3"/>
  <c r="AF17" i="3"/>
  <c r="AF18" i="3"/>
  <c r="AF19" i="3"/>
  <c r="AF20" i="3"/>
  <c r="AF22" i="3"/>
  <c r="AF23" i="3"/>
  <c r="AF24" i="3"/>
  <c r="AF25" i="3"/>
  <c r="AF26" i="3"/>
  <c r="AF27" i="3"/>
  <c r="AF28" i="3"/>
  <c r="AF12" i="3"/>
  <c r="AF9" i="3"/>
  <c r="AF11" i="3"/>
  <c r="AF8" i="3"/>
  <c r="AC162" i="3"/>
  <c r="AC161" i="3"/>
  <c r="AC160" i="3"/>
  <c r="AC139" i="3"/>
  <c r="AC138" i="3"/>
  <c r="AC137" i="3"/>
  <c r="AC136"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29" i="3" l="1"/>
  <c r="G141" i="3"/>
  <c r="K43" i="3"/>
  <c r="N26" i="3"/>
  <c r="G152" i="3"/>
  <c r="Q7" i="3"/>
  <c r="Q109" i="3" s="1"/>
  <c r="Q13" i="3"/>
  <c r="Q27"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K49" i="3" l="1"/>
  <c r="K53" i="3" s="1"/>
  <c r="K47" i="3"/>
  <c r="K56" i="3"/>
  <c r="K73" i="3"/>
  <c r="G130" i="3"/>
  <c r="G131" i="3" s="1"/>
  <c r="G132" i="3" s="1"/>
  <c r="H140" i="3"/>
  <c r="H141" i="3" s="1"/>
  <c r="K68" i="3"/>
  <c r="L39" i="3"/>
  <c r="L40" i="3"/>
  <c r="K60" i="3"/>
  <c r="N11" i="3"/>
  <c r="Q26" i="3"/>
  <c r="T7" i="3"/>
  <c r="T13" i="3" s="1"/>
  <c r="T27" i="3" s="1"/>
  <c r="Z8" i="3"/>
  <c r="L38"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K54" i="3" l="1"/>
  <c r="M39" i="3"/>
  <c r="H133" i="3"/>
  <c r="H144" i="3" s="1"/>
  <c r="H145" i="3" s="1"/>
  <c r="H146" i="3"/>
  <c r="T109" i="3"/>
  <c r="H82" i="3"/>
  <c r="H152" i="3"/>
  <c r="G133" i="3"/>
  <c r="J80" i="3"/>
  <c r="J83" i="3"/>
  <c r="K77" i="3"/>
  <c r="J81" i="3"/>
  <c r="J82" i="3"/>
  <c r="T10" i="3"/>
  <c r="M38" i="3"/>
  <c r="N39" i="3"/>
  <c r="N69" i="3" s="1"/>
  <c r="T26" i="3"/>
  <c r="W7" i="3"/>
  <c r="Z7" i="3" s="1"/>
  <c r="Z13" i="3" s="1"/>
  <c r="Z27" i="3" s="1"/>
  <c r="Q11" i="3"/>
  <c r="L41" i="3"/>
  <c r="P8" i="3"/>
  <c r="Q3" i="2"/>
  <c r="AA4" i="2" s="1"/>
  <c r="N38" i="3" l="1"/>
  <c r="G144" i="3"/>
  <c r="G146" i="3"/>
  <c r="G134" i="3"/>
  <c r="G154" i="3"/>
  <c r="H134" i="3"/>
  <c r="W10" i="3"/>
  <c r="W109" i="3"/>
  <c r="W13" i="3"/>
  <c r="W27" i="3" s="1"/>
  <c r="Z26" i="3"/>
  <c r="T11" i="3"/>
  <c r="Z10" i="3"/>
  <c r="Z11" i="3" s="1"/>
  <c r="Z109" i="3"/>
  <c r="H80" i="3"/>
  <c r="O38" i="3"/>
  <c r="P38" i="3" s="1"/>
  <c r="M40" i="3"/>
  <c r="N51" i="3" s="1"/>
  <c r="M41" i="3"/>
  <c r="N52" i="3" s="1"/>
  <c r="S8" i="3"/>
  <c r="F4" i="2"/>
  <c r="R7" i="2"/>
  <c r="G4" i="2"/>
  <c r="K4" i="2"/>
  <c r="J4" i="2"/>
  <c r="N68" i="3" l="1"/>
  <c r="Q38" i="3"/>
  <c r="J112" i="3"/>
  <c r="G145" i="3"/>
  <c r="W26" i="3"/>
  <c r="W11" i="3" s="1"/>
  <c r="O39" i="3"/>
  <c r="P39" i="3" s="1"/>
  <c r="Q39" i="3" s="1"/>
  <c r="Q69" i="3" s="1"/>
  <c r="G155" i="3"/>
  <c r="H81" i="3"/>
  <c r="H83" i="3"/>
  <c r="V8" i="3"/>
  <c r="Y7" i="3"/>
  <c r="Y109" i="3" s="1"/>
  <c r="R38" i="3"/>
  <c r="S38" i="3" s="1"/>
  <c r="T38" i="3" s="1"/>
  <c r="U4" i="2"/>
  <c r="R8" i="2"/>
  <c r="Q68" i="3" l="1"/>
  <c r="T68" i="3"/>
  <c r="M110" i="3"/>
  <c r="O40" i="3"/>
  <c r="O41" i="3"/>
  <c r="P41" i="3" s="1"/>
  <c r="Q52" i="3" s="1"/>
  <c r="P40" i="3"/>
  <c r="Q40" i="3" s="1"/>
  <c r="K112" i="3"/>
  <c r="N110" i="3" s="1"/>
  <c r="R39" i="3"/>
  <c r="S39" i="3" s="1"/>
  <c r="T39" i="3" s="1"/>
  <c r="T69" i="3" s="1"/>
  <c r="Y8" i="3"/>
  <c r="Y13" i="3"/>
  <c r="U38" i="3"/>
  <c r="V38" i="3" s="1"/>
  <c r="W38" i="3" s="1"/>
  <c r="W68" i="3" s="1"/>
  <c r="O4" i="2"/>
  <c r="P4" i="2" s="1"/>
  <c r="X5" i="2" s="1"/>
  <c r="Z5" i="2" s="1"/>
  <c r="J5" i="2" s="1"/>
  <c r="R9" i="2"/>
  <c r="R41" i="3" l="1"/>
  <c r="Q70" i="3"/>
  <c r="R40" i="3"/>
  <c r="Y27" i="3"/>
  <c r="N111" i="3"/>
  <c r="K149" i="3" s="1"/>
  <c r="K113" i="3"/>
  <c r="K121" i="3" s="1"/>
  <c r="J113" i="3"/>
  <c r="J117" i="3" s="1"/>
  <c r="M111" i="3"/>
  <c r="J149" i="3" s="1"/>
  <c r="S41" i="3"/>
  <c r="T41" i="3" s="1"/>
  <c r="T71" i="3" s="1"/>
  <c r="S40" i="3"/>
  <c r="T40" i="3" s="1"/>
  <c r="U39" i="3"/>
  <c r="V39" i="3" s="1"/>
  <c r="W39" i="3" s="1"/>
  <c r="W69" i="3" s="1"/>
  <c r="X38" i="3"/>
  <c r="Y38" i="3" s="1"/>
  <c r="Z38" i="3" s="1"/>
  <c r="Z68" i="3" s="1"/>
  <c r="Q4" i="2"/>
  <c r="Y5" i="2" s="1"/>
  <c r="AA5" i="2" s="1"/>
  <c r="F5" i="2"/>
  <c r="R10" i="2"/>
  <c r="J114" i="3" l="1"/>
  <c r="J126" i="3" s="1"/>
  <c r="K114" i="3"/>
  <c r="K126" i="3" s="1"/>
  <c r="J121" i="3"/>
  <c r="J119" i="3"/>
  <c r="J120" i="3" s="1"/>
  <c r="T70" i="3"/>
  <c r="K117" i="3"/>
  <c r="U41" i="3"/>
  <c r="U40" i="3"/>
  <c r="V40" i="3" s="1"/>
  <c r="W40" i="3" s="1"/>
  <c r="X39" i="3"/>
  <c r="Y39" i="3" s="1"/>
  <c r="Z39" i="3" s="1"/>
  <c r="Z69" i="3" s="1"/>
  <c r="R11" i="2"/>
  <c r="G5" i="2"/>
  <c r="U5" i="2" s="1"/>
  <c r="O5" i="2" s="1"/>
  <c r="Q5" i="2" s="1"/>
  <c r="K5" i="2"/>
  <c r="W70" i="3" l="1"/>
  <c r="K136" i="3"/>
  <c r="K137" i="3" s="1"/>
  <c r="J122" i="3"/>
  <c r="J123" i="3" s="1"/>
  <c r="K122" i="3"/>
  <c r="K123" i="3" s="1"/>
  <c r="J136" i="3"/>
  <c r="J137" i="3" s="1"/>
  <c r="V41" i="3"/>
  <c r="W41" i="3" s="1"/>
  <c r="X40" i="3"/>
  <c r="Y40" i="3" s="1"/>
  <c r="Z40" i="3" s="1"/>
  <c r="Y6" i="2"/>
  <c r="AA6" i="2" s="1"/>
  <c r="K6" i="2" s="1"/>
  <c r="R12" i="2"/>
  <c r="P5" i="2"/>
  <c r="X6" i="2" s="1"/>
  <c r="Z6" i="2" s="1"/>
  <c r="J6" i="2" s="1"/>
  <c r="K148" i="3" l="1"/>
  <c r="J148" i="3"/>
  <c r="J139" i="3"/>
  <c r="X41" i="3"/>
  <c r="W71" i="3"/>
  <c r="Z70" i="3"/>
  <c r="K125" i="3"/>
  <c r="J125" i="3"/>
  <c r="J124" i="3"/>
  <c r="K139" i="3"/>
  <c r="Y41" i="3"/>
  <c r="Z41" i="3" s="1"/>
  <c r="G6" i="2"/>
  <c r="R13" i="2"/>
  <c r="F6" i="2"/>
  <c r="U6" i="2" s="1"/>
  <c r="W6" i="2" s="1"/>
  <c r="O6" i="2" s="1"/>
  <c r="K147" i="3" l="1"/>
  <c r="J147" i="3"/>
  <c r="J152" i="3" s="1"/>
  <c r="J140" i="3"/>
  <c r="J141" i="3" s="1"/>
  <c r="Z71" i="3"/>
  <c r="J129" i="3"/>
  <c r="R14" i="2"/>
  <c r="Y7" i="2"/>
  <c r="AA7" i="2" s="1"/>
  <c r="K140" i="3" l="1"/>
  <c r="K141" i="3" s="1"/>
  <c r="J130" i="3"/>
  <c r="J133" i="3" s="1"/>
  <c r="X7" i="2"/>
  <c r="Z7" i="2" s="1"/>
  <c r="R15" i="2"/>
  <c r="G7" i="2"/>
  <c r="K7" i="2"/>
  <c r="J134" i="3" l="1"/>
  <c r="J131" i="3"/>
  <c r="J132" i="3" s="1"/>
  <c r="K152" i="3" s="1"/>
  <c r="J146" i="3"/>
  <c r="J144" i="3"/>
  <c r="K133" i="3"/>
  <c r="K134" i="3" s="1"/>
  <c r="J7" i="2"/>
  <c r="F7" i="2"/>
  <c r="U7" i="2" s="1"/>
  <c r="O7" i="2" s="1"/>
  <c r="R16" i="2"/>
  <c r="M112" i="3" l="1"/>
  <c r="J145" i="3"/>
  <c r="J154" i="3"/>
  <c r="K81" i="3"/>
  <c r="K92" i="3" s="1"/>
  <c r="K80" i="3"/>
  <c r="K82" i="3"/>
  <c r="K93" i="3" s="1"/>
  <c r="K146" i="3"/>
  <c r="J155" i="3"/>
  <c r="K83" i="3"/>
  <c r="K94" i="3" s="1"/>
  <c r="P7" i="2"/>
  <c r="X8" i="2" s="1"/>
  <c r="Z8" i="2" s="1"/>
  <c r="Q7" i="2"/>
  <c r="Y8" i="2" s="1"/>
  <c r="AA8" i="2" s="1"/>
  <c r="G8" i="2" s="1"/>
  <c r="J8" i="2"/>
  <c r="R17" i="2"/>
  <c r="F8" i="2"/>
  <c r="K91" i="3" l="1"/>
  <c r="K97" i="3"/>
  <c r="K98" i="3"/>
  <c r="K103" i="3" s="1"/>
  <c r="K99" i="3"/>
  <c r="P110" i="3"/>
  <c r="K8" i="2"/>
  <c r="W8" i="2"/>
  <c r="R18" i="2"/>
  <c r="K96" i="3" l="1"/>
  <c r="K144" i="3"/>
  <c r="K118" i="3"/>
  <c r="K119" i="3" s="1"/>
  <c r="K120" i="3" s="1"/>
  <c r="N75" i="3"/>
  <c r="M86" i="3"/>
  <c r="N86" i="3" s="1"/>
  <c r="N43" i="3"/>
  <c r="N56" i="3" s="1"/>
  <c r="N76" i="3"/>
  <c r="K104" i="3"/>
  <c r="M89" i="3"/>
  <c r="N44" i="3"/>
  <c r="M88" i="3"/>
  <c r="M113" i="3"/>
  <c r="P111" i="3"/>
  <c r="M149" i="3" s="1"/>
  <c r="O8" i="2"/>
  <c r="Q8" i="2" s="1"/>
  <c r="Y9" i="2" s="1"/>
  <c r="AA9" i="2" s="1"/>
  <c r="R19" i="2"/>
  <c r="N112" i="3" l="1"/>
  <c r="Q110" i="3" s="1"/>
  <c r="Q111" i="3" s="1"/>
  <c r="N149" i="3" s="1"/>
  <c r="K145" i="3"/>
  <c r="K101" i="3"/>
  <c r="N50" i="3"/>
  <c r="N57" i="3"/>
  <c r="N49" i="3"/>
  <c r="N73" i="3"/>
  <c r="M80" i="3" s="1"/>
  <c r="M87" i="3"/>
  <c r="M121" i="3"/>
  <c r="M117" i="3"/>
  <c r="M119" i="3" s="1"/>
  <c r="M120" i="3" s="1"/>
  <c r="K102" i="3"/>
  <c r="M114" i="3"/>
  <c r="M126" i="3" s="1"/>
  <c r="G9" i="2"/>
  <c r="K9" i="2"/>
  <c r="P8" i="2"/>
  <c r="X9" i="2" s="1"/>
  <c r="Z9" i="2" s="1"/>
  <c r="J9" i="2" s="1"/>
  <c r="F9" i="2"/>
  <c r="U9" i="2" s="1"/>
  <c r="W9" i="2" s="1"/>
  <c r="O9" i="2" s="1"/>
  <c r="P9" i="2" s="1"/>
  <c r="X10" i="2" s="1"/>
  <c r="Z10" i="2" s="1"/>
  <c r="J10" i="2" s="1"/>
  <c r="R20" i="2"/>
  <c r="N113" i="3" l="1"/>
  <c r="N114" i="3" s="1"/>
  <c r="N126" i="3" s="1"/>
  <c r="N53" i="3"/>
  <c r="N60" i="3"/>
  <c r="N74" i="3"/>
  <c r="M82" i="3" s="1"/>
  <c r="M122" i="3"/>
  <c r="M123" i="3" s="1"/>
  <c r="M136" i="3"/>
  <c r="M137" i="3" s="1"/>
  <c r="N47" i="3"/>
  <c r="N54" i="3" s="1"/>
  <c r="Q9" i="2"/>
  <c r="Y10" i="2" s="1"/>
  <c r="AA10" i="2" s="1"/>
  <c r="G10" i="2" s="1"/>
  <c r="R21" i="2"/>
  <c r="F10" i="2"/>
  <c r="N121" i="3" l="1"/>
  <c r="N117" i="3"/>
  <c r="M148" i="3"/>
  <c r="N122" i="3"/>
  <c r="N148" i="3" s="1"/>
  <c r="N136" i="3"/>
  <c r="N137" i="3" s="1"/>
  <c r="M139" i="3"/>
  <c r="M81" i="3"/>
  <c r="M83" i="3"/>
  <c r="N77" i="3"/>
  <c r="U10" i="2"/>
  <c r="W10" i="2" s="1"/>
  <c r="O10" i="2" s="1"/>
  <c r="Q10" i="2" s="1"/>
  <c r="K10" i="2"/>
  <c r="R22" i="2"/>
  <c r="N139" i="3" l="1"/>
  <c r="M140" i="3" s="1"/>
  <c r="N123" i="3"/>
  <c r="N125" i="3" s="1"/>
  <c r="Y11" i="2"/>
  <c r="P10" i="2"/>
  <c r="X11" i="2" s="1"/>
  <c r="Z11" i="2" s="1"/>
  <c r="J11" i="2" s="1"/>
  <c r="R23" i="2"/>
  <c r="M124" i="3" l="1"/>
  <c r="N147" i="3" s="1"/>
  <c r="M125" i="3"/>
  <c r="M141" i="3"/>
  <c r="N140" i="3"/>
  <c r="N141" i="3" s="1"/>
  <c r="AA11" i="2"/>
  <c r="G11" i="2" s="1"/>
  <c r="F11" i="2"/>
  <c r="U11" i="2" s="1"/>
  <c r="W11" i="2" s="1"/>
  <c r="O11" i="2" s="1"/>
  <c r="P11" i="2" s="1"/>
  <c r="X12" i="2" s="1"/>
  <c r="Z12" i="2" s="1"/>
  <c r="J12" i="2" s="1"/>
  <c r="R24" i="2"/>
  <c r="M129" i="3" l="1"/>
  <c r="M130" i="3" s="1"/>
  <c r="M133" i="3" s="1"/>
  <c r="M134" i="3" s="1"/>
  <c r="M147" i="3"/>
  <c r="M152" i="3" s="1"/>
  <c r="K11" i="2"/>
  <c r="Q11" i="2"/>
  <c r="R25" i="2"/>
  <c r="F12" i="2"/>
  <c r="N133" i="3" l="1"/>
  <c r="M144" i="3"/>
  <c r="M146" i="3"/>
  <c r="M131" i="3"/>
  <c r="M132" i="3" s="1"/>
  <c r="N152" i="3" s="1"/>
  <c r="M154" i="3"/>
  <c r="M155" i="3" s="1"/>
  <c r="Y12" i="2"/>
  <c r="AA12" i="2" s="1"/>
  <c r="R26" i="2"/>
  <c r="P112" i="3" l="1"/>
  <c r="S110" i="3" s="1"/>
  <c r="S111" i="3" s="1"/>
  <c r="P149" i="3" s="1"/>
  <c r="M145" i="3"/>
  <c r="P113" i="3"/>
  <c r="N134" i="3"/>
  <c r="N146" i="3"/>
  <c r="N83" i="3"/>
  <c r="N94" i="3" s="1"/>
  <c r="N82" i="3"/>
  <c r="N93" i="3" s="1"/>
  <c r="N81" i="3"/>
  <c r="N92" i="3" s="1"/>
  <c r="N97" i="3" s="1"/>
  <c r="Q44" i="3" s="1"/>
  <c r="Q50" i="3" s="1"/>
  <c r="N80" i="3"/>
  <c r="N99" i="3"/>
  <c r="P89" i="3" s="1"/>
  <c r="N98" i="3"/>
  <c r="P88" i="3" s="1"/>
  <c r="P121" i="3"/>
  <c r="P117" i="3"/>
  <c r="P119" i="3" s="1"/>
  <c r="P120" i="3" s="1"/>
  <c r="P114" i="3"/>
  <c r="P126" i="3" s="1"/>
  <c r="G12" i="2"/>
  <c r="U12" i="2" s="1"/>
  <c r="W12" i="2" s="1"/>
  <c r="O12" i="2" s="1"/>
  <c r="Q12" i="2" s="1"/>
  <c r="K12" i="2"/>
  <c r="R27" i="2"/>
  <c r="N91" i="3" l="1"/>
  <c r="N96" i="3" s="1"/>
  <c r="N144" i="3"/>
  <c r="N102" i="3"/>
  <c r="Q45" i="3"/>
  <c r="Q51" i="3" s="1"/>
  <c r="Q76" i="3"/>
  <c r="Q57" i="3"/>
  <c r="N103" i="3"/>
  <c r="Q74" i="3"/>
  <c r="P87" i="3"/>
  <c r="N104" i="3"/>
  <c r="P122" i="3"/>
  <c r="P123" i="3" s="1"/>
  <c r="P136" i="3"/>
  <c r="P137" i="3" s="1"/>
  <c r="Y13" i="2"/>
  <c r="AA13" i="2" s="1"/>
  <c r="G13" i="2" s="1"/>
  <c r="P12" i="2"/>
  <c r="X13" i="2" s="1"/>
  <c r="Z13" i="2" s="1"/>
  <c r="J13" i="2" s="1"/>
  <c r="R28" i="2"/>
  <c r="Q112" i="3" l="1"/>
  <c r="N145" i="3"/>
  <c r="N101" i="3"/>
  <c r="N118" i="3"/>
  <c r="N119" i="3" s="1"/>
  <c r="N120" i="3" s="1"/>
  <c r="Q43" i="3"/>
  <c r="Q56" i="3" s="1"/>
  <c r="P86" i="3"/>
  <c r="Q86" i="3" s="1"/>
  <c r="P148" i="3"/>
  <c r="T110" i="3"/>
  <c r="T111" i="3" s="1"/>
  <c r="Q149" i="3" s="1"/>
  <c r="Q113" i="3"/>
  <c r="Q117" i="3" s="1"/>
  <c r="Q75" i="3"/>
  <c r="Q58" i="3"/>
  <c r="P139" i="3"/>
  <c r="K13" i="2"/>
  <c r="F13" i="2"/>
  <c r="U13" i="2" s="1"/>
  <c r="W13" i="2" s="1"/>
  <c r="O13" i="2" s="1"/>
  <c r="Q13" i="2" s="1"/>
  <c r="Y14" i="2" s="1"/>
  <c r="AA14" i="2" s="1"/>
  <c r="G14" i="2" s="1"/>
  <c r="R30" i="2"/>
  <c r="R29" i="2"/>
  <c r="Q121" i="3" l="1"/>
  <c r="Q114" i="3"/>
  <c r="Q136" i="3" s="1"/>
  <c r="Q137" i="3" s="1"/>
  <c r="Q60" i="3"/>
  <c r="Q73" i="3"/>
  <c r="P80" i="3" s="1"/>
  <c r="Q49" i="3"/>
  <c r="Q53" i="3" s="1"/>
  <c r="Q47" i="3"/>
  <c r="Q122" i="3"/>
  <c r="Q126" i="3"/>
  <c r="K14" i="2"/>
  <c r="P13" i="2"/>
  <c r="X14" i="2" s="1"/>
  <c r="Z14" i="2" s="1"/>
  <c r="J14" i="2" s="1"/>
  <c r="P82" i="3" l="1"/>
  <c r="Q77" i="3"/>
  <c r="Q54" i="3"/>
  <c r="P83" i="3"/>
  <c r="P81" i="3"/>
  <c r="Q148" i="3"/>
  <c r="Q123" i="3"/>
  <c r="Q125" i="3" s="1"/>
  <c r="Q139" i="3"/>
  <c r="P140" i="3" s="1"/>
  <c r="P141" i="3" s="1"/>
  <c r="F14" i="2"/>
  <c r="U14" i="2" s="1"/>
  <c r="W14" i="2" s="1"/>
  <c r="O14" i="2" s="1"/>
  <c r="P14" i="2" s="1"/>
  <c r="X15" i="2" s="1"/>
  <c r="Z15" i="2" s="1"/>
  <c r="J15" i="2" s="1"/>
  <c r="P125" i="3" l="1"/>
  <c r="Q140" i="3"/>
  <c r="Q141" i="3" s="1"/>
  <c r="P124" i="3"/>
  <c r="P129" i="3" s="1"/>
  <c r="P130" i="3" s="1"/>
  <c r="P133" i="3" s="1"/>
  <c r="P134" i="3" s="1"/>
  <c r="F15" i="2"/>
  <c r="Q14" i="2"/>
  <c r="Y15" i="2" s="1"/>
  <c r="AA15" i="2" s="1"/>
  <c r="G15" i="2" s="1"/>
  <c r="U15" i="2" s="1"/>
  <c r="W15" i="2" s="1"/>
  <c r="O15" i="2" s="1"/>
  <c r="Q15" i="2" s="1"/>
  <c r="P147" i="3" l="1"/>
  <c r="P152" i="3" s="1"/>
  <c r="Q147" i="3"/>
  <c r="P146" i="3"/>
  <c r="Q133" i="3"/>
  <c r="P154" i="3" s="1"/>
  <c r="P155" i="3" s="1"/>
  <c r="P144" i="3"/>
  <c r="P145" i="3" s="1"/>
  <c r="P131" i="3"/>
  <c r="P132" i="3" s="1"/>
  <c r="Q81" i="3" s="1"/>
  <c r="K15" i="2"/>
  <c r="Y16" i="2" s="1"/>
  <c r="AA16" i="2" s="1"/>
  <c r="G16" i="2" s="1"/>
  <c r="P15" i="2"/>
  <c r="X16" i="2" s="1"/>
  <c r="Z16" i="2" s="1"/>
  <c r="J16" i="2" s="1"/>
  <c r="S112" i="3" l="1"/>
  <c r="V110" i="3" s="1"/>
  <c r="Q83" i="3"/>
  <c r="Q94" i="3" s="1"/>
  <c r="Q146" i="3"/>
  <c r="Q82" i="3"/>
  <c r="Q93" i="3" s="1"/>
  <c r="Q92" i="3"/>
  <c r="Q97" i="3" s="1"/>
  <c r="Q134" i="3"/>
  <c r="Q80" i="3"/>
  <c r="Q91" i="3" s="1"/>
  <c r="Q152" i="3"/>
  <c r="Q99" i="3"/>
  <c r="S113" i="3"/>
  <c r="V111" i="3"/>
  <c r="S149" i="3" s="1"/>
  <c r="K16" i="2"/>
  <c r="F16" i="2"/>
  <c r="U16" i="2" s="1"/>
  <c r="W16" i="2" s="1"/>
  <c r="O16" i="2" s="1"/>
  <c r="P16" i="2" s="1"/>
  <c r="X17" i="2" s="1"/>
  <c r="Z17" i="2" s="1"/>
  <c r="J17" i="2" s="1"/>
  <c r="Q98" i="3" l="1"/>
  <c r="Q144" i="3"/>
  <c r="Q96" i="3"/>
  <c r="Q102" i="3"/>
  <c r="S87" i="3"/>
  <c r="T44" i="3"/>
  <c r="T50" i="3" s="1"/>
  <c r="T43" i="3"/>
  <c r="T49" i="3" s="1"/>
  <c r="S86" i="3"/>
  <c r="T86" i="3" s="1"/>
  <c r="S88" i="3"/>
  <c r="Q104" i="3"/>
  <c r="T46" i="3"/>
  <c r="T52" i="3" s="1"/>
  <c r="T45" i="3"/>
  <c r="T51" i="3" s="1"/>
  <c r="Q103" i="3"/>
  <c r="S89" i="3"/>
  <c r="S121" i="3"/>
  <c r="S117" i="3"/>
  <c r="S119" i="3" s="1"/>
  <c r="S120" i="3" s="1"/>
  <c r="S114" i="3"/>
  <c r="S126" i="3" s="1"/>
  <c r="Q16" i="2"/>
  <c r="Y17" i="2" s="1"/>
  <c r="AA17" i="2" s="1"/>
  <c r="K17" i="2" s="1"/>
  <c r="F17" i="2"/>
  <c r="T112" i="3" l="1"/>
  <c r="Q145" i="3"/>
  <c r="Q118" i="3"/>
  <c r="Q119" i="3" s="1"/>
  <c r="Q120" i="3" s="1"/>
  <c r="Q101" i="3"/>
  <c r="T113" i="3"/>
  <c r="T121" i="3" s="1"/>
  <c r="W110" i="3"/>
  <c r="W111" i="3" s="1"/>
  <c r="T149" i="3" s="1"/>
  <c r="T74" i="3"/>
  <c r="T73" i="3"/>
  <c r="T57" i="3"/>
  <c r="T75" i="3"/>
  <c r="T114" i="3"/>
  <c r="T126" i="3" s="1"/>
  <c r="T117" i="3"/>
  <c r="T56" i="3"/>
  <c r="T53" i="3"/>
  <c r="T76" i="3"/>
  <c r="T59" i="3"/>
  <c r="T47" i="3"/>
  <c r="T58" i="3"/>
  <c r="S122" i="3"/>
  <c r="S123" i="3" s="1"/>
  <c r="S136" i="3"/>
  <c r="S137" i="3" s="1"/>
  <c r="G17" i="2"/>
  <c r="U17" i="2" s="1"/>
  <c r="W17" i="2" s="1"/>
  <c r="O17" i="2" s="1"/>
  <c r="P17" i="2" s="1"/>
  <c r="X18" i="2" s="1"/>
  <c r="Z18" i="2" s="1"/>
  <c r="J18" i="2" s="1"/>
  <c r="T122" i="3" l="1"/>
  <c r="S148" i="3"/>
  <c r="S81" i="3"/>
  <c r="T54" i="3"/>
  <c r="S80" i="3"/>
  <c r="S83" i="3"/>
  <c r="T136" i="3"/>
  <c r="T60" i="3"/>
  <c r="T77" i="3"/>
  <c r="S82" i="3"/>
  <c r="S139" i="3"/>
  <c r="Q17" i="2"/>
  <c r="Y18" i="2" s="1"/>
  <c r="AA18" i="2" s="1"/>
  <c r="G18" i="2" s="1"/>
  <c r="F18" i="2"/>
  <c r="T148" i="3" l="1"/>
  <c r="T137" i="3"/>
  <c r="T139" i="3" s="1"/>
  <c r="S140" i="3" s="1"/>
  <c r="T140" i="3" s="1"/>
  <c r="T141" i="3" s="1"/>
  <c r="T123" i="3"/>
  <c r="K18" i="2"/>
  <c r="U18" i="2"/>
  <c r="W18" i="2" s="1"/>
  <c r="O18" i="2" s="1"/>
  <c r="Q18" i="2" s="1"/>
  <c r="S125" i="3" l="1"/>
  <c r="S124" i="3"/>
  <c r="T125" i="3"/>
  <c r="S141" i="3"/>
  <c r="Y19" i="2"/>
  <c r="AA19" i="2" s="1"/>
  <c r="G19" i="2" s="1"/>
  <c r="P18" i="2"/>
  <c r="X19" i="2" s="1"/>
  <c r="Z19" i="2" s="1"/>
  <c r="J19" i="2" s="1"/>
  <c r="T147" i="3" l="1"/>
  <c r="S129" i="3"/>
  <c r="S130" i="3" s="1"/>
  <c r="T133" i="3" s="1"/>
  <c r="S147" i="3"/>
  <c r="S152" i="3" s="1"/>
  <c r="K19" i="2"/>
  <c r="F19" i="2"/>
  <c r="U19" i="2" s="1"/>
  <c r="W19" i="2" s="1"/>
  <c r="O19" i="2" s="1"/>
  <c r="P19" i="2" s="1"/>
  <c r="X20" i="2" s="1"/>
  <c r="Z20" i="2" s="1"/>
  <c r="S131" i="3" l="1"/>
  <c r="S132" i="3" s="1"/>
  <c r="T134" i="3" s="1"/>
  <c r="S133" i="3"/>
  <c r="S134" i="3" s="1"/>
  <c r="T152" i="3"/>
  <c r="Q19" i="2"/>
  <c r="Y20" i="2" s="1"/>
  <c r="AA20" i="2" s="1"/>
  <c r="G20" i="2" s="1"/>
  <c r="J20" i="2"/>
  <c r="F20" i="2"/>
  <c r="S154" i="3" l="1"/>
  <c r="S155" i="3" s="1"/>
  <c r="S146" i="3"/>
  <c r="T80" i="3"/>
  <c r="T91" i="3" s="1"/>
  <c r="T82" i="3"/>
  <c r="T93" i="3" s="1"/>
  <c r="T83" i="3"/>
  <c r="T94" i="3" s="1"/>
  <c r="T146" i="3"/>
  <c r="S144" i="3"/>
  <c r="T81" i="3"/>
  <c r="T92" i="3" s="1"/>
  <c r="T97" i="3" s="1"/>
  <c r="T102" i="3" s="1"/>
  <c r="T98" i="3"/>
  <c r="T96" i="3"/>
  <c r="T99" i="3"/>
  <c r="K20" i="2"/>
  <c r="U20" i="2"/>
  <c r="W20" i="2" s="1"/>
  <c r="W44" i="3" l="1"/>
  <c r="W50" i="3" s="1"/>
  <c r="V87" i="3"/>
  <c r="V112" i="3"/>
  <c r="Y110" i="3" s="1"/>
  <c r="Y111" i="3" s="1"/>
  <c r="V149" i="3" s="1"/>
  <c r="S145" i="3"/>
  <c r="V113" i="3"/>
  <c r="V117" i="3" s="1"/>
  <c r="V119" i="3" s="1"/>
  <c r="V120" i="3" s="1"/>
  <c r="T144" i="3"/>
  <c r="T101" i="3"/>
  <c r="W43" i="3"/>
  <c r="W49" i="3" s="1"/>
  <c r="V89" i="3"/>
  <c r="V88" i="3"/>
  <c r="W45" i="3"/>
  <c r="W51" i="3" s="1"/>
  <c r="V86" i="3"/>
  <c r="W86" i="3" s="1"/>
  <c r="T103" i="3"/>
  <c r="T118" i="3"/>
  <c r="T119" i="3" s="1"/>
  <c r="T120" i="3" s="1"/>
  <c r="T104" i="3"/>
  <c r="W46" i="3"/>
  <c r="W74" i="3"/>
  <c r="W57" i="3"/>
  <c r="O20" i="2"/>
  <c r="P20" i="2" s="1"/>
  <c r="X21" i="2" s="1"/>
  <c r="Z21" i="2" s="1"/>
  <c r="W73" i="3" l="1"/>
  <c r="V80" i="3" s="1"/>
  <c r="V114" i="3"/>
  <c r="V126" i="3" s="1"/>
  <c r="V121" i="3"/>
  <c r="W75" i="3"/>
  <c r="V82" i="3" s="1"/>
  <c r="W112" i="3"/>
  <c r="Z110" i="3" s="1"/>
  <c r="Z111" i="3" s="1"/>
  <c r="W149" i="3" s="1"/>
  <c r="T145" i="3"/>
  <c r="W56" i="3"/>
  <c r="W58" i="3"/>
  <c r="W52" i="3"/>
  <c r="W53" i="3" s="1"/>
  <c r="W76" i="3"/>
  <c r="V83" i="3" s="1"/>
  <c r="W59" i="3"/>
  <c r="W47" i="3"/>
  <c r="V122" i="3"/>
  <c r="V123" i="3" s="1"/>
  <c r="V81" i="3"/>
  <c r="J21" i="2"/>
  <c r="F21" i="2"/>
  <c r="Q20" i="2"/>
  <c r="Y21" i="2" s="1"/>
  <c r="AA21" i="2" s="1"/>
  <c r="G21" i="2" s="1"/>
  <c r="W113" i="3" l="1"/>
  <c r="W60" i="3"/>
  <c r="V136" i="3"/>
  <c r="V137" i="3" s="1"/>
  <c r="V148" i="3"/>
  <c r="W117" i="3"/>
  <c r="W121" i="3"/>
  <c r="W114" i="3"/>
  <c r="W77" i="3"/>
  <c r="W54" i="3"/>
  <c r="V139" i="3"/>
  <c r="U21" i="2"/>
  <c r="W21" i="2" s="1"/>
  <c r="O21" i="2" s="1"/>
  <c r="Q21" i="2" s="1"/>
  <c r="K21" i="2"/>
  <c r="W122" i="3" l="1"/>
  <c r="W148" i="3" s="1"/>
  <c r="W126" i="3"/>
  <c r="W136" i="3"/>
  <c r="W137" i="3" s="1"/>
  <c r="P21" i="2"/>
  <c r="X22" i="2" s="1"/>
  <c r="Z22" i="2" s="1"/>
  <c r="J22" i="2" s="1"/>
  <c r="Y22" i="2"/>
  <c r="AA22" i="2" s="1"/>
  <c r="G22" i="2" s="1"/>
  <c r="F22" i="2"/>
  <c r="U22" i="2" s="1"/>
  <c r="W22" i="2" s="1"/>
  <c r="O22" i="2" s="1"/>
  <c r="Q22" i="2" s="1"/>
  <c r="W123" i="3" l="1"/>
  <c r="V124" i="3" s="1"/>
  <c r="W139" i="3"/>
  <c r="V140" i="3" s="1"/>
  <c r="V141" i="3" s="1"/>
  <c r="K22" i="2"/>
  <c r="Y23" i="2" s="1"/>
  <c r="AA23" i="2" s="1"/>
  <c r="P22" i="2"/>
  <c r="X23" i="2" s="1"/>
  <c r="Z23" i="2" s="1"/>
  <c r="J23" i="2" s="1"/>
  <c r="W125" i="3" l="1"/>
  <c r="W147" i="3" s="1"/>
  <c r="V125" i="3"/>
  <c r="V147" i="3" s="1"/>
  <c r="V152" i="3" s="1"/>
  <c r="V129" i="3"/>
  <c r="V130" i="3" s="1"/>
  <c r="V133" i="3" s="1"/>
  <c r="V134" i="3" s="1"/>
  <c r="W140" i="3"/>
  <c r="W141" i="3" s="1"/>
  <c r="G23" i="2"/>
  <c r="K23" i="2"/>
  <c r="F23" i="2"/>
  <c r="U23" i="2" s="1"/>
  <c r="W23" i="2" s="1"/>
  <c r="O23" i="2" s="1"/>
  <c r="Q23" i="2" s="1"/>
  <c r="Y24" i="2" s="1"/>
  <c r="AA24" i="2" s="1"/>
  <c r="V131" i="3" l="1"/>
  <c r="V132" i="3" s="1"/>
  <c r="W80" i="3" s="1"/>
  <c r="W133" i="3"/>
  <c r="V144" i="3"/>
  <c r="V146" i="3"/>
  <c r="W152" i="3"/>
  <c r="W146" i="3"/>
  <c r="V154" i="3"/>
  <c r="V155" i="3" s="1"/>
  <c r="W81" i="3"/>
  <c r="W82" i="3"/>
  <c r="W93" i="3" s="1"/>
  <c r="W83" i="3"/>
  <c r="W94" i="3" s="1"/>
  <c r="P23" i="2"/>
  <c r="X24" i="2" s="1"/>
  <c r="Z24" i="2" s="1"/>
  <c r="J24" i="2" s="1"/>
  <c r="G24" i="2"/>
  <c r="K24" i="2"/>
  <c r="Y112" i="3" l="1"/>
  <c r="Y113" i="3" s="1"/>
  <c r="V145" i="3"/>
  <c r="W134" i="3"/>
  <c r="W92" i="3"/>
  <c r="W97" i="3" s="1"/>
  <c r="Z44" i="3" s="1"/>
  <c r="W91" i="3"/>
  <c r="W96" i="3" s="1"/>
  <c r="W99" i="3"/>
  <c r="W98" i="3"/>
  <c r="Y117" i="3"/>
  <c r="Y119" i="3" s="1"/>
  <c r="Y120" i="3" s="1"/>
  <c r="Y121" i="3"/>
  <c r="Y114" i="3"/>
  <c r="Y126" i="3" s="1"/>
  <c r="F24" i="2"/>
  <c r="U24" i="2" s="1"/>
  <c r="W24" i="2" s="1"/>
  <c r="O24" i="2" s="1"/>
  <c r="P24" i="2" s="1"/>
  <c r="X25" i="2" s="1"/>
  <c r="Z25" i="2" s="1"/>
  <c r="J25" i="2" s="1"/>
  <c r="W144" i="3" l="1"/>
  <c r="Z43" i="3"/>
  <c r="Y86" i="3"/>
  <c r="Z86" i="3" s="1"/>
  <c r="Z149" i="3" s="1"/>
  <c r="W101" i="3"/>
  <c r="W102" i="3"/>
  <c r="Z74" i="3"/>
  <c r="Y88" i="3"/>
  <c r="Z45" i="3"/>
  <c r="Z51" i="3" s="1"/>
  <c r="W103" i="3"/>
  <c r="Z46" i="3"/>
  <c r="Z52" i="3" s="1"/>
  <c r="Y89" i="3"/>
  <c r="W104" i="3"/>
  <c r="W118" i="3"/>
  <c r="W119" i="3" s="1"/>
  <c r="W120" i="3" s="1"/>
  <c r="Y87" i="3"/>
  <c r="Y122" i="3"/>
  <c r="Y123" i="3" s="1"/>
  <c r="Y136" i="3"/>
  <c r="Y137" i="3" s="1"/>
  <c r="Z50" i="3"/>
  <c r="Z57" i="3"/>
  <c r="Q24" i="2"/>
  <c r="Y25" i="2" s="1"/>
  <c r="AA25" i="2" s="1"/>
  <c r="G25" i="2" s="1"/>
  <c r="F25" i="2"/>
  <c r="Z112" i="3" l="1"/>
  <c r="W145" i="3"/>
  <c r="Y148" i="3"/>
  <c r="Z113" i="3"/>
  <c r="Z117" i="3" s="1"/>
  <c r="Z75" i="3"/>
  <c r="Z49" i="3"/>
  <c r="Z53" i="3" s="1"/>
  <c r="Z56" i="3"/>
  <c r="Z73" i="3"/>
  <c r="Y80" i="3" s="1"/>
  <c r="Z47" i="3"/>
  <c r="Z76" i="3"/>
  <c r="Z59" i="3"/>
  <c r="Z58" i="3"/>
  <c r="Y139" i="3"/>
  <c r="K25" i="2"/>
  <c r="U25" i="2"/>
  <c r="W25" i="2" s="1"/>
  <c r="O25" i="2" s="1"/>
  <c r="Q25" i="2" s="1"/>
  <c r="Y26" i="2" s="1"/>
  <c r="AA26" i="2" s="1"/>
  <c r="G26" i="2" s="1"/>
  <c r="Z121" i="3" l="1"/>
  <c r="Z122" i="3"/>
  <c r="Z60" i="3"/>
  <c r="Z114" i="3"/>
  <c r="Y83" i="3"/>
  <c r="Y82" i="3"/>
  <c r="Y81" i="3"/>
  <c r="Z77" i="3"/>
  <c r="Z54" i="3"/>
  <c r="P25" i="2"/>
  <c r="X26" i="2" s="1"/>
  <c r="Z26" i="2" s="1"/>
  <c r="J26" i="2" s="1"/>
  <c r="K26" i="2"/>
  <c r="Z148" i="3" l="1"/>
  <c r="Z126" i="3"/>
  <c r="Z136" i="3"/>
  <c r="Z137" i="3" s="1"/>
  <c r="Z123" i="3"/>
  <c r="Z125" i="3" s="1"/>
  <c r="F26" i="2"/>
  <c r="U26" i="2" s="1"/>
  <c r="W26" i="2" s="1"/>
  <c r="O26" i="2" s="1"/>
  <c r="Q26" i="2" s="1"/>
  <c r="Y27" i="2" s="1"/>
  <c r="AA27" i="2" s="1"/>
  <c r="Z139" i="3" l="1"/>
  <c r="Y140" i="3" s="1"/>
  <c r="Y124" i="3"/>
  <c r="Y125" i="3"/>
  <c r="P26" i="2"/>
  <c r="X27" i="2" s="1"/>
  <c r="Z27" i="2" s="1"/>
  <c r="J27" i="2" s="1"/>
  <c r="G27" i="2"/>
  <c r="K27" i="2"/>
  <c r="Y129" i="3" l="1"/>
  <c r="Z140" i="3"/>
  <c r="Z141" i="3" s="1"/>
  <c r="Y141" i="3"/>
  <c r="Y130" i="3"/>
  <c r="Z147" i="3"/>
  <c r="Y147" i="3"/>
  <c r="Y152" i="3" s="1"/>
  <c r="F27" i="2"/>
  <c r="U27" i="2" s="1"/>
  <c r="W27" i="2" s="1"/>
  <c r="O27" i="2" s="1"/>
  <c r="P27" i="2" s="1"/>
  <c r="X28" i="2" s="1"/>
  <c r="Z28" i="2" s="1"/>
  <c r="J28" i="2" s="1"/>
  <c r="Z133" i="3" l="1"/>
  <c r="Y131" i="3"/>
  <c r="Y132" i="3" s="1"/>
  <c r="Z152" i="3" s="1"/>
  <c r="Y133" i="3"/>
  <c r="Q27" i="2"/>
  <c r="Y28" i="2" s="1"/>
  <c r="AA28" i="2" s="1"/>
  <c r="G28" i="2" s="1"/>
  <c r="F28" i="2"/>
  <c r="Y134" i="3" l="1"/>
  <c r="Y154" i="3"/>
  <c r="Y155" i="3" s="1"/>
  <c r="Y144" i="3"/>
  <c r="Y145" i="3" s="1"/>
  <c r="Y146" i="3"/>
  <c r="Z146" i="3"/>
  <c r="Z82" i="3"/>
  <c r="Z93" i="3" s="1"/>
  <c r="Z98" i="3" s="1"/>
  <c r="Z80" i="3"/>
  <c r="Z91" i="3" s="1"/>
  <c r="Z96" i="3" s="1"/>
  <c r="Z81" i="3"/>
  <c r="Z92" i="3" s="1"/>
  <c r="Z97" i="3" s="1"/>
  <c r="Z83" i="3"/>
  <c r="Z94" i="3" s="1"/>
  <c r="Z99" i="3" s="1"/>
  <c r="Z134" i="3"/>
  <c r="U28" i="2"/>
  <c r="W28" i="2" s="1"/>
  <c r="O28" i="2" s="1"/>
  <c r="Q28" i="2" s="1"/>
  <c r="K28" i="2"/>
  <c r="Z144" i="3" l="1"/>
  <c r="Z145" i="3" s="1"/>
  <c r="Z118" i="3"/>
  <c r="Z119" i="3" s="1"/>
  <c r="Z120" i="3" s="1"/>
  <c r="Z101" i="3"/>
  <c r="Z103" i="3"/>
  <c r="Z104" i="3"/>
  <c r="Z102" i="3"/>
  <c r="Y29" i="2"/>
  <c r="AA29" i="2" s="1"/>
  <c r="G29" i="2" s="1"/>
  <c r="P28" i="2"/>
  <c r="X29" i="2" s="1"/>
  <c r="Z29" i="2" s="1"/>
  <c r="J29" i="2" s="1"/>
  <c r="K29" i="2" l="1"/>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<sst xmlns="http://schemas.openxmlformats.org/spreadsheetml/2006/main" count="492" uniqueCount="358">
  <si>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</si>
  <si>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</si>
  <si>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</si>
  <si>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</si>
  <si>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</si>
  <si>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</si>
  <si>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</si>
  <si>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</si>
  <si>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</si>
  <si>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</si>
  <si>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</si>
  <si>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</si>
  <si>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</si>
  <si>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</si>
  <si>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</si>
  <si>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</si>
  <si>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</si>
  <si>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</si>
  <si>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</si>
  <si>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</si>
  <si>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</si>
  <si>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</si>
  <si>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</si>
  <si>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</si>
  <si>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</si>
  <si>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</si>
  <si>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</si>
  <si>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</si>
  <si>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</si>
  <si>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</si>
  <si>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</si>
  <si>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</si>
  <si>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</si>
  <si>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</si>
  <si>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</si>
  <si>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</si>
  <si>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</si>
  <si>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</si>
  <si>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</si>
  <si>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</si>
  <si>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</si>
  <si>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</si>
  <si>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</si>
  <si>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</si>
  <si>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</si>
  <si>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</si>
  <si>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</si>
  <si>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</si>
  <si>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</si>
  <si>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</si>
  <si>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</si>
  <si>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</si>
  <si>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</si>
  <si>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</si>
  <si>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</si>
  <si>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</si>
  <si>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</si>
  <si>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</si>
  <si>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</si>
  <si>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</si>
  <si>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</si>
  <si>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</si>
  <si>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</si>
  <si>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</si>
  <si>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</si>
  <si>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</si>
  <si>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</si>
  <si>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</si>
  <si>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</si>
  <si>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</si>
  <si>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</si>
  <si>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</si>
  <si>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</si>
  <si>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</si>
  <si>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</si>
  <si>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</si>
  <si>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</si>
  <si>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</si>
  <si>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</si>
  <si>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</si>
  <si>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</si>
  <si>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</si>
  <si>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</si>
  <si>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</si>
  <si>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</si>
  <si>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</si>
  <si>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</si>
  <si>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</si>
  <si>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</si>
  <si>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</si>
  <si>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</si>
  <si>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</si>
  <si>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</si>
  <si>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</si>
  <si>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</si>
  <si>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</si>
  <si>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</si>
  <si>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</si>
  <si>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</si>
  <si>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</si>
  <si>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</si>
  <si>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</si>
  <si>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</si>
  <si>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</si>
  <si>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</si>
  <si>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</si>
  <si>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</si>
  <si>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</si>
  <si>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</si>
  <si>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</si>
  <si>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</si>
  <si>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</si>
  <si>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</si>
  <si>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</si>
  <si>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</si>
  <si>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</si>
  <si>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</si>
  <si>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</si>
  <si>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</si>
  <si>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</si>
  <si>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</si>
  <si>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</si>
  <si>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</si>
  <si>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</si>
  <si>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</si>
  <si>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</si>
  <si>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</si>
  <si>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</si>
  <si>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</si>
  <si>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</si>
  <si>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</si>
  <si>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</si>
  <si>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</si>
  <si>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</si>
  <si>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</si>
  <si>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</si>
  <si>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</si>
  <si>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</si>
  <si>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</si>
  <si>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</si>
  <si>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</si>
  <si>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</si>
  <si>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</si>
  <si>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</si>
  <si>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</si>
  <si>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</si>
  <si>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</si>
  <si>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</si>
  <si>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</si>
  <si>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</si>
  <si>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</si>
  <si>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</si>
  <si>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</si>
  <si>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</si>
  <si>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</si>
  <si>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</si>
  <si>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</si>
  <si>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</si>
  <si>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</si>
  <si>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</si>
  <si>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</si>
  <si>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</si>
  <si>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</si>
  <si>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</si>
  <si>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</si>
  <si>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</si>
  <si>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</si>
  <si>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</si>
  <si>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</si>
  <si>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</si>
  <si>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</si>
  <si>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</si>
  <si>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</si>
  <si>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</si>
  <si>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</si>
  <si>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</si>
  <si>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</si>
  <si>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</si>
  <si>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</si>
  <si>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</si>
  <si>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arr_young_sf_adjusted_by_tp_planted (T x T)   [e.g., col J]
arr_young_sf_adjustment_factor (T x T)   [e.g., col I]</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</si>
  <si>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</si>
  <si>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</si>
  <si>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</si>
  <si>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</si>
  <si>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</si>
  <si>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</si>
  <si>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</si>
  <si>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</si>
  <si>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</si>
  <si>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</si>
  <si>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</si>
  <si>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</si>
  <si>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</si>
  <si>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</si>
  <si>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</si>
  <si>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</si>
  <si>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</si>
  <si>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</si>
  <si>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</si>
  <si>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</si>
  <si>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</si>
  <si>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</si>
  <si>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</si>
  <si>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</si>
  <si>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</si>
  <si>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</si>
  <si>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</si>
  <si>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</si>
  <si>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</si>
  <si>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</si>
  <si>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</si>
  <si>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</si>
  <si>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</si>
  <si>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</si>
  <si>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</si>
  <si>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</si>
  <si>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</si>
  <si>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</si>
  <si>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</si>
  <si>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</si>
  <si>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</si>
  <si>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</si>
  <si>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</si>
  <si>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</si>
  <si>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vec_frac_biomass_dead_storage</t>
  </si>
  <si>
    <t>vec_frac_biomass_buffer</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</si>
  <si>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</si>
  <si>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</si>
  <si>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</si>
  <si>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</si>
  <si>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</si>
  <si>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</si>
  <si>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</si>
  <si>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</si>
  <si>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</si>
  <si>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arr_young_biomass_c_stock_removal_allocation (T x T)   [e.g., col G]
arr_young_biomass_c_stock_removal_allocation_aux (T x T)   [e.g., col F]</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</si>
  <si>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</si>
  <si>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</si>
  <si>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</si>
  <si>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</si>
  <si>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</si>
  <si>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</si>
  <si>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</si>
  <si>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</si>
  <si>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</si>
  <si>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</si>
  <si>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</si>
  <si>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</si>
  <si>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</si>
  <si>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</si>
  <si>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</si>
  <si>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</si>
  <si>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</si>
  <si>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</si>
  <si>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</si>
  <si>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</si>
  <si>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</si>
  <si>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</si>
  <si>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</si>
  <si>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</si>
  <si>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</si>
  <si>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</si>
  <si>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</si>
  <si>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</si>
  <si>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</si>
  <si>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</si>
  <si>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</si>
  <si>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</si>
  <si>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</si>
  <si>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</si>
  <si>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</si>
  <si>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</si>
  <si>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</si>
  <si>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</si>
  <si>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</si>
  <si>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</si>
  <si>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</si>
  <si>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</si>
  <si>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</si>
  <si>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</si>
  <si>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</si>
  <si>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</si>
  <si>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A(t)</t>
  </si>
  <si>
    <t>A_{in}(t)</t>
  </si>
  <si>
    <t>A_{out}(t)</t>
  </si>
  <si>
    <t>\hat{a}^{(y)}_{out}(t)</t>
  </si>
  <si>
    <t>a^{(y)}_{out}(t)</t>
  </si>
  <si>
    <t>\chi_(t)</t>
  </si>
  <si>
    <t>\check{\alpha}(t)</t>
  </si>
  <si>
    <t>\bar{\alpha}(t)</t>
  </si>
  <si>
    <t>\hat{\alpha}(t)</t>
  </si>
  <si>
    <t>\gamma</t>
  </si>
  <si>
    <t>k_{heav}</t>
  </si>
  <si>
    <t>rrr</t>
  </si>
  <si>
    <t>arr_biomass_c_average_bg_stock_in_conversion_targets</t>
  </si>
  <si>
    <t>arr_biomass_c_total_growth</t>
  </si>
  <si>
    <t>arr_biomass_c_bg_lost_decomposition</t>
  </si>
  <si>
    <t>modification notes</t>
  </si>
  <si>
    <t>this has been modified to use a logistic ramp rather than alinear</t>
  </si>
  <si>
    <t>\overline{B}_{targ}(t)</t>
  </si>
  <si>
    <t>\underline{B}_{targ}(t)</t>
  </si>
  <si>
    <t>\overline{B}_0</t>
  </si>
  <si>
    <t>\Delta B_0</t>
  </si>
  <si>
    <t>\delta(t)</t>
  </si>
  <si>
    <t>A^*(t)</t>
  </si>
  <si>
    <t>d(t)</t>
  </si>
  <si>
    <t>A^*(t + 1)</t>
  </si>
  <si>
    <t>\overline{Y}_{conv}(t, u)</t>
  </si>
  <si>
    <t>\overline{y}_{conv}(t)</t>
  </si>
  <si>
    <t>\overline{Y}_{preserved\_in\_conv}(t, u)</t>
  </si>
  <si>
    <t>\overline{y}_{preserved\_in\_conv}(t)</t>
  </si>
  <si>
    <t>\overline{y}_{availble\_from\_conv}(t)</t>
  </si>
  <si>
    <t>\underline{Y}_{conv}(t, u)</t>
  </si>
  <si>
    <t>\underline{y}_{conv}(t)</t>
  </si>
  <si>
    <t>Q_0(t, u)</t>
  </si>
  <si>
    <t>\overline{Y}^*(t, u)</t>
  </si>
  <si>
    <t>A^{young}(t, u)</t>
  </si>
  <si>
    <t>\hat{A}^{young}(t, u)</t>
  </si>
  <si>
    <t>L^{young}(t, u)</t>
  </si>
  <si>
    <t>A^{(protected)}(t)</t>
  </si>
  <si>
    <t>a^{(protected)}(t)</t>
  </si>
  <si>
    <t>A^{(*protected)}(t)</t>
  </si>
  <si>
    <t>-</t>
  </si>
  <si>
    <t>Average below ground stock contained In land use classes that forests transition into; used to estimate below-ground conversion losses of stock.</t>
  </si>
  <si>
    <t>Average above ground stock contained In land use classes that forests transition into; used to estimate above-ground conversion losses of stock.</t>
  </si>
  <si>
    <t>Fraction of biomass that represents dead storage. Is set in SISEPUEDE to be max of exogenous specification and amount implied by average stock in conversion targets (cannot have biomass below transition targets and remain forest).</t>
  </si>
  <si>
    <t xml:space="preserve">Fraction of biomass in buffer zone; dead storage + buffer gives the fractional threshold for slowing removals. </t>
  </si>
  <si>
    <t xml:space="preserve">Fractional threshold for stock loss (compared to undisturbed forest levels) below which sequestration declines. </t>
  </si>
  <si>
    <t xml:space="preserve">Initial steady-state storage in each class. Used in integration targets for NPP curve and as initial carbon storage condition. </t>
  </si>
  <si>
    <t>Ratio of below-ground carbon stock to above-ground carbon stock in each forest type.</t>
  </si>
  <si>
    <t>Area remaining from land use type at beginning of simulation at beginning of time $t$.</t>
  </si>
  <si>
    <t>Area of land use at beginning of time $t$.</t>
  </si>
  <si>
    <t>Total of land converted away from type during time $t$.</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</si>
  <si>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</si>
  <si>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</si>
  <si>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</si>
  <si>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</si>
  <si>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\overline{B}_0\check{\alpha}(t)</t>
  </si>
  <si>
    <t>In healthy forest, available stock factor per unit area. Used to determine when average stocks fall below thresholds.</t>
  </si>
  <si>
    <t>Total area of forest protected.</t>
  </si>
  <si>
    <t>Area of young (newly planted) forest that is protected.</t>
  </si>
  <si>
    <t>Area of remaining (from simulation initialization) forest that is protected.</t>
  </si>
  <si>
    <t>Nominal sequestration factor (mass of biomass growth per time period) associated with forests. Used in NPP fit from integration target.</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</si>
  <si>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</si>
  <si>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</si>
  <si>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</si>
  <si>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</si>
  <si>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</si>
  <si>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</si>
  <si>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</si>
  <si>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Matrix ($T \times T$) storing how much area of young forest planted in time $t$ remains in time $u$</t>
  </si>
  <si>
    <t>Matrix ($T \times T$) storing how much forest area in each time period (column $u$) has to be dropped due to conversion into young forests. Only applicable if all other secondary forest has been elimnated.</t>
  </si>
  <si>
    <t>Matrix ($T \times T$) storing cumulative area in young forests at time $t$. Used to determine how much area is removed from each young forest area if conversion is applicable.</t>
  </si>
  <si>
    <t xml:space="preserve">Vector ($T$) storing total mass of above-ground biomass in young forests converted in time $t$. </t>
  </si>
  <si>
    <t>Matrix ($T \times T$) storing total mass of biomass in young forests converted away in each time period by time period planted. Used to help ensure that earliest plantations are converted first.</t>
  </si>
  <si>
    <t>Matrix ($T \times T$) storing total above-ground mass of biomass preserved in each area of young forest planted by time period planted $u$.</t>
  </si>
  <si>
    <t>Vector ($T$) storing total above-ground mass of biomass preserved in each time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</si>
</sst>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s>
  <borders count="1">
    <border>
      <left/>
      <right/>
      <top/>
      <bottom/>
      <diagonal/>
    </border>
  </borders>
  <cellStyleXfs count="1">
    <xf numFmtId="0" fontId="0" fillId="0" borderId="0"/>
  </cellStyleXfs>
  <cellXfs count="57">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3" fillId="13" borderId="0" xfId="0" applyFont="1" applyFill="1" applyAlignment="1">
      <alignment horizontal="center" vertical="center" wrapText="1"/>
    </xf>
    <xf numFmtId="0" fontId="6" fillId="14"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3" fillId="13" borderId="0" xfId="0" applyFont="1" applyFill="1" applyAlignment="1">
      <alignment horizontal="center" vertical="center" wrapText="1"/>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0" borderId="0" xfId="0" applyFont="1"/>
    <xf numFmtId="0" fontId="3" fillId="13" borderId="0" xfId="0" applyFont="1" applyFill="1"/>
    <xf numFmtId="0" fontId="3" fillId="6" borderId="0" xfId="0" applyFont="1" applyFill="1"/>
    <xf numFmtId="0" fontId="3" fillId="6"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49" t="s">
        <v>23</v>
      </c>
      <c r="B1" s="49"/>
      <c r="C1" s="50" t="s">
        <v>26</v>
      </c>
      <c r="D1" s="50"/>
      <c r="E1" s="50"/>
      <c r="F1" s="49" t="s">
        <v>30</v>
      </c>
      <c r="G1" s="49"/>
      <c r="H1" s="50" t="s">
        <v>27</v>
      </c>
      <c r="I1" s="50"/>
      <c r="J1" s="49" t="s">
        <v>28</v>
      </c>
      <c r="K1" s="49"/>
      <c r="L1" s="51" t="s">
        <v>29</v>
      </c>
      <c r="M1" s="51"/>
      <c r="N1" s="44" t="s">
        <v>31</v>
      </c>
      <c r="O1" s="44"/>
      <c r="P1" s="44"/>
      <c r="Q1" s="44"/>
      <c r="R1" s="51" t="s">
        <v>48</v>
      </c>
      <c r="S1" s="51"/>
      <c r="T1" s="51"/>
      <c r="U1" s="52" t="s">
        <v>44</v>
      </c>
      <c r="V1" s="52"/>
      <c r="W1" s="4" t="s">
        <v>46</v>
      </c>
      <c r="X1" s="4" t="s">
        <v>47</v>
      </c>
      <c r="AC1" s="49" t="s">
        <v>36</v>
      </c>
      <c r="AD1" s="49"/>
      <c r="AE1" s="49"/>
      <c r="AF1" s="49"/>
      <c r="AG1" s="49"/>
      <c r="AH1" s="49"/>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2"/>
  <sheetViews>
    <sheetView tabSelected="1" topLeftCell="A86" zoomScale="93" zoomScaleNormal="93" workbookViewId="0">
      <selection activeCell="AA69" sqref="AA69"/>
    </sheetView>
  </sheetViews>
  <sheetFormatPr baseColWidth="10" defaultRowHeight="16" x14ac:dyDescent="0.2"/>
  <cols>
    <col min="2" max="2" width="62.1640625" style="24" customWidth="1"/>
    <col min="3" max="3" width="14" style="27" customWidth="1"/>
    <col min="4" max="4" width="4.1640625" style="23" customWidth="1"/>
    <col min="5" max="5" width="27" style="22" hidden="1" customWidth="1"/>
    <col min="6" max="6" width="44" style="10" hidden="1" customWidth="1"/>
    <col min="7" max="7" width="11" style="4" customWidth="1"/>
    <col min="8" max="8" width="15.1640625" style="4" customWidth="1"/>
    <col min="9" max="9" width="11.5" style="5" customWidth="1"/>
    <col min="10" max="11" width="13.33203125" style="4" customWidth="1"/>
    <col min="12" max="12" width="11.83203125" style="5" hidden="1" customWidth="1"/>
    <col min="13" max="14" width="13.33203125" style="4" hidden="1"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62.1640625" style="24" customWidth="1"/>
    <col min="28" max="28" width="48.33203125" style="53" customWidth="1"/>
    <col min="29" max="30" width="14.6640625" customWidth="1"/>
    <col min="31" max="33" width="14.1640625" customWidth="1"/>
    <col min="34" max="34" width="4.1640625" customWidth="1"/>
    <col min="35" max="35" width="3.33203125" customWidth="1"/>
  </cols>
  <sheetData>
    <row r="1" spans="1:41" s="7" customFormat="1" x14ac:dyDescent="0.2">
      <c r="B1" s="24"/>
      <c r="C1" s="27"/>
      <c r="D1" s="23"/>
      <c r="E1" s="22"/>
      <c r="F1" s="10"/>
      <c r="G1" s="5" t="s">
        <v>59</v>
      </c>
      <c r="H1" s="5" t="s">
        <v>61</v>
      </c>
      <c r="I1" s="5">
        <v>1</v>
      </c>
      <c r="J1" s="5"/>
      <c r="K1" s="5"/>
      <c r="L1" s="5"/>
      <c r="M1" s="5"/>
      <c r="N1" s="5"/>
      <c r="O1" s="5"/>
      <c r="P1" s="5"/>
      <c r="Q1" s="5"/>
      <c r="R1" s="5"/>
      <c r="S1" s="5"/>
      <c r="T1" s="5"/>
      <c r="U1" s="5"/>
      <c r="V1" s="5"/>
      <c r="W1" s="5"/>
      <c r="X1" s="5"/>
      <c r="Y1" s="5"/>
      <c r="Z1" s="5"/>
      <c r="AA1" s="24"/>
      <c r="AB1" s="55"/>
    </row>
    <row r="2" spans="1:41" s="7" customFormat="1" x14ac:dyDescent="0.2">
      <c r="B2" s="24"/>
      <c r="C2" s="27"/>
      <c r="D2" s="23"/>
      <c r="E2" s="22"/>
      <c r="F2" s="10"/>
      <c r="G2" s="5" t="s">
        <v>60</v>
      </c>
      <c r="H2" s="5" t="s">
        <v>62</v>
      </c>
      <c r="I2" s="44">
        <v>150</v>
      </c>
      <c r="J2" s="44"/>
      <c r="K2" s="5"/>
      <c r="L2" s="5"/>
      <c r="M2" s="5"/>
      <c r="N2" s="5"/>
      <c r="O2" s="5"/>
      <c r="P2" s="5"/>
      <c r="Q2" s="4">
        <v>249700</v>
      </c>
      <c r="R2" s="5"/>
      <c r="S2" s="5"/>
      <c r="T2" s="5"/>
      <c r="U2" s="5"/>
      <c r="V2" s="5"/>
      <c r="W2" s="5"/>
      <c r="X2" s="5"/>
      <c r="Y2" s="5"/>
      <c r="Z2" s="5"/>
      <c r="AA2" s="24"/>
      <c r="AB2" s="55"/>
    </row>
    <row r="3" spans="1:41" s="7" customFormat="1" x14ac:dyDescent="0.2">
      <c r="B3" s="24"/>
      <c r="C3" s="27"/>
      <c r="D3" s="23"/>
      <c r="E3" s="22"/>
      <c r="F3" s="10"/>
      <c r="G3" s="5"/>
      <c r="H3" s="5" t="s">
        <v>63</v>
      </c>
      <c r="I3" s="44">
        <v>30</v>
      </c>
      <c r="J3" s="44"/>
      <c r="K3" s="5"/>
      <c r="L3" s="5"/>
      <c r="M3" s="5"/>
      <c r="N3" s="5"/>
      <c r="O3" s="5"/>
      <c r="P3" s="5"/>
      <c r="Q3" s="5"/>
      <c r="R3" s="5"/>
      <c r="S3" s="5"/>
      <c r="T3" s="5"/>
      <c r="U3" s="5"/>
      <c r="V3" s="5"/>
      <c r="W3" s="5"/>
      <c r="X3" s="5"/>
      <c r="Y3" s="5"/>
      <c r="Z3" s="5"/>
      <c r="AA3" s="24"/>
      <c r="AB3" s="55"/>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55"/>
      <c r="AE4" s="43" t="s">
        <v>89</v>
      </c>
      <c r="AF4" s="43"/>
      <c r="AG4" s="43"/>
      <c r="AL4" t="s">
        <v>94</v>
      </c>
      <c r="AM4" t="s">
        <v>96</v>
      </c>
      <c r="AN4" t="s">
        <v>98</v>
      </c>
      <c r="AO4" t="s">
        <v>100</v>
      </c>
    </row>
    <row r="5" spans="1:41" ht="36" customHeight="1" x14ac:dyDescent="0.2">
      <c r="A5" t="s">
        <v>298</v>
      </c>
      <c r="B5" s="24" t="s">
        <v>155</v>
      </c>
      <c r="C5" s="30" t="s">
        <v>161</v>
      </c>
      <c r="E5" s="7" t="s">
        <v>153</v>
      </c>
      <c r="F5" s="7" t="s">
        <v>154</v>
      </c>
      <c r="G5" s="42" t="s">
        <v>51</v>
      </c>
      <c r="H5" s="42"/>
      <c r="I5" s="17"/>
      <c r="J5" s="42" t="s">
        <v>64</v>
      </c>
      <c r="K5" s="42"/>
      <c r="M5" s="42" t="s">
        <v>65</v>
      </c>
      <c r="N5" s="42"/>
      <c r="P5" s="42" t="s">
        <v>78</v>
      </c>
      <c r="Q5" s="42"/>
      <c r="S5" s="42" t="s">
        <v>83</v>
      </c>
      <c r="T5" s="42"/>
      <c r="V5" s="42" t="s">
        <v>84</v>
      </c>
      <c r="W5" s="42"/>
      <c r="Y5" s="42" t="s">
        <v>135</v>
      </c>
      <c r="Z5" s="42"/>
      <c r="AA5" s="24" t="s">
        <v>346</v>
      </c>
      <c r="AB5" s="56" t="s">
        <v>347</v>
      </c>
      <c r="AD5" s="36" t="s">
        <v>233</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55"/>
      <c r="AE6" s="19">
        <v>0</v>
      </c>
      <c r="AF6" s="19">
        <f>SUM(AE$6:AE6)</f>
        <v>0</v>
      </c>
      <c r="AG6" s="19">
        <v>2</v>
      </c>
      <c r="AL6" t="s">
        <v>94</v>
      </c>
      <c r="AM6" t="s">
        <v>97</v>
      </c>
      <c r="AN6" t="s">
        <v>98</v>
      </c>
      <c r="AO6" t="s">
        <v>102</v>
      </c>
    </row>
    <row r="7" spans="1:41" ht="17" x14ac:dyDescent="0.2">
      <c r="B7" s="38" t="s">
        <v>156</v>
      </c>
      <c r="C7" s="28" t="s">
        <v>174</v>
      </c>
      <c r="F7" s="10" t="s">
        <v>67</v>
      </c>
      <c r="G7" s="4">
        <v>10000</v>
      </c>
      <c r="H7" s="4">
        <v>250000</v>
      </c>
      <c r="J7" s="4">
        <f>G13</f>
        <v>9950</v>
      </c>
      <c r="K7" s="4">
        <f>H13</f>
        <v>249900</v>
      </c>
      <c r="M7" s="4">
        <f>J13</f>
        <v>9888</v>
      </c>
      <c r="N7" s="4">
        <f>K13</f>
        <v>249790</v>
      </c>
      <c r="P7" s="4">
        <f>M13</f>
        <v>9830</v>
      </c>
      <c r="Q7" s="4">
        <f>N13</f>
        <v>249696</v>
      </c>
      <c r="S7" s="4">
        <f>P13</f>
        <v>9760</v>
      </c>
      <c r="T7" s="4">
        <f>Q13</f>
        <v>249504</v>
      </c>
      <c r="V7" s="4">
        <f>S13</f>
        <v>9660</v>
      </c>
      <c r="W7" s="4">
        <f>T13</f>
        <v>249465</v>
      </c>
      <c r="Y7" s="4">
        <f>V7-V9</f>
        <v>9562</v>
      </c>
      <c r="Z7" s="4">
        <f>MAX(W7-W9,0)</f>
        <v>249360</v>
      </c>
      <c r="AA7" s="38" t="s">
        <v>305</v>
      </c>
      <c r="AB7" s="54" t="s">
        <v>331</v>
      </c>
      <c r="AE7" s="19">
        <v>0.01</v>
      </c>
      <c r="AF7" s="19">
        <f>SUM(AE$6:AE7)</f>
        <v>0.01</v>
      </c>
      <c r="AG7" s="19">
        <v>2</v>
      </c>
      <c r="AL7" t="s">
        <v>94</v>
      </c>
      <c r="AM7" t="s">
        <v>97</v>
      </c>
      <c r="AN7" t="s">
        <v>99</v>
      </c>
      <c r="AO7" t="s">
        <v>103</v>
      </c>
    </row>
    <row r="8" spans="1:41" ht="17" x14ac:dyDescent="0.2">
      <c r="B8" s="38" t="s">
        <v>157</v>
      </c>
      <c r="C8" s="31" t="s">
        <v>162</v>
      </c>
      <c r="F8" s="10" t="s">
        <v>114</v>
      </c>
      <c r="G8" s="4">
        <f>G7</f>
        <v>10000</v>
      </c>
      <c r="H8" s="4">
        <f>H7</f>
        <v>250000</v>
      </c>
      <c r="J8" s="4">
        <f>J7</f>
        <v>9950</v>
      </c>
      <c r="K8" s="4">
        <f>H8-H9+H12</f>
        <v>249985</v>
      </c>
      <c r="M8" s="4">
        <f>M7</f>
        <v>9888</v>
      </c>
      <c r="N8" s="4">
        <f>K8-K9+K12</f>
        <v>249955</v>
      </c>
      <c r="P8" s="4">
        <f>P7</f>
        <v>9830</v>
      </c>
      <c r="Q8" s="4">
        <f>N8-N9+N12</f>
        <v>249953</v>
      </c>
      <c r="S8" s="4">
        <f>S7</f>
        <v>9760</v>
      </c>
      <c r="T8" s="4">
        <f>Q8-Q9+Q12</f>
        <v>249804</v>
      </c>
      <c r="V8" s="4">
        <f>V7</f>
        <v>9660</v>
      </c>
      <c r="W8" s="4">
        <f>T8-T9+T12</f>
        <v>249857</v>
      </c>
      <c r="Y8" s="4">
        <f>Y7</f>
        <v>9562</v>
      </c>
      <c r="Z8" s="4">
        <f>W8-W9+W12</f>
        <v>249801</v>
      </c>
      <c r="AA8" s="38" t="s">
        <v>283</v>
      </c>
      <c r="AB8" s="54" t="s">
        <v>332</v>
      </c>
      <c r="AE8" s="19">
        <v>0.05</v>
      </c>
      <c r="AF8" s="19">
        <f>SUM(AE$6:AE8)</f>
        <v>6.0000000000000005E-2</v>
      </c>
      <c r="AG8" s="19">
        <v>2</v>
      </c>
      <c r="AL8" t="s">
        <v>95</v>
      </c>
      <c r="AM8" t="s">
        <v>96</v>
      </c>
      <c r="AN8" t="s">
        <v>99</v>
      </c>
      <c r="AO8" t="s">
        <v>104</v>
      </c>
    </row>
    <row r="9" spans="1:41" ht="17" x14ac:dyDescent="0.2">
      <c r="B9" s="38" t="s">
        <v>223</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285</v>
      </c>
      <c r="AB9" s="54" t="s">
        <v>333</v>
      </c>
      <c r="AE9" s="19">
        <v>0.12</v>
      </c>
      <c r="AF9" s="19">
        <f>SUM(AE$6:AE9)</f>
        <v>0.18</v>
      </c>
      <c r="AG9" s="19">
        <v>2</v>
      </c>
      <c r="AL9" t="s">
        <v>95</v>
      </c>
      <c r="AM9" t="s">
        <v>97</v>
      </c>
      <c r="AN9" t="s">
        <v>99</v>
      </c>
      <c r="AO9" t="s">
        <v>105</v>
      </c>
    </row>
    <row r="10" spans="1:41" ht="34" x14ac:dyDescent="0.2">
      <c r="B10" s="38" t="s">
        <v>222</v>
      </c>
      <c r="C10" s="28" t="s">
        <v>174</v>
      </c>
      <c r="F10" s="10" t="s">
        <v>145</v>
      </c>
      <c r="H10" s="4">
        <f>-MIN(H7-H9,0)</f>
        <v>0</v>
      </c>
      <c r="K10" s="4">
        <f>-MIN(K7-K9,0)</f>
        <v>0</v>
      </c>
      <c r="N10" s="4">
        <f>-MIN(N7-N9,0)</f>
        <v>0</v>
      </c>
      <c r="Q10" s="4">
        <f>-MIN(Q7-Q9,0)</f>
        <v>0</v>
      </c>
      <c r="T10" s="4">
        <f>-MIN(T7-T9,0)</f>
        <v>0</v>
      </c>
      <c r="W10" s="4">
        <f>-MIN(W7-W9,0)</f>
        <v>0</v>
      </c>
      <c r="Z10" s="4">
        <f>-MIN(Z7-Z9,0)</f>
        <v>0</v>
      </c>
      <c r="AA10" s="38" t="s">
        <v>286</v>
      </c>
      <c r="AB10" s="54" t="s">
        <v>334</v>
      </c>
      <c r="AE10" s="19">
        <v>0.2</v>
      </c>
      <c r="AF10" s="19">
        <f>SUM(AE$6:AE10)</f>
        <v>0.38</v>
      </c>
      <c r="AG10" s="19">
        <v>20</v>
      </c>
    </row>
    <row r="11" spans="1:41" ht="17" x14ac:dyDescent="0.2">
      <c r="B11" s="38" t="s">
        <v>220</v>
      </c>
      <c r="C11" s="28" t="s">
        <v>174</v>
      </c>
      <c r="F11" s="10" t="s">
        <v>113</v>
      </c>
      <c r="H11" s="4">
        <f>MAX(H10-H26,0)</f>
        <v>0</v>
      </c>
      <c r="K11" s="4">
        <f>MAX(K10-K26,0)</f>
        <v>0</v>
      </c>
      <c r="N11" s="4">
        <f>MAX(N10-N26,0)</f>
        <v>0</v>
      </c>
      <c r="Q11" s="4">
        <f>MAX(Q10-Q26,0)</f>
        <v>0</v>
      </c>
      <c r="T11" s="4">
        <f>MAX(T10-T26,0)</f>
        <v>0</v>
      </c>
      <c r="W11" s="4">
        <f>MAX(W10-W26,0)</f>
        <v>0</v>
      </c>
      <c r="Z11" s="4">
        <f>MAX(Z10-Z26,0)</f>
        <v>0</v>
      </c>
      <c r="AA11" s="38" t="s">
        <v>287</v>
      </c>
      <c r="AB11" s="54" t="s">
        <v>335</v>
      </c>
      <c r="AE11" s="19">
        <v>0.2</v>
      </c>
      <c r="AF11" s="19">
        <f>SUM(AE$6:AE11)</f>
        <v>0.58000000000000007</v>
      </c>
      <c r="AG11" s="19">
        <v>20</v>
      </c>
    </row>
    <row r="12" spans="1:41" ht="17" x14ac:dyDescent="0.2">
      <c r="B12" s="38" t="s">
        <v>221</v>
      </c>
      <c r="C12" s="31" t="s">
        <v>162</v>
      </c>
      <c r="F12" s="10" t="s">
        <v>66</v>
      </c>
      <c r="H12" s="4">
        <v>85</v>
      </c>
      <c r="K12" s="4">
        <v>80</v>
      </c>
      <c r="N12" s="4">
        <v>92</v>
      </c>
      <c r="Q12" s="4">
        <v>43</v>
      </c>
      <c r="T12" s="4">
        <v>92</v>
      </c>
      <c r="W12" s="4">
        <v>49</v>
      </c>
      <c r="Z12" s="4">
        <v>110</v>
      </c>
      <c r="AA12" s="38" t="s">
        <v>284</v>
      </c>
      <c r="AB12" s="54" t="s">
        <v>336</v>
      </c>
      <c r="AE12" s="19">
        <v>0.36</v>
      </c>
      <c r="AF12" s="19">
        <f>SUM(AE$6:AE12)</f>
        <v>0.94000000000000006</v>
      </c>
      <c r="AG12" s="19">
        <v>20</v>
      </c>
    </row>
    <row r="13" spans="1:41" ht="17" customHeight="1" x14ac:dyDescent="0.2">
      <c r="B13" s="38" t="s">
        <v>158</v>
      </c>
      <c r="C13" s="28" t="s">
        <v>174</v>
      </c>
      <c r="F13" s="10" t="s">
        <v>143</v>
      </c>
      <c r="G13" s="4">
        <f>MAX(G7-G9,0)</f>
        <v>9950</v>
      </c>
      <c r="H13" s="4">
        <f>MAX(H7-H9,0)</f>
        <v>249900</v>
      </c>
      <c r="J13" s="4">
        <f>MAX(J7-J9,0)</f>
        <v>9888</v>
      </c>
      <c r="K13" s="4">
        <f>MAX(K7-K9,0)</f>
        <v>249790</v>
      </c>
      <c r="M13" s="4">
        <f>MAX(M7-M9,0)</f>
        <v>9830</v>
      </c>
      <c r="N13" s="4">
        <f>MAX(N7-N9,0)</f>
        <v>249696</v>
      </c>
      <c r="P13" s="4">
        <f>MAX(P7-P9,0)</f>
        <v>9760</v>
      </c>
      <c r="Q13" s="4">
        <f>MAX(Q7-Q9,0)</f>
        <v>249504</v>
      </c>
      <c r="S13" s="4">
        <f>MAX(S7-S9,0)</f>
        <v>9660</v>
      </c>
      <c r="T13" s="4">
        <f>MAX(T7-T9,0)</f>
        <v>249465</v>
      </c>
      <c r="V13" s="4">
        <f>MAX(V7-V9,0)</f>
        <v>9562</v>
      </c>
      <c r="W13" s="4">
        <f>MAX(W7-W9,0)</f>
        <v>249360</v>
      </c>
      <c r="Y13" s="4">
        <f>MAX(Y7-Y9,0)</f>
        <v>9464</v>
      </c>
      <c r="Z13" s="4">
        <f>MAX(Z7-Z9,0)</f>
        <v>249244</v>
      </c>
      <c r="AA13" s="38" t="s">
        <v>307</v>
      </c>
      <c r="AB13" s="54" t="s">
        <v>323</v>
      </c>
      <c r="AE13" s="19"/>
      <c r="AF13" s="19"/>
      <c r="AG13" s="19"/>
    </row>
    <row r="14" spans="1:41" ht="32" customHeight="1" x14ac:dyDescent="0.2">
      <c r="B14" s="38" t="s">
        <v>224</v>
      </c>
      <c r="C14" s="31" t="s">
        <v>162</v>
      </c>
      <c r="F14" s="10" t="s">
        <v>54</v>
      </c>
      <c r="G14" s="4">
        <v>0.7</v>
      </c>
      <c r="J14" s="4">
        <v>0.7</v>
      </c>
      <c r="M14" s="4">
        <v>0.7</v>
      </c>
      <c r="P14" s="4">
        <v>0.7</v>
      </c>
      <c r="S14" s="4">
        <v>0.7</v>
      </c>
      <c r="V14" s="4">
        <v>0.7</v>
      </c>
      <c r="Y14" s="4">
        <v>0.7</v>
      </c>
      <c r="AA14" s="38" t="s">
        <v>288</v>
      </c>
      <c r="AB14" s="54" t="s">
        <v>337</v>
      </c>
      <c r="AE14" s="19">
        <v>0.6</v>
      </c>
      <c r="AF14" s="19">
        <f>SUM(AE$6:AE14)</f>
        <v>1.54</v>
      </c>
      <c r="AG14" s="19">
        <v>20</v>
      </c>
    </row>
    <row r="15" spans="1:41" ht="32" customHeight="1" x14ac:dyDescent="0.2">
      <c r="B15" s="38" t="s">
        <v>248</v>
      </c>
      <c r="C15" s="31" t="s">
        <v>162</v>
      </c>
      <c r="E15" s="22" t="s">
        <v>247</v>
      </c>
      <c r="F15" s="10" t="s">
        <v>246</v>
      </c>
      <c r="G15" s="4">
        <v>5</v>
      </c>
      <c r="H15" s="4">
        <v>10</v>
      </c>
      <c r="J15" s="4">
        <v>5.0999999999999996</v>
      </c>
      <c r="K15" s="4">
        <v>9.8000000000000007</v>
      </c>
      <c r="M15" s="4">
        <v>5.2</v>
      </c>
      <c r="N15" s="4">
        <v>9.8000000000000007</v>
      </c>
      <c r="P15" s="4">
        <v>4.7</v>
      </c>
      <c r="Q15" s="4">
        <v>9.9</v>
      </c>
      <c r="S15" s="4">
        <v>5.2</v>
      </c>
      <c r="T15" s="4">
        <v>10.1</v>
      </c>
      <c r="V15" s="4">
        <v>4.0999999999999996</v>
      </c>
      <c r="W15" s="4">
        <v>11</v>
      </c>
      <c r="Y15" s="4">
        <v>5.0999999999999996</v>
      </c>
      <c r="Z15" s="4">
        <v>9</v>
      </c>
      <c r="AA15" s="38" t="s">
        <v>300</v>
      </c>
      <c r="AB15" s="54" t="s">
        <v>325</v>
      </c>
      <c r="AE15" s="19"/>
      <c r="AF15" s="19"/>
      <c r="AG15" s="19"/>
    </row>
    <row r="16" spans="1:41" ht="32" customHeight="1" x14ac:dyDescent="0.2">
      <c r="B16" s="38" t="s">
        <v>295</v>
      </c>
      <c r="C16" s="31"/>
      <c r="G16" s="4">
        <f>G15*0.187</f>
        <v>0.93500000000000005</v>
      </c>
      <c r="H16" s="4">
        <f>H15*0.192</f>
        <v>1.92</v>
      </c>
      <c r="J16" s="4">
        <f>J15*0.187</f>
        <v>0.95369999999999988</v>
      </c>
      <c r="K16" s="4">
        <f>K15*0.192</f>
        <v>1.8816000000000002</v>
      </c>
      <c r="M16" s="4">
        <f>M15*0.187</f>
        <v>0.97240000000000004</v>
      </c>
      <c r="N16" s="4">
        <f>N15*0.192</f>
        <v>1.8816000000000002</v>
      </c>
      <c r="P16" s="4">
        <f>P15*0.187</f>
        <v>0.87890000000000001</v>
      </c>
      <c r="Q16" s="4">
        <f>Q15*0.192</f>
        <v>1.9008</v>
      </c>
      <c r="S16" s="4">
        <f>S15*0.187</f>
        <v>0.97240000000000004</v>
      </c>
      <c r="T16" s="4">
        <f>T15*0.192</f>
        <v>1.9392</v>
      </c>
      <c r="V16" s="4">
        <f>V15*0.187</f>
        <v>0.76669999999999994</v>
      </c>
      <c r="W16" s="4">
        <f>W15*0.192</f>
        <v>2.1120000000000001</v>
      </c>
      <c r="Y16" s="4">
        <f>Y15*0.187</f>
        <v>0.95369999999999988</v>
      </c>
      <c r="Z16" s="4">
        <f>Z15*0.192</f>
        <v>1.728</v>
      </c>
      <c r="AA16" s="38" t="s">
        <v>301</v>
      </c>
      <c r="AB16" s="54" t="s">
        <v>324</v>
      </c>
      <c r="AE16" s="19"/>
      <c r="AF16" s="19"/>
      <c r="AG16" s="19"/>
    </row>
    <row r="17" spans="2:33" ht="51" x14ac:dyDescent="0.2">
      <c r="B17" s="38" t="s">
        <v>225</v>
      </c>
      <c r="C17" s="31" t="s">
        <v>162</v>
      </c>
      <c r="F17" s="10" t="s">
        <v>228</v>
      </c>
      <c r="G17" s="4">
        <v>0.33057704999999998</v>
      </c>
      <c r="H17" s="4">
        <v>0.37800893000000002</v>
      </c>
      <c r="AA17" s="38" t="s">
        <v>289</v>
      </c>
      <c r="AB17" s="54" t="s">
        <v>326</v>
      </c>
      <c r="AE17" s="19">
        <v>1.8</v>
      </c>
      <c r="AF17" s="19">
        <f>SUM(AE$6:AE17)</f>
        <v>3.34</v>
      </c>
      <c r="AG17" s="19">
        <v>20</v>
      </c>
    </row>
    <row r="18" spans="2:33" ht="34" x14ac:dyDescent="0.2">
      <c r="B18" s="38" t="s">
        <v>226</v>
      </c>
      <c r="C18" s="31" t="s">
        <v>162</v>
      </c>
      <c r="E18" s="41" t="s">
        <v>118</v>
      </c>
      <c r="F18" s="10" t="s">
        <v>117</v>
      </c>
      <c r="G18" s="4">
        <v>0.43057705000000002</v>
      </c>
      <c r="H18" s="4">
        <v>0.47800893</v>
      </c>
      <c r="AA18" s="38" t="s">
        <v>290</v>
      </c>
      <c r="AB18" s="54" t="s">
        <v>327</v>
      </c>
      <c r="AE18" s="19">
        <v>3</v>
      </c>
      <c r="AF18" s="19">
        <f>SUM(AE$6:AE18)</f>
        <v>6.34</v>
      </c>
      <c r="AG18" s="19">
        <v>20</v>
      </c>
    </row>
    <row r="19" spans="2:33" ht="51" x14ac:dyDescent="0.2">
      <c r="B19" s="38" t="s">
        <v>227</v>
      </c>
      <c r="C19" s="31" t="s">
        <v>162</v>
      </c>
      <c r="E19" s="41"/>
      <c r="F19" s="10" t="s">
        <v>138</v>
      </c>
      <c r="G19" s="4">
        <v>0.67</v>
      </c>
      <c r="AA19" s="40" t="s">
        <v>291</v>
      </c>
      <c r="AB19" s="54" t="s">
        <v>328</v>
      </c>
      <c r="AE19" s="19">
        <v>6</v>
      </c>
      <c r="AF19" s="19">
        <f>SUM(AE$6:AE19)</f>
        <v>12.34</v>
      </c>
      <c r="AG19" s="19">
        <v>20</v>
      </c>
    </row>
    <row r="20" spans="2:33" ht="17" x14ac:dyDescent="0.2">
      <c r="B20" s="38" t="s">
        <v>229</v>
      </c>
      <c r="C20" s="31" t="s">
        <v>162</v>
      </c>
      <c r="F20" s="10" t="s">
        <v>116</v>
      </c>
      <c r="G20" s="4">
        <v>150</v>
      </c>
      <c r="H20" s="4">
        <v>100</v>
      </c>
      <c r="AA20" s="38" t="s">
        <v>302</v>
      </c>
      <c r="AB20" s="54" t="s">
        <v>329</v>
      </c>
      <c r="AE20" s="19">
        <v>10</v>
      </c>
      <c r="AF20" s="19">
        <f>SUM(AE$6:AE20)</f>
        <v>22.34</v>
      </c>
      <c r="AG20" s="19">
        <v>20</v>
      </c>
    </row>
    <row r="21" spans="2:33" ht="17" x14ac:dyDescent="0.2">
      <c r="B21" s="38" t="s">
        <v>231</v>
      </c>
      <c r="C21" s="31" t="s">
        <v>162</v>
      </c>
      <c r="F21" s="10" t="s">
        <v>173</v>
      </c>
      <c r="G21" s="4">
        <v>0.3</v>
      </c>
      <c r="H21" s="4">
        <v>0.25</v>
      </c>
      <c r="AA21" s="38" t="s">
        <v>292</v>
      </c>
      <c r="AB21" s="54" t="s">
        <v>330</v>
      </c>
      <c r="AE21" s="19"/>
      <c r="AF21" s="19"/>
      <c r="AG21" s="19"/>
    </row>
    <row r="22" spans="2:33" ht="17" x14ac:dyDescent="0.2">
      <c r="B22" s="38" t="s">
        <v>279</v>
      </c>
      <c r="C22" s="32" t="s">
        <v>174</v>
      </c>
      <c r="F22" s="10" t="s">
        <v>115</v>
      </c>
      <c r="G22" s="4">
        <f>G$20*$G$17</f>
        <v>49.586557499999998</v>
      </c>
      <c r="H22" s="4">
        <f>H$20*$H$17</f>
        <v>37.800893000000002</v>
      </c>
      <c r="AA22" s="38" t="s">
        <v>338</v>
      </c>
      <c r="AB22" s="54"/>
      <c r="AE22" s="19">
        <v>12</v>
      </c>
      <c r="AF22" s="19">
        <f>SUM(AE$6:AE22)</f>
        <v>34.340000000000003</v>
      </c>
      <c r="AG22" s="19">
        <v>20</v>
      </c>
    </row>
    <row r="23" spans="2:33" ht="17" x14ac:dyDescent="0.2">
      <c r="B23" s="38" t="s">
        <v>230</v>
      </c>
      <c r="C23" s="32" t="s">
        <v>174</v>
      </c>
      <c r="F23" s="10" t="s">
        <v>175</v>
      </c>
      <c r="G23" s="4">
        <f>G20-G22</f>
        <v>100.4134425</v>
      </c>
      <c r="H23" s="4">
        <f>H20-H22</f>
        <v>62.199106999999998</v>
      </c>
      <c r="AA23" s="38" t="s">
        <v>293</v>
      </c>
      <c r="AB23" s="54" t="s">
        <v>339</v>
      </c>
      <c r="AE23" s="19">
        <v>13.5</v>
      </c>
      <c r="AF23" s="19">
        <f>SUM(AE$6:AE23)</f>
        <v>47.84</v>
      </c>
      <c r="AG23" s="19">
        <v>20</v>
      </c>
    </row>
    <row r="24" spans="2:33" x14ac:dyDescent="0.2">
      <c r="AB24" s="55"/>
      <c r="AE24" s="19">
        <v>12</v>
      </c>
      <c r="AF24" s="19">
        <f>SUM(AE$6:AE24)</f>
        <v>59.84</v>
      </c>
      <c r="AG24" s="19">
        <v>20</v>
      </c>
    </row>
    <row r="25" spans="2:33" ht="17" x14ac:dyDescent="0.2">
      <c r="B25" s="38" t="s">
        <v>159</v>
      </c>
      <c r="C25" s="31" t="s">
        <v>162</v>
      </c>
      <c r="F25" s="10" t="s">
        <v>52</v>
      </c>
      <c r="G25" s="4">
        <v>5000</v>
      </c>
      <c r="H25" s="4">
        <v>50000</v>
      </c>
      <c r="J25" s="4">
        <v>5000</v>
      </c>
      <c r="K25" s="4">
        <v>50000</v>
      </c>
      <c r="M25" s="4">
        <v>5500</v>
      </c>
      <c r="N25" s="4">
        <v>50000</v>
      </c>
      <c r="P25" s="4">
        <v>6000</v>
      </c>
      <c r="Q25" s="4">
        <v>50000</v>
      </c>
      <c r="S25" s="4">
        <v>6500</v>
      </c>
      <c r="T25" s="4">
        <v>49000</v>
      </c>
      <c r="V25" s="4">
        <v>7200</v>
      </c>
      <c r="W25" s="4">
        <v>49500</v>
      </c>
      <c r="Y25" s="4">
        <v>7200</v>
      </c>
      <c r="Z25" s="4">
        <v>49500</v>
      </c>
      <c r="AA25" s="38" t="s">
        <v>320</v>
      </c>
      <c r="AB25" s="54" t="s">
        <v>340</v>
      </c>
      <c r="AE25" s="19">
        <v>10</v>
      </c>
      <c r="AF25" s="19">
        <f>SUM(AE$6:AE25)</f>
        <v>69.84</v>
      </c>
      <c r="AG25" s="19">
        <v>20</v>
      </c>
    </row>
    <row r="26" spans="2:33" ht="17" x14ac:dyDescent="0.2">
      <c r="B26" s="38" t="s">
        <v>278</v>
      </c>
      <c r="C26" s="33" t="s">
        <v>163</v>
      </c>
      <c r="F26" s="14" t="s">
        <v>108</v>
      </c>
      <c r="H26" s="4">
        <f>MAX(H$25-H$13, 0)</f>
        <v>0</v>
      </c>
      <c r="K26" s="4">
        <f>MAX(K$25-K$13, 0)</f>
        <v>0</v>
      </c>
      <c r="N26" s="4">
        <f>MAX(N$25-N$13, 0)</f>
        <v>0</v>
      </c>
      <c r="Q26" s="4">
        <f>MAX(Q$25-Q$13, 0)</f>
        <v>0</v>
      </c>
      <c r="T26" s="4">
        <f>MAX(T$25-T$13, 0)</f>
        <v>0</v>
      </c>
      <c r="W26" s="4">
        <f>MAX(W$25-W$13, 0)</f>
        <v>0</v>
      </c>
      <c r="Z26" s="4">
        <f>MAX(Z$25-Z$13, 0)</f>
        <v>0</v>
      </c>
      <c r="AA26" s="38" t="s">
        <v>321</v>
      </c>
      <c r="AB26" s="54" t="s">
        <v>341</v>
      </c>
      <c r="AE26" s="19">
        <v>6</v>
      </c>
      <c r="AF26" s="19">
        <f>SUM(AE$6:AE26)</f>
        <v>75.84</v>
      </c>
      <c r="AG26" s="19">
        <v>20</v>
      </c>
    </row>
    <row r="27" spans="2:33" ht="17" x14ac:dyDescent="0.2">
      <c r="B27" s="38" t="s">
        <v>160</v>
      </c>
      <c r="C27" s="33" t="s">
        <v>163</v>
      </c>
      <c r="F27" s="14" t="s">
        <v>144</v>
      </c>
      <c r="G27" s="4">
        <f>MIN(G13,G25)</f>
        <v>5000</v>
      </c>
      <c r="H27" s="4">
        <f>MIN(H13,H25)</f>
        <v>50000</v>
      </c>
      <c r="J27" s="4">
        <f>MIN(J13,J25)</f>
        <v>5000</v>
      </c>
      <c r="K27" s="4">
        <f>MIN(K13,K25)</f>
        <v>50000</v>
      </c>
      <c r="M27" s="4">
        <f>MIN(M13,M25)</f>
        <v>5500</v>
      </c>
      <c r="N27" s="4">
        <f>MIN(N13,N25)</f>
        <v>50000</v>
      </c>
      <c r="P27" s="4">
        <f>MIN(P13,P25)</f>
        <v>6000</v>
      </c>
      <c r="Q27" s="4">
        <f>MIN(Q13,Q25)</f>
        <v>50000</v>
      </c>
      <c r="S27" s="4">
        <f>MIN(S13,S25)</f>
        <v>6500</v>
      </c>
      <c r="T27" s="4">
        <f>MIN(T13,T25)</f>
        <v>49000</v>
      </c>
      <c r="V27" s="4">
        <f>MIN(V13,V25)</f>
        <v>7200</v>
      </c>
      <c r="W27" s="4">
        <f>MIN(W13,W25)</f>
        <v>49500</v>
      </c>
      <c r="Y27" s="4">
        <f>MIN(Y13,Y25)</f>
        <v>7200</v>
      </c>
      <c r="Z27" s="4">
        <f>MIN(Z13,Z25)</f>
        <v>49500</v>
      </c>
      <c r="AA27" s="38" t="s">
        <v>322</v>
      </c>
      <c r="AB27" s="54" t="s">
        <v>342</v>
      </c>
      <c r="AE27" s="19">
        <v>3</v>
      </c>
      <c r="AF27" s="19">
        <f>SUM(AE$6:AE27)</f>
        <v>78.84</v>
      </c>
      <c r="AG27" s="19">
        <v>20</v>
      </c>
    </row>
    <row r="28" spans="2:33" ht="17" x14ac:dyDescent="0.2">
      <c r="F28" s="15" t="s">
        <v>169</v>
      </c>
      <c r="G28" s="8"/>
      <c r="H28" s="8"/>
      <c r="J28" s="8"/>
      <c r="K28" s="8"/>
      <c r="M28" s="8"/>
      <c r="N28" s="8"/>
      <c r="P28" s="8"/>
      <c r="Q28" s="8"/>
      <c r="S28" s="8"/>
      <c r="T28" s="8"/>
      <c r="V28" s="8"/>
      <c r="W28" s="8"/>
      <c r="Y28" s="8"/>
      <c r="Z28" s="8"/>
      <c r="AB28" s="55"/>
      <c r="AE28" s="19">
        <v>1.8</v>
      </c>
      <c r="AF28" s="19">
        <f>SUM(AE$6:AE28)</f>
        <v>80.64</v>
      </c>
      <c r="AG28" s="19">
        <v>20</v>
      </c>
    </row>
    <row r="29" spans="2:33" ht="73" customHeight="1" x14ac:dyDescent="0.2">
      <c r="B29" s="38" t="s">
        <v>277</v>
      </c>
      <c r="C29" s="31" t="s">
        <v>162</v>
      </c>
      <c r="E29" s="41" t="s">
        <v>170</v>
      </c>
      <c r="F29" s="25" t="s">
        <v>68</v>
      </c>
      <c r="G29" s="4">
        <v>0.3</v>
      </c>
      <c r="H29" s="4">
        <v>0.92</v>
      </c>
      <c r="AA29" s="38" t="s">
        <v>303</v>
      </c>
      <c r="AB29" s="54" t="s">
        <v>343</v>
      </c>
    </row>
    <row r="30" spans="2:33" ht="73" customHeight="1" x14ac:dyDescent="0.2">
      <c r="B30" s="38" t="s">
        <v>232</v>
      </c>
      <c r="C30" s="32" t="s">
        <v>174</v>
      </c>
      <c r="E30" s="41"/>
      <c r="F30" s="25" t="s">
        <v>171</v>
      </c>
      <c r="G30" s="4">
        <f>0.00157</f>
        <v>1.57E-3</v>
      </c>
      <c r="H30" s="4">
        <f>G30</f>
        <v>1.57E-3</v>
      </c>
      <c r="J30" s="4">
        <f>G29/G20</f>
        <v>2E-3</v>
      </c>
      <c r="AA30" s="38" t="s">
        <v>304</v>
      </c>
      <c r="AB30" s="54" t="s">
        <v>344</v>
      </c>
    </row>
    <row r="31" spans="2:33" ht="18" customHeight="1" x14ac:dyDescent="0.2">
      <c r="E31" s="26"/>
      <c r="AB31" s="55"/>
    </row>
    <row r="32" spans="2:33" ht="17" x14ac:dyDescent="0.2">
      <c r="F32" s="15" t="s">
        <v>56</v>
      </c>
      <c r="G32" s="8"/>
      <c r="H32" s="8"/>
      <c r="J32" s="8"/>
      <c r="K32" s="8"/>
      <c r="M32" s="8"/>
      <c r="N32" s="8"/>
      <c r="P32" s="8"/>
      <c r="Q32" s="8"/>
      <c r="S32" s="8"/>
      <c r="T32" s="8"/>
      <c r="V32" s="8"/>
      <c r="W32" s="8"/>
      <c r="Y32" s="8"/>
      <c r="Z32" s="8"/>
      <c r="AB32" s="55"/>
    </row>
    <row r="33" spans="2:30" ht="17" x14ac:dyDescent="0.2">
      <c r="B33" s="38" t="s">
        <v>168</v>
      </c>
      <c r="C33" s="31" t="s">
        <v>162</v>
      </c>
      <c r="F33" s="10" t="s">
        <v>53</v>
      </c>
      <c r="G33" s="4">
        <v>2000000</v>
      </c>
      <c r="J33" s="4">
        <v>2050000</v>
      </c>
      <c r="M33" s="4">
        <v>2110000</v>
      </c>
      <c r="P33" s="4">
        <v>2210000</v>
      </c>
      <c r="S33" s="4">
        <v>3000000</v>
      </c>
      <c r="V33" s="4">
        <v>25000000</v>
      </c>
      <c r="Y33" s="4">
        <v>2520000</v>
      </c>
      <c r="AA33" s="38" t="s">
        <v>306</v>
      </c>
      <c r="AB33" s="54" t="s">
        <v>345</v>
      </c>
    </row>
    <row r="34" spans="2:30" x14ac:dyDescent="0.2">
      <c r="AB34" s="55"/>
    </row>
    <row r="35" spans="2:30" ht="17" x14ac:dyDescent="0.2">
      <c r="F35" s="11" t="s">
        <v>57</v>
      </c>
      <c r="G35" s="12"/>
      <c r="H35" s="12"/>
      <c r="J35" s="12"/>
      <c r="K35" s="12"/>
      <c r="M35" s="12"/>
      <c r="N35" s="12"/>
      <c r="P35" s="12"/>
      <c r="Q35" s="12"/>
      <c r="S35" s="12"/>
      <c r="T35" s="12"/>
      <c r="V35" s="12"/>
      <c r="W35" s="12"/>
      <c r="Y35" s="12"/>
      <c r="Z35" s="12"/>
      <c r="AB35" s="55"/>
    </row>
    <row r="36" spans="2:30" ht="17" x14ac:dyDescent="0.2">
      <c r="F36" s="15" t="s">
        <v>139</v>
      </c>
      <c r="G36" s="8" t="s">
        <v>124</v>
      </c>
      <c r="H36" s="8"/>
      <c r="J36" s="4" t="s">
        <v>126</v>
      </c>
      <c r="M36" s="4" t="s">
        <v>126</v>
      </c>
      <c r="O36" s="5" t="s">
        <v>125</v>
      </c>
      <c r="P36" s="4" t="s">
        <v>126</v>
      </c>
      <c r="AB36" s="55"/>
      <c r="AD36" t="s">
        <v>77</v>
      </c>
    </row>
    <row r="37" spans="2:30" ht="17" x14ac:dyDescent="0.2">
      <c r="B37" s="24" t="s">
        <v>179</v>
      </c>
      <c r="F37" s="14" t="s">
        <v>88</v>
      </c>
      <c r="H37" s="4">
        <v>0</v>
      </c>
      <c r="I37" s="5">
        <f>SUM(K$37:K37)</f>
        <v>0</v>
      </c>
      <c r="K37" s="4">
        <v>0</v>
      </c>
      <c r="L37" s="5">
        <f>SUM(N$37:N37)</f>
        <v>0</v>
      </c>
      <c r="N37" s="4">
        <v>0</v>
      </c>
      <c r="O37" s="5">
        <f>SUM(Q$37:Q37)</f>
        <v>0</v>
      </c>
      <c r="Q37" s="4">
        <v>0</v>
      </c>
      <c r="R37" s="5">
        <f>SUM(T$37:T37)</f>
        <v>0</v>
      </c>
      <c r="T37" s="4">
        <v>0</v>
      </c>
      <c r="U37" s="5">
        <f>SUM(W$37:W37)</f>
        <v>0</v>
      </c>
      <c r="W37" s="4">
        <v>0</v>
      </c>
      <c r="X37" s="5">
        <f>SUM(Z$37:Z37)</f>
        <v>0</v>
      </c>
      <c r="Z37" s="4">
        <v>0</v>
      </c>
      <c r="AB37" s="55"/>
    </row>
    <row r="38" spans="2:30" ht="17" x14ac:dyDescent="0.2">
      <c r="B38" s="37" t="s">
        <v>348</v>
      </c>
      <c r="C38" s="45" t="s">
        <v>174</v>
      </c>
      <c r="F38" s="14" t="s">
        <v>87</v>
      </c>
      <c r="G38" s="4">
        <v>0</v>
      </c>
      <c r="H38" s="4">
        <f>H12</f>
        <v>85</v>
      </c>
      <c r="I38" s="5">
        <f>SUM(H$37:H38)</f>
        <v>85</v>
      </c>
      <c r="J38" s="4">
        <f>IF(I38&gt;=K$11, IF(I37&lt;K$11, K$11-I37, 0),H38)</f>
        <v>0</v>
      </c>
      <c r="K38" s="4">
        <f>H38-J38</f>
        <v>85</v>
      </c>
      <c r="L38" s="5">
        <f>SUM(K$37:K38)</f>
        <v>85</v>
      </c>
      <c r="M38" s="4">
        <f>IF(L38&gt;=N$11, IF(L37&lt;N$11, N$11-L37, 0),K38)</f>
        <v>0</v>
      </c>
      <c r="N38" s="4">
        <f>K38-M38</f>
        <v>85</v>
      </c>
      <c r="O38" s="5">
        <f>SUM(N$37:N38)</f>
        <v>85</v>
      </c>
      <c r="P38" s="4">
        <f>IF(O38&gt;=Q$11, IF(O37&lt;Q$11, Q$11-O37, 0),N38)</f>
        <v>0</v>
      </c>
      <c r="Q38" s="4">
        <f>N38-P38</f>
        <v>85</v>
      </c>
      <c r="R38" s="5">
        <f>SUM(Q$37:Q38)</f>
        <v>85</v>
      </c>
      <c r="S38" s="4">
        <f>IF(R38&gt;=T$11, IF(R37&lt;T$11, T$11-R37, 0),Q38)</f>
        <v>0</v>
      </c>
      <c r="T38" s="4">
        <f>Q38-S38</f>
        <v>85</v>
      </c>
      <c r="U38" s="5">
        <f>SUM(T$37:T38)</f>
        <v>85</v>
      </c>
      <c r="V38" s="4">
        <f>IF(U38&gt;=W$11, IF(U37&lt;W$11, W$11-U37, 0),T38)</f>
        <v>0</v>
      </c>
      <c r="W38" s="4">
        <f>T38-V38</f>
        <v>85</v>
      </c>
      <c r="X38" s="5">
        <f>SUM(W$37:W38)</f>
        <v>85</v>
      </c>
      <c r="Y38" s="4">
        <f>IF(X38&gt;=Z$11, IF(X37&lt;Z$11, Z$11-X37, 0),W38)</f>
        <v>0</v>
      </c>
      <c r="Z38" s="4">
        <f>W38-Y38</f>
        <v>85</v>
      </c>
      <c r="AA38" s="38" t="s">
        <v>317</v>
      </c>
      <c r="AB38" s="54" t="s">
        <v>353</v>
      </c>
    </row>
    <row r="39" spans="2:30" ht="17" x14ac:dyDescent="0.2">
      <c r="B39" s="38" t="s">
        <v>349</v>
      </c>
      <c r="C39" s="45"/>
      <c r="F39" s="14" t="s">
        <v>69</v>
      </c>
      <c r="G39" s="4">
        <v>0</v>
      </c>
      <c r="H39" s="4">
        <v>0</v>
      </c>
      <c r="I39" s="5">
        <f>SUM(H$37:H39)</f>
        <v>85</v>
      </c>
      <c r="J39" s="4">
        <f>IF(I39&gt;=K$11, IF(I38&lt;K$11, K$11-I38, 0),H39)</f>
        <v>0</v>
      </c>
      <c r="K39" s="4">
        <f>K12</f>
        <v>80</v>
      </c>
      <c r="L39" s="5">
        <f>SUM(K$37:K39)</f>
        <v>165</v>
      </c>
      <c r="M39" s="4">
        <f>IF(L39&gt;=N$11, IF(L38&lt;N$11, N$11-L38, 0),K39)</f>
        <v>0</v>
      </c>
      <c r="N39" s="4">
        <f>K39-M39</f>
        <v>80</v>
      </c>
      <c r="O39" s="5">
        <f>SUM(N$37:N39)</f>
        <v>165</v>
      </c>
      <c r="P39" s="4">
        <f t="shared" ref="P39:P41" si="0">IF(O39&gt;=Q$11, IF(O38&lt;Q$11, Q$11-O38, 0),N39)</f>
        <v>0</v>
      </c>
      <c r="Q39" s="4">
        <f>N39-P39</f>
        <v>80</v>
      </c>
      <c r="R39" s="5">
        <f>SUM(Q$37:Q39)</f>
        <v>165</v>
      </c>
      <c r="S39" s="4">
        <f t="shared" ref="S39:S41" si="1">IF(R39&gt;=T$11, IF(R38&lt;T$11, T$11-R38, 0),Q39)</f>
        <v>0</v>
      </c>
      <c r="T39" s="4">
        <f>Q39-S39</f>
        <v>80</v>
      </c>
      <c r="U39" s="5">
        <f>SUM(T$37:T39)</f>
        <v>165</v>
      </c>
      <c r="V39" s="4">
        <f t="shared" ref="V39:V41" si="2">IF(U39&gt;=W$11, IF(U38&lt;W$11, W$11-U38, 0),T39)</f>
        <v>0</v>
      </c>
      <c r="W39" s="4">
        <f>T39-V39</f>
        <v>80</v>
      </c>
      <c r="X39" s="5">
        <f>SUM(W$37:W39)</f>
        <v>165</v>
      </c>
      <c r="Y39" s="4">
        <f t="shared" ref="Y39:Y41" si="3">IF(X39&gt;=Z$11, IF(X38&lt;Z$11, Z$11-X38, 0),W39)</f>
        <v>0</v>
      </c>
      <c r="Z39" s="4">
        <f>W39-Y39</f>
        <v>80</v>
      </c>
      <c r="AA39" s="38" t="s">
        <v>318</v>
      </c>
      <c r="AB39" s="54" t="s">
        <v>351</v>
      </c>
    </row>
    <row r="40" spans="2:30" ht="17" x14ac:dyDescent="0.2">
      <c r="B40" s="38" t="s">
        <v>350</v>
      </c>
      <c r="C40" s="45"/>
      <c r="F40" s="14" t="s">
        <v>79</v>
      </c>
      <c r="G40" s="4">
        <v>0</v>
      </c>
      <c r="H40" s="4">
        <v>0</v>
      </c>
      <c r="I40" s="5">
        <f>SUM(H$37:H40)</f>
        <v>85</v>
      </c>
      <c r="J40" s="4">
        <f>IF(I40&gt;=K$11, IF(I39&lt;K$11, K$11-I39, 0),H40)</f>
        <v>0</v>
      </c>
      <c r="K40" s="4">
        <v>0</v>
      </c>
      <c r="L40" s="5">
        <f>SUM(K$37:K40)</f>
        <v>165</v>
      </c>
      <c r="M40" s="4">
        <f t="shared" ref="M40:M41" si="4">IF(L40&gt;=N$11, IF(L39&lt;N$11, N$11-L39, 0),K40)</f>
        <v>0</v>
      </c>
      <c r="N40" s="4">
        <f>N12</f>
        <v>92</v>
      </c>
      <c r="O40" s="5">
        <f>SUM(N$37:N40)</f>
        <v>257</v>
      </c>
      <c r="P40" s="4">
        <f t="shared" si="0"/>
        <v>0</v>
      </c>
      <c r="Q40" s="4">
        <f>N40-P40</f>
        <v>92</v>
      </c>
      <c r="R40" s="5">
        <f>SUM(Q$37:Q40)</f>
        <v>257</v>
      </c>
      <c r="S40" s="4">
        <f t="shared" si="1"/>
        <v>0</v>
      </c>
      <c r="T40" s="4">
        <f>Q40-S40</f>
        <v>92</v>
      </c>
      <c r="U40" s="5">
        <f>SUM(T$37:T40)</f>
        <v>257</v>
      </c>
      <c r="V40" s="4">
        <f t="shared" si="2"/>
        <v>0</v>
      </c>
      <c r="W40" s="4">
        <f>T40-V40</f>
        <v>92</v>
      </c>
      <c r="X40" s="5">
        <f>SUM(W$37:W40)</f>
        <v>257</v>
      </c>
      <c r="Y40" s="4">
        <f t="shared" si="3"/>
        <v>0</v>
      </c>
      <c r="Z40" s="4">
        <f>W40-Y40</f>
        <v>92</v>
      </c>
      <c r="AA40" s="38" t="s">
        <v>319</v>
      </c>
      <c r="AB40" s="54" t="s">
        <v>352</v>
      </c>
    </row>
    <row r="41" spans="2:30" ht="17" x14ac:dyDescent="0.2">
      <c r="B41" s="38"/>
      <c r="C41" s="45"/>
      <c r="F41" s="14" t="s">
        <v>80</v>
      </c>
      <c r="G41" s="4">
        <v>0</v>
      </c>
      <c r="H41" s="4">
        <v>0</v>
      </c>
      <c r="I41" s="5">
        <f>SUM(H$37:H41)</f>
        <v>85</v>
      </c>
      <c r="J41" s="4">
        <f>IF(I41&gt;=K$11, IF(I40&lt;K$11, K$11-I40, 0),H41)</f>
        <v>0</v>
      </c>
      <c r="K41" s="4">
        <v>0</v>
      </c>
      <c r="L41" s="5">
        <f>SUM(K$37:K41)</f>
        <v>165</v>
      </c>
      <c r="M41" s="4">
        <f t="shared" si="4"/>
        <v>0</v>
      </c>
      <c r="N41" s="4">
        <v>0</v>
      </c>
      <c r="O41" s="5">
        <f>SUM(N$37:N41)</f>
        <v>257</v>
      </c>
      <c r="P41" s="4">
        <f t="shared" si="0"/>
        <v>0</v>
      </c>
      <c r="Q41" s="4">
        <f>Q12</f>
        <v>43</v>
      </c>
      <c r="R41" s="5">
        <f>SUM(Q$37:Q41)</f>
        <v>300</v>
      </c>
      <c r="S41" s="4">
        <f t="shared" si="1"/>
        <v>0</v>
      </c>
      <c r="T41" s="4">
        <f>Q41-S41</f>
        <v>43</v>
      </c>
      <c r="U41" s="5">
        <f>SUM(T$37:T41)</f>
        <v>300</v>
      </c>
      <c r="V41" s="4">
        <f t="shared" si="2"/>
        <v>0</v>
      </c>
      <c r="W41" s="4">
        <f>T41-V41</f>
        <v>43</v>
      </c>
      <c r="X41" s="5">
        <f>SUM(W$37:W41)</f>
        <v>300</v>
      </c>
      <c r="Y41" s="4">
        <f t="shared" si="3"/>
        <v>0</v>
      </c>
      <c r="Z41" s="4">
        <f>W41-Y41</f>
        <v>43</v>
      </c>
      <c r="AA41" s="38"/>
      <c r="AB41" s="54"/>
    </row>
    <row r="42" spans="2:30" ht="17" x14ac:dyDescent="0.2">
      <c r="F42" s="14" t="s">
        <v>82</v>
      </c>
      <c r="AB42" s="55"/>
    </row>
    <row r="43" spans="2:30" ht="17" x14ac:dyDescent="0.2">
      <c r="B43" s="47" t="s">
        <v>190</v>
      </c>
      <c r="C43" s="45" t="s">
        <v>174</v>
      </c>
      <c r="F43" s="14" t="s">
        <v>194</v>
      </c>
      <c r="H43" s="4">
        <v>0</v>
      </c>
      <c r="K43" s="4">
        <f>IF(H38=0, 0, H96*J38/H38)</f>
        <v>0</v>
      </c>
      <c r="N43" s="4">
        <f>IF(K38=0, 0, K96*M38/K38)</f>
        <v>0</v>
      </c>
      <c r="Q43" s="4">
        <f>IF(N38=0, 0, N96*P38/N38)</f>
        <v>0</v>
      </c>
      <c r="T43" s="4">
        <f>IF(Q38=0, 0, Q96*S38/Q38)</f>
        <v>0</v>
      </c>
      <c r="W43" s="4">
        <f>IF(T38=0, 0, T96*V38/T38)</f>
        <v>0</v>
      </c>
      <c r="Z43" s="4">
        <f>IF(W38=0, 0, W96*Y38/W38)</f>
        <v>0</v>
      </c>
      <c r="AA43" s="38" t="s">
        <v>308</v>
      </c>
      <c r="AB43" s="54" t="s">
        <v>355</v>
      </c>
    </row>
    <row r="44" spans="2:30" ht="17" x14ac:dyDescent="0.2">
      <c r="B44" s="47"/>
      <c r="C44" s="45"/>
      <c r="F44" s="14" t="s">
        <v>195</v>
      </c>
      <c r="H44" s="4">
        <v>0</v>
      </c>
      <c r="K44" s="4">
        <f>IF(H39=0, 0, H97*J39/H39)</f>
        <v>0</v>
      </c>
      <c r="N44" s="4">
        <f>IF(K39=0, 0, K97*M39/K39)</f>
        <v>0</v>
      </c>
      <c r="Q44" s="4">
        <f>IF(N39=0, 0, N97*P39/N39)</f>
        <v>0</v>
      </c>
      <c r="T44" s="4">
        <f>IF(Q39=0, 0, Q97*S39/Q39)</f>
        <v>0</v>
      </c>
      <c r="W44" s="4">
        <f>IF(T39=0, 0, T97*V39/T39)</f>
        <v>0</v>
      </c>
      <c r="Z44" s="4">
        <f>IF(W39=0, 0, W97*Y39/W39)</f>
        <v>0</v>
      </c>
      <c r="AA44" s="38"/>
      <c r="AB44" s="54"/>
    </row>
    <row r="45" spans="2:30" ht="17" x14ac:dyDescent="0.2">
      <c r="B45" s="47"/>
      <c r="C45" s="45"/>
      <c r="F45" s="14" t="s">
        <v>196</v>
      </c>
      <c r="H45" s="4">
        <v>0</v>
      </c>
      <c r="K45" s="4">
        <f>IF(H40=0, 0, H98*J40/H40)</f>
        <v>0</v>
      </c>
      <c r="N45" s="4">
        <f>IF(K40=0, 0, K98*M40/K40)</f>
        <v>0</v>
      </c>
      <c r="Q45" s="4">
        <f>IF(N40=0, 0, N98*P40/N40)</f>
        <v>0</v>
      </c>
      <c r="T45" s="4">
        <f>IF(Q40=0, 0, Q98*S40/Q40)</f>
        <v>0</v>
      </c>
      <c r="W45" s="4">
        <f>IF(T40=0, 0, T98*V40/T40)</f>
        <v>0</v>
      </c>
      <c r="Z45" s="4">
        <f>IF(W40=0, 0, W98*Y40/W40)</f>
        <v>0</v>
      </c>
      <c r="AA45" s="38"/>
      <c r="AB45" s="54"/>
    </row>
    <row r="46" spans="2:30" ht="17" x14ac:dyDescent="0.2">
      <c r="B46" s="47"/>
      <c r="C46" s="45"/>
      <c r="F46" s="14" t="s">
        <v>197</v>
      </c>
      <c r="H46" s="4">
        <v>0</v>
      </c>
      <c r="K46" s="4">
        <f>IF(H41=0, 0, H99*J41/H41)</f>
        <v>0</v>
      </c>
      <c r="N46" s="4">
        <f>IF(K41=0, 0, K99*M41/K41)</f>
        <v>0</v>
      </c>
      <c r="Q46" s="4">
        <f>IF(N41=0, 0, N99*P41/N41)</f>
        <v>0</v>
      </c>
      <c r="T46" s="4">
        <f>IF(Q41=0, 0, Q99*S41/Q41)</f>
        <v>0</v>
      </c>
      <c r="W46" s="4">
        <f>IF(T41=0, 0, T99*V41/T41)</f>
        <v>0</v>
      </c>
      <c r="Z46" s="4">
        <f>IF(W41=0, 0, W99*Y41/W41)</f>
        <v>0</v>
      </c>
      <c r="AA46" s="38"/>
      <c r="AB46" s="54"/>
    </row>
    <row r="47" spans="2:30" x14ac:dyDescent="0.2">
      <c r="B47" s="38" t="s">
        <v>191</v>
      </c>
      <c r="C47" s="28" t="s">
        <v>174</v>
      </c>
      <c r="F47" s="14"/>
      <c r="H47" s="4">
        <f>SUM(H43:H46)</f>
        <v>0</v>
      </c>
      <c r="K47" s="4">
        <f>SUM(K43:K46)</f>
        <v>0</v>
      </c>
      <c r="N47" s="4">
        <f>SUM(N43:N46)</f>
        <v>0</v>
      </c>
      <c r="Q47" s="4">
        <f>SUM(Q43:Q46)</f>
        <v>0</v>
      </c>
      <c r="T47" s="4">
        <f>SUM(T43:T46)</f>
        <v>0</v>
      </c>
      <c r="W47" s="4">
        <f>SUM(W43:W46)</f>
        <v>0</v>
      </c>
      <c r="Z47" s="4">
        <f>SUM(Z43:Z46)</f>
        <v>0</v>
      </c>
      <c r="AA47" s="38" t="s">
        <v>309</v>
      </c>
      <c r="AB47" s="54" t="s">
        <v>354</v>
      </c>
    </row>
    <row r="48" spans="2:30" ht="17" x14ac:dyDescent="0.2">
      <c r="F48" s="14" t="s">
        <v>82</v>
      </c>
      <c r="AB48" s="55"/>
    </row>
    <row r="49" spans="2:28" ht="17" x14ac:dyDescent="0.2">
      <c r="B49" s="47" t="s">
        <v>262</v>
      </c>
      <c r="C49" s="45" t="s">
        <v>174</v>
      </c>
      <c r="E49" s="41" t="s">
        <v>250</v>
      </c>
      <c r="F49" s="14" t="s">
        <v>249</v>
      </c>
      <c r="H49" s="4">
        <f>MIN(H43,H$15*G38)</f>
        <v>0</v>
      </c>
      <c r="K49" s="4">
        <f>MIN(K43,K$15*J38)</f>
        <v>0</v>
      </c>
      <c r="N49" s="4">
        <f>MIN(N43,N$15*M38)</f>
        <v>0</v>
      </c>
      <c r="Q49" s="4">
        <f>MIN(Q43,Q$15*P38)</f>
        <v>0</v>
      </c>
      <c r="T49" s="4">
        <f>MIN(T43,T$15*S38)</f>
        <v>0</v>
      </c>
      <c r="W49" s="4">
        <f>MIN(W43,W$15*V38)</f>
        <v>0</v>
      </c>
      <c r="Z49" s="4">
        <f>MIN(Z43,Z$15*Y38)</f>
        <v>0</v>
      </c>
      <c r="AA49" s="38" t="s">
        <v>310</v>
      </c>
      <c r="AB49" s="54" t="s">
        <v>356</v>
      </c>
    </row>
    <row r="50" spans="2:28" ht="17" x14ac:dyDescent="0.2">
      <c r="B50" s="47"/>
      <c r="C50" s="45"/>
      <c r="E50" s="41"/>
      <c r="F50" s="14" t="s">
        <v>251</v>
      </c>
      <c r="H50" s="4">
        <f>MIN(H44,H$15*G39)</f>
        <v>0</v>
      </c>
      <c r="K50" s="4">
        <f>MIN(K44,K$15*J39)</f>
        <v>0</v>
      </c>
      <c r="N50" s="4">
        <f>MIN(N44,N$15*M39)</f>
        <v>0</v>
      </c>
      <c r="Q50" s="4">
        <f t="shared" ref="Q50" si="5">MIN(Q44,Q$15*P39)</f>
        <v>0</v>
      </c>
      <c r="T50" s="4">
        <f t="shared" ref="T50" si="6">MIN(T44,T$15*S39)</f>
        <v>0</v>
      </c>
      <c r="W50" s="4">
        <f t="shared" ref="W50" si="7">MIN(W44,W$15*V39)</f>
        <v>0</v>
      </c>
      <c r="Z50" s="4">
        <f t="shared" ref="Z50" si="8">MIN(Z44,Z$15*Y39)</f>
        <v>0</v>
      </c>
      <c r="AA50" s="38"/>
      <c r="AB50" s="54"/>
    </row>
    <row r="51" spans="2:28" ht="17" x14ac:dyDescent="0.2">
      <c r="B51" s="47"/>
      <c r="C51" s="45"/>
      <c r="E51" s="41"/>
      <c r="F51" s="14" t="s">
        <v>252</v>
      </c>
      <c r="H51" s="4">
        <f>MIN(H45,H$15*G40)</f>
        <v>0</v>
      </c>
      <c r="K51" s="4">
        <f>MIN(K45,K$15*J40)</f>
        <v>0</v>
      </c>
      <c r="N51" s="4">
        <f>MIN(N45,N$15*M40)</f>
        <v>0</v>
      </c>
      <c r="Q51" s="4">
        <f>MIN(Q45,Q$15*P40)</f>
        <v>0</v>
      </c>
      <c r="T51" s="4">
        <f>MIN(T45,T$15*S40)</f>
        <v>0</v>
      </c>
      <c r="W51" s="4">
        <f>MIN(W45,W$15*V40)</f>
        <v>0</v>
      </c>
      <c r="Z51" s="4">
        <f>MIN(Z45,Z$15*Y40)</f>
        <v>0</v>
      </c>
      <c r="AA51" s="38"/>
      <c r="AB51" s="54"/>
    </row>
    <row r="52" spans="2:28" ht="17" x14ac:dyDescent="0.2">
      <c r="B52" s="47"/>
      <c r="C52" s="45"/>
      <c r="E52" s="41"/>
      <c r="F52" s="14" t="s">
        <v>253</v>
      </c>
      <c r="H52" s="4">
        <f>MIN(H46,H$15*G41)</f>
        <v>0</v>
      </c>
      <c r="K52" s="4">
        <f>MIN(K46,K$15*J41)</f>
        <v>0</v>
      </c>
      <c r="N52" s="4">
        <f>MIN(N46,N$15*M41)</f>
        <v>0</v>
      </c>
      <c r="Q52" s="4">
        <f>MIN(Q46,Q$15*P41)</f>
        <v>0</v>
      </c>
      <c r="T52" s="4">
        <f>MIN(T46,T$15*S41)</f>
        <v>0</v>
      </c>
      <c r="W52" s="4">
        <f>MIN(W46,W$15*V41)</f>
        <v>0</v>
      </c>
      <c r="Z52" s="4">
        <f>MIN(Z46,Z$15*Y41)</f>
        <v>0</v>
      </c>
      <c r="AA52" s="38"/>
      <c r="AB52" s="54"/>
    </row>
    <row r="53" spans="2:28" x14ac:dyDescent="0.2">
      <c r="B53" s="38" t="s">
        <v>263</v>
      </c>
      <c r="C53" s="28" t="s">
        <v>174</v>
      </c>
      <c r="F53" s="14"/>
      <c r="H53" s="4">
        <f>SUM(H49:H52)</f>
        <v>0</v>
      </c>
      <c r="K53" s="4">
        <f>SUM(K49:K52)</f>
        <v>0</v>
      </c>
      <c r="N53" s="4">
        <f>SUM(N49:N52)</f>
        <v>0</v>
      </c>
      <c r="Q53" s="4">
        <f>SUM(Q49:Q52)</f>
        <v>0</v>
      </c>
      <c r="T53" s="4">
        <f>SUM(T49:T52)</f>
        <v>0</v>
      </c>
      <c r="W53" s="4">
        <f>SUM(W49:W52)</f>
        <v>0</v>
      </c>
      <c r="Z53" s="4">
        <f>SUM(Z49:Z52)</f>
        <v>0</v>
      </c>
      <c r="AA53" s="38" t="s">
        <v>311</v>
      </c>
      <c r="AB53" s="54" t="s">
        <v>357</v>
      </c>
    </row>
    <row r="54" spans="2:28" x14ac:dyDescent="0.2">
      <c r="B54" s="38" t="s">
        <v>265</v>
      </c>
      <c r="C54" s="28"/>
      <c r="F54" s="14"/>
      <c r="H54" s="4">
        <f>H47-H53</f>
        <v>0</v>
      </c>
      <c r="K54" s="4">
        <f>K47-K53</f>
        <v>0</v>
      </c>
      <c r="N54" s="4">
        <f>N47-N53</f>
        <v>0</v>
      </c>
      <c r="Q54" s="4">
        <f>Q47-Q53</f>
        <v>0</v>
      </c>
      <c r="T54" s="4">
        <f>T47-T53</f>
        <v>0</v>
      </c>
      <c r="W54" s="4">
        <f>W47-W53</f>
        <v>0</v>
      </c>
      <c r="Z54" s="4">
        <f>Z47-Z53</f>
        <v>0</v>
      </c>
      <c r="AA54" s="38" t="s">
        <v>312</v>
      </c>
      <c r="AB54" s="54"/>
    </row>
    <row r="55" spans="2:28" x14ac:dyDescent="0.2">
      <c r="F55" s="14"/>
      <c r="AB55" s="54"/>
    </row>
    <row r="56" spans="2:28" ht="17" x14ac:dyDescent="0.2">
      <c r="B56" s="47" t="s">
        <v>192</v>
      </c>
      <c r="C56" s="45" t="s">
        <v>174</v>
      </c>
      <c r="F56" s="14" t="s">
        <v>198</v>
      </c>
      <c r="H56" s="4">
        <f>H43*$H$21</f>
        <v>0</v>
      </c>
      <c r="K56" s="4">
        <f>K43*$H$21</f>
        <v>0</v>
      </c>
      <c r="N56" s="4">
        <f>N43*$H$21</f>
        <v>0</v>
      </c>
      <c r="Q56" s="4">
        <f>Q43*$H$21</f>
        <v>0</v>
      </c>
      <c r="T56" s="4">
        <f>T43*$H$21</f>
        <v>0</v>
      </c>
      <c r="W56" s="4">
        <f>W43*$H$21</f>
        <v>0</v>
      </c>
      <c r="Z56" s="4">
        <f>Z43*$H$21</f>
        <v>0</v>
      </c>
      <c r="AA56" s="38" t="s">
        <v>313</v>
      </c>
      <c r="AB56" s="54"/>
    </row>
    <row r="57" spans="2:28" ht="17" x14ac:dyDescent="0.2">
      <c r="B57" s="47"/>
      <c r="C57" s="45"/>
      <c r="F57" s="14" t="s">
        <v>199</v>
      </c>
      <c r="H57" s="4">
        <f>H44*$H$21</f>
        <v>0</v>
      </c>
      <c r="K57" s="4">
        <f>K44*$H$21</f>
        <v>0</v>
      </c>
      <c r="N57" s="4">
        <f>N44*$H$21</f>
        <v>0</v>
      </c>
      <c r="Q57" s="4">
        <f>Q44*$H$21</f>
        <v>0</v>
      </c>
      <c r="T57" s="4">
        <f>T44*$H$21</f>
        <v>0</v>
      </c>
      <c r="W57" s="4">
        <f>W44*$H$21</f>
        <v>0</v>
      </c>
      <c r="Z57" s="4">
        <f>Z44*$H$21</f>
        <v>0</v>
      </c>
      <c r="AA57" s="38"/>
      <c r="AB57" s="54"/>
    </row>
    <row r="58" spans="2:28" ht="17" x14ac:dyDescent="0.2">
      <c r="B58" s="47"/>
      <c r="C58" s="45"/>
      <c r="F58" s="14" t="s">
        <v>200</v>
      </c>
      <c r="H58" s="4">
        <f>H45*$H$21</f>
        <v>0</v>
      </c>
      <c r="K58" s="4">
        <f>K45*$H$21</f>
        <v>0</v>
      </c>
      <c r="N58" s="4">
        <f>N45*$H$21</f>
        <v>0</v>
      </c>
      <c r="Q58" s="4">
        <f>Q45*$H$21</f>
        <v>0</v>
      </c>
      <c r="T58" s="4">
        <f>T45*$H$21</f>
        <v>0</v>
      </c>
      <c r="W58" s="4">
        <f>W45*$H$21</f>
        <v>0</v>
      </c>
      <c r="Z58" s="4">
        <f>Z45*$H$21</f>
        <v>0</v>
      </c>
      <c r="AA58" s="38"/>
      <c r="AB58" s="54"/>
    </row>
    <row r="59" spans="2:28" ht="17" x14ac:dyDescent="0.2">
      <c r="B59" s="47"/>
      <c r="C59" s="45"/>
      <c r="F59" s="14" t="s">
        <v>201</v>
      </c>
      <c r="H59" s="4">
        <f>H46*$H$21</f>
        <v>0</v>
      </c>
      <c r="K59" s="4">
        <f>K46*$H$21</f>
        <v>0</v>
      </c>
      <c r="N59" s="4">
        <f>N46*$H$21</f>
        <v>0</v>
      </c>
      <c r="Q59" s="4">
        <f>Q46*$H$21</f>
        <v>0</v>
      </c>
      <c r="T59" s="4">
        <f>T46*$H$21</f>
        <v>0</v>
      </c>
      <c r="W59" s="4">
        <f>W46*$H$21</f>
        <v>0</v>
      </c>
      <c r="Z59" s="4">
        <f>Z46*$H$21</f>
        <v>0</v>
      </c>
      <c r="AA59" s="38"/>
      <c r="AB59" s="54"/>
    </row>
    <row r="60" spans="2:28" x14ac:dyDescent="0.2">
      <c r="B60" s="38" t="s">
        <v>193</v>
      </c>
      <c r="C60" s="28" t="s">
        <v>174</v>
      </c>
      <c r="F60" s="14"/>
      <c r="H60" s="4">
        <f>SUM(H56:H59)</f>
        <v>0</v>
      </c>
      <c r="K60" s="4">
        <f>SUM(K56:K59)</f>
        <v>0</v>
      </c>
      <c r="N60" s="4">
        <f>SUM(N56:N59)</f>
        <v>0</v>
      </c>
      <c r="Q60" s="4">
        <f>SUM(Q56:Q59)</f>
        <v>0</v>
      </c>
      <c r="T60" s="4">
        <f>SUM(T56:T59)</f>
        <v>0</v>
      </c>
      <c r="W60" s="4">
        <f>SUM(W56:W59)</f>
        <v>0</v>
      </c>
      <c r="Z60" s="4">
        <f>SUM(Z56:Z59)</f>
        <v>0</v>
      </c>
      <c r="AA60" s="38" t="s">
        <v>314</v>
      </c>
      <c r="AB60" s="54"/>
    </row>
    <row r="61" spans="2:28" x14ac:dyDescent="0.2">
      <c r="F61" s="14"/>
      <c r="AB61" s="54"/>
    </row>
    <row r="62" spans="2:28" ht="17" x14ac:dyDescent="0.2">
      <c r="B62" s="47" t="s">
        <v>178</v>
      </c>
      <c r="C62" s="45" t="s">
        <v>174</v>
      </c>
      <c r="F62" s="14" t="s">
        <v>90</v>
      </c>
      <c r="H62" s="4">
        <f>AE6</f>
        <v>0</v>
      </c>
      <c r="K62" s="4">
        <f>AE7</f>
        <v>0.01</v>
      </c>
      <c r="N62" s="4">
        <f>AE8</f>
        <v>0.05</v>
      </c>
      <c r="Q62" s="4">
        <f>AE9</f>
        <v>0.12</v>
      </c>
      <c r="T62" s="4">
        <f>AE11</f>
        <v>0.2</v>
      </c>
      <c r="W62" s="4">
        <f>AE12</f>
        <v>0.36</v>
      </c>
      <c r="Z62" s="4">
        <f>AE14</f>
        <v>0.6</v>
      </c>
      <c r="AA62" s="38" t="s">
        <v>315</v>
      </c>
      <c r="AB62" s="54"/>
    </row>
    <row r="63" spans="2:28" ht="17" x14ac:dyDescent="0.2">
      <c r="B63" s="47"/>
      <c r="C63" s="45"/>
      <c r="F63" s="14" t="s">
        <v>91</v>
      </c>
      <c r="H63" s="4">
        <v>0</v>
      </c>
      <c r="K63" s="4">
        <v>0</v>
      </c>
      <c r="N63" s="4">
        <f>AE7</f>
        <v>0.01</v>
      </c>
      <c r="Q63" s="4">
        <f>AE8</f>
        <v>0.05</v>
      </c>
      <c r="T63" s="4">
        <f>AE9</f>
        <v>0.12</v>
      </c>
      <c r="W63" s="4">
        <f>AE11</f>
        <v>0.2</v>
      </c>
      <c r="Z63" s="4">
        <f>AE12</f>
        <v>0.36</v>
      </c>
      <c r="AA63" s="38"/>
      <c r="AB63" s="54"/>
    </row>
    <row r="64" spans="2:28" ht="17" x14ac:dyDescent="0.2">
      <c r="B64" s="47"/>
      <c r="C64" s="45"/>
      <c r="F64" s="14" t="s">
        <v>92</v>
      </c>
      <c r="H64" s="4">
        <v>0</v>
      </c>
      <c r="K64" s="4">
        <v>0</v>
      </c>
      <c r="N64" s="4">
        <v>0</v>
      </c>
      <c r="Q64" s="4">
        <f>AE7</f>
        <v>0.01</v>
      </c>
      <c r="T64" s="4">
        <f>AE8</f>
        <v>0.05</v>
      </c>
      <c r="W64" s="4">
        <f>AE9</f>
        <v>0.12</v>
      </c>
      <c r="Z64" s="4">
        <f>AE11</f>
        <v>0.2</v>
      </c>
      <c r="AA64" s="38"/>
      <c r="AB64" s="54"/>
    </row>
    <row r="65" spans="2:32" ht="17" x14ac:dyDescent="0.2">
      <c r="B65" s="47"/>
      <c r="C65" s="45"/>
      <c r="F65" s="14" t="s">
        <v>93</v>
      </c>
      <c r="H65" s="4">
        <v>0</v>
      </c>
      <c r="K65" s="4">
        <v>0</v>
      </c>
      <c r="N65" s="4">
        <v>0</v>
      </c>
      <c r="Q65" s="4">
        <v>0</v>
      </c>
      <c r="T65" s="4">
        <f>AE7</f>
        <v>0.01</v>
      </c>
      <c r="W65" s="4">
        <f>AE8</f>
        <v>0.05</v>
      </c>
      <c r="Z65" s="4">
        <f>AE9</f>
        <v>0.12</v>
      </c>
      <c r="AA65" s="38"/>
      <c r="AB65" s="54"/>
    </row>
    <row r="66" spans="2:32" ht="17" x14ac:dyDescent="0.2">
      <c r="F66" s="14" t="s">
        <v>49</v>
      </c>
      <c r="AB66" s="54"/>
    </row>
    <row r="67" spans="2:32" x14ac:dyDescent="0.2">
      <c r="F67" s="14"/>
      <c r="AB67" s="54"/>
    </row>
    <row r="68" spans="2:32" ht="17" x14ac:dyDescent="0.2">
      <c r="B68" s="47" t="s">
        <v>237</v>
      </c>
      <c r="C68" s="45" t="s">
        <v>174</v>
      </c>
      <c r="F68" s="14" t="s">
        <v>109</v>
      </c>
      <c r="H68" s="4">
        <f>H38*H62</f>
        <v>0</v>
      </c>
      <c r="K68" s="4">
        <f>K38*K62</f>
        <v>0.85</v>
      </c>
      <c r="N68" s="4">
        <f>K68*(1- $G$30)+N38*N62</f>
        <v>5.0986655000000001</v>
      </c>
      <c r="Q68" s="4">
        <f>N68*(1- $G$30)+Q38*Q62</f>
        <v>15.290660595165001</v>
      </c>
      <c r="T68" s="4">
        <f>Q68*(1- $G$30)+T38*T62</f>
        <v>32.266654258030592</v>
      </c>
      <c r="W68" s="4">
        <f>T68*(1- $G$30)+W38*W62</f>
        <v>62.815995610845476</v>
      </c>
      <c r="Z68" s="4">
        <f>W68*(1- $G$30)+Z38*Z62</f>
        <v>113.71737449773644</v>
      </c>
      <c r="AA68" s="38" t="s">
        <v>316</v>
      </c>
      <c r="AB68" s="54"/>
    </row>
    <row r="69" spans="2:32" ht="17" x14ac:dyDescent="0.2">
      <c r="B69" s="47"/>
      <c r="C69" s="45"/>
      <c r="F69" s="14" t="s">
        <v>110</v>
      </c>
      <c r="K69" s="4">
        <f>K39*K63</f>
        <v>0</v>
      </c>
      <c r="N69" s="4">
        <f>K69*(1- $G$30)+N39*N63</f>
        <v>0.8</v>
      </c>
      <c r="Q69" s="4">
        <f>N69*(1- $G$30)+Q39*Q63</f>
        <v>4.7987440000000001</v>
      </c>
      <c r="T69" s="4">
        <f>Q69*(1- $G$30)+T39*T63</f>
        <v>14.39120997192</v>
      </c>
      <c r="W69" s="4">
        <f>T69*(1- $G$30)+W39*W63</f>
        <v>30.368615772264086</v>
      </c>
      <c r="Z69" s="4">
        <f>W69*(1- $G$30)+Z39*Z63</f>
        <v>59.120937045501634</v>
      </c>
      <c r="AA69" s="38"/>
      <c r="AB69" s="54"/>
    </row>
    <row r="70" spans="2:32" ht="17" x14ac:dyDescent="0.2">
      <c r="B70" s="47"/>
      <c r="C70" s="45"/>
      <c r="E70" s="41"/>
      <c r="F70" s="14" t="s">
        <v>111</v>
      </c>
      <c r="N70" s="4">
        <f>K70*(1- $G$30)+N40*N64</f>
        <v>0</v>
      </c>
      <c r="Q70" s="4">
        <f>N70*(1- $G$30)+Q40*Q64</f>
        <v>0.92</v>
      </c>
      <c r="T70" s="4">
        <f>Q70*(1- $G$30)+T40*T64</f>
        <v>5.5185556000000009</v>
      </c>
      <c r="W70" s="4">
        <f>T70*(1- $G$30)+W40*W64</f>
        <v>16.549891467708001</v>
      </c>
      <c r="Z70" s="4">
        <f>W70*(1- $G$30)+Z40*Z64</f>
        <v>34.923908138103698</v>
      </c>
      <c r="AA70" s="38"/>
      <c r="AB70" s="54"/>
    </row>
    <row r="71" spans="2:32" ht="17" x14ac:dyDescent="0.2">
      <c r="B71" s="47"/>
      <c r="C71" s="45"/>
      <c r="E71" s="41"/>
      <c r="F71" s="14" t="s">
        <v>112</v>
      </c>
      <c r="N71" s="4">
        <f>K71*(1- $G$30)+N41*N65</f>
        <v>0</v>
      </c>
      <c r="Q71" s="4">
        <f>N71*(1- $G$30)+Q41*Q65</f>
        <v>0</v>
      </c>
      <c r="T71" s="4">
        <f>Q71*(1- $G$30)+T41*T65</f>
        <v>0.43</v>
      </c>
      <c r="W71" s="4">
        <f>T71*(1- $G$30)+W41*W65</f>
        <v>2.5793249</v>
      </c>
      <c r="Z71" s="4">
        <f>W71*(1- $G$30)+Z41*Z65</f>
        <v>7.7352753599069999</v>
      </c>
      <c r="AA71" s="38"/>
      <c r="AB71" s="54"/>
    </row>
    <row r="72" spans="2:32" x14ac:dyDescent="0.2">
      <c r="E72" s="41"/>
      <c r="F72" s="14"/>
      <c r="AB72" s="54"/>
    </row>
    <row r="73" spans="2:32" ht="17" x14ac:dyDescent="0.2">
      <c r="B73" s="47" t="s">
        <v>234</v>
      </c>
      <c r="C73" s="45" t="s">
        <v>174</v>
      </c>
      <c r="F73" s="14" t="s">
        <v>127</v>
      </c>
      <c r="H73" s="4">
        <v>0</v>
      </c>
      <c r="K73" s="4">
        <f>INT(J$4-$AG$6 &gt; $E81)*MAX(H96-$H$22*H38-K43,0)</f>
        <v>0</v>
      </c>
      <c r="N73" s="4">
        <f>INT(M$4-$AG$6 &gt; $E81)*MAX(K96-$H$22*K38-N43,0)</f>
        <v>0</v>
      </c>
      <c r="Q73" s="4">
        <f>INT(P$4-$AG$6 &gt; $E81)*MAX(N96-$H$22*N38-Q43,0)</f>
        <v>0</v>
      </c>
      <c r="T73" s="4">
        <f>INT(S$4-$AG$6 &gt; $E81)*MAX(Q96-$H$22*Q38-T43,0)</f>
        <v>0</v>
      </c>
      <c r="W73" s="4">
        <f>INT(V$4-$AG$6 &gt; $E81)*MAX(T96-$H$22*T38-W43,0)</f>
        <v>0</v>
      </c>
      <c r="Z73" s="4">
        <f>INT(Y$4-$AG$6 &gt; $E81)*MAX(W96-$H$22*W38-Z43,0)</f>
        <v>0</v>
      </c>
      <c r="AA73" s="38"/>
      <c r="AB73" s="54"/>
    </row>
    <row r="74" spans="2:32" ht="17" x14ac:dyDescent="0.2">
      <c r="B74" s="47"/>
      <c r="C74" s="45"/>
      <c r="F74" s="14" t="s">
        <v>128</v>
      </c>
      <c r="H74" s="4">
        <v>0</v>
      </c>
      <c r="K74" s="4">
        <f>INT(J$4-$AG$6 &gt; $E82)*MAX(H97-$H$22*H39-K44,0)</f>
        <v>0</v>
      </c>
      <c r="N74" s="4">
        <f>INT(M$4-$AG$6 &gt; $E82)*MAX(K97-$H$22*K39-N44,0)</f>
        <v>0</v>
      </c>
      <c r="Q74" s="4">
        <f>INT(P$4-$AG$6 &gt; $E82)*MAX(N97-$H$22*N39-Q44,0)</f>
        <v>0</v>
      </c>
      <c r="T74" s="4">
        <f>INT(S$4-$AG$6 &gt; $E82)*MAX(Q97-$H$22*Q39-T44,0)</f>
        <v>0</v>
      </c>
      <c r="W74" s="4">
        <f>INT(V$4-$AG$6 &gt; $E82)*MAX(T97-$H$22*T39-W44,0)</f>
        <v>0</v>
      </c>
      <c r="Z74" s="4">
        <f>INT(Y$4-$AG$6 &gt; $E82)*MAX(W97-$H$22*W39-Z44,0)</f>
        <v>0</v>
      </c>
      <c r="AA74" s="38"/>
      <c r="AB74" s="54"/>
    </row>
    <row r="75" spans="2:32" ht="17" x14ac:dyDescent="0.2">
      <c r="B75" s="47"/>
      <c r="C75" s="45"/>
      <c r="E75" s="41" t="s">
        <v>152</v>
      </c>
      <c r="F75" s="14" t="s">
        <v>129</v>
      </c>
      <c r="H75" s="4">
        <v>0</v>
      </c>
      <c r="K75" s="4">
        <f>INT(J$4-$AG$6 &gt; $E83)*MAX(H98-$H$22*H40-K45,0)</f>
        <v>0</v>
      </c>
      <c r="N75" s="4">
        <f>INT(M$4-$AG$6 &gt; $E83)*MAX(K98-$H$22*K40-N45,0)</f>
        <v>0</v>
      </c>
      <c r="Q75" s="4">
        <f>INT(P$4-$AG$6 &gt; $E83)*MAX(N98-$H$22*N40-Q45,0)</f>
        <v>0</v>
      </c>
      <c r="T75" s="4">
        <f>INT(S$4-$AG$6 &gt; $E83)*MAX(Q98-$H$22*Q40-T45,0)</f>
        <v>0</v>
      </c>
      <c r="W75" s="4">
        <f>INT(V$4-$AG$6 &gt; $E83)*MAX(T98-$H$22*T40-W45,0)</f>
        <v>0</v>
      </c>
      <c r="Z75" s="4">
        <f>INT(Y$4-$AG$6 &gt; $E83)*MAX(W98-$H$22*W40-Z45,0)</f>
        <v>0</v>
      </c>
      <c r="AA75" s="38"/>
      <c r="AB75" s="54"/>
    </row>
    <row r="76" spans="2:32" ht="17" x14ac:dyDescent="0.2">
      <c r="B76" s="47"/>
      <c r="C76" s="45"/>
      <c r="E76" s="41"/>
      <c r="F76" s="14" t="s">
        <v>130</v>
      </c>
      <c r="H76" s="4">
        <v>0</v>
      </c>
      <c r="K76" s="4">
        <f>INT(J$4-$AG$6 &gt; $E84)*MAX(H99-$H$22*H41-K46,0)</f>
        <v>0</v>
      </c>
      <c r="N76" s="4">
        <f>INT(M$4-$AG$6 &gt; $E84)*MAX(K99-$H$22*K41-N46,0)</f>
        <v>0</v>
      </c>
      <c r="Q76" s="4">
        <f>INT(P$4-$AG$6 &gt; $E84)*MAX(N99-$H$22*N41-Q46,0)</f>
        <v>0</v>
      </c>
      <c r="T76" s="4">
        <f>INT(S$4-$AG$6 &gt; $E84)*MAX(Q99-$H$22*Q41-T46,0)</f>
        <v>0</v>
      </c>
      <c r="W76" s="4">
        <f>INT(V$4-$AG$6 &gt; $E84)*MAX(T99-$H$22*T41-W46,0)</f>
        <v>0</v>
      </c>
      <c r="Z76" s="4">
        <f>INT(Y$4-$AG$6 &gt; $E84)*MAX(W99-$H$22*W41-Z46,0)</f>
        <v>0</v>
      </c>
      <c r="AA76" s="38"/>
      <c r="AB76" s="54"/>
    </row>
    <row r="77" spans="2:32" ht="17" x14ac:dyDescent="0.2">
      <c r="B77" s="38" t="s">
        <v>235</v>
      </c>
      <c r="C77" s="28" t="s">
        <v>174</v>
      </c>
      <c r="E77" s="41"/>
      <c r="F77" s="14" t="s">
        <v>147</v>
      </c>
      <c r="H77" s="4">
        <v>0</v>
      </c>
      <c r="K77" s="4">
        <f>SUM(K73:K76)</f>
        <v>0</v>
      </c>
      <c r="N77" s="4">
        <f>SUM(N73:N76)</f>
        <v>0</v>
      </c>
      <c r="Q77" s="4">
        <f>SUM(Q73:Q76)</f>
        <v>0</v>
      </c>
      <c r="T77" s="4">
        <f>SUM(T73:T76)</f>
        <v>0</v>
      </c>
      <c r="W77" s="4">
        <f>SUM(W73:W76)</f>
        <v>0</v>
      </c>
      <c r="Z77" s="4">
        <f>SUM(Z73:Z76)</f>
        <v>0</v>
      </c>
      <c r="AA77" s="38"/>
      <c r="AB77" s="54"/>
      <c r="AF77" t="s">
        <v>106</v>
      </c>
    </row>
    <row r="78" spans="2:32" x14ac:dyDescent="0.2">
      <c r="E78" s="41"/>
      <c r="F78" s="14"/>
      <c r="AB78" s="54"/>
      <c r="AD78" t="s">
        <v>85</v>
      </c>
      <c r="AF78" t="s">
        <v>107</v>
      </c>
    </row>
    <row r="79" spans="2:32" ht="17" customHeight="1" x14ac:dyDescent="0.2">
      <c r="B79" s="48" t="s">
        <v>236</v>
      </c>
      <c r="C79" s="45" t="s">
        <v>174</v>
      </c>
      <c r="F79" s="14" t="s">
        <v>88</v>
      </c>
      <c r="G79" s="4">
        <v>0</v>
      </c>
      <c r="J79" s="4">
        <v>0</v>
      </c>
      <c r="M79" s="4">
        <v>0</v>
      </c>
      <c r="P79" s="4">
        <v>0</v>
      </c>
      <c r="S79" s="4">
        <v>0</v>
      </c>
      <c r="V79" s="4">
        <v>0</v>
      </c>
      <c r="Y79" s="4">
        <v>0</v>
      </c>
      <c r="AA79" s="39"/>
      <c r="AB79" s="54"/>
      <c r="AD79" t="s">
        <v>86</v>
      </c>
    </row>
    <row r="80" spans="2:32" ht="17" x14ac:dyDescent="0.2">
      <c r="B80" s="48"/>
      <c r="C80" s="45"/>
      <c r="F80" s="14" t="s">
        <v>148</v>
      </c>
      <c r="G80" s="4">
        <f>SUM(H$73:H73)</f>
        <v>0</v>
      </c>
      <c r="H80" s="4">
        <f>IF(G80&gt;=G$132, IF(G79&lt;G$132, G$132-G79, 0),H73)</f>
        <v>0</v>
      </c>
      <c r="J80" s="4">
        <f>SUM(K$73:K73)</f>
        <v>0</v>
      </c>
      <c r="K80" s="4">
        <f>IF(J80&gt;=J$132, IF(J79&lt;J$132, J$132-J79, 0),K73)</f>
        <v>0</v>
      </c>
      <c r="M80" s="4">
        <f>SUM(N$73:N73)</f>
        <v>0</v>
      </c>
      <c r="N80" s="4">
        <f>IF(M80&gt;=M$132, IF(M79&lt;M$132, M$132-M79, 0),N73)</f>
        <v>0</v>
      </c>
      <c r="P80" s="4">
        <f>SUM(Q$73:Q73)</f>
        <v>0</v>
      </c>
      <c r="Q80" s="4">
        <f>IF(P80&gt;=P$132, IF(P79&lt;P$132, P$132-P79, 0),Q73)</f>
        <v>0</v>
      </c>
      <c r="S80" s="4">
        <f>SUM(T$73:T73)</f>
        <v>0</v>
      </c>
      <c r="T80" s="4">
        <f>IF(S80&gt;=S$132, IF(S79&lt;S$132, S$132-S79, 0),T73)</f>
        <v>0</v>
      </c>
      <c r="V80" s="4">
        <f>SUM(W$73:W73)</f>
        <v>0</v>
      </c>
      <c r="W80" s="4">
        <f>IF(V80&gt;=V$132, IF(V79&lt;V$132, V$132-V79, 0),W73)</f>
        <v>0</v>
      </c>
      <c r="Y80" s="4">
        <f>SUM(Z$73:Z73)</f>
        <v>0</v>
      </c>
      <c r="Z80" s="4">
        <f>IF(Y80&gt;=Y$132, IF(Y79&lt;Y$132, Y$132-Y79, 0),Z73)</f>
        <v>0</v>
      </c>
      <c r="AA80" s="39"/>
      <c r="AB80" s="54"/>
    </row>
    <row r="81" spans="2:28" ht="17" x14ac:dyDescent="0.2">
      <c r="B81" s="48"/>
      <c r="C81" s="45"/>
      <c r="E81" s="22">
        <v>0</v>
      </c>
      <c r="F81" s="14" t="s">
        <v>149</v>
      </c>
      <c r="G81" s="4">
        <f>SUM(H$73:H74)</f>
        <v>0</v>
      </c>
      <c r="H81" s="4">
        <f>IF(G81&gt;=G$132, IF(G80&lt;G$132, G$132-G80, 0),H74)</f>
        <v>0</v>
      </c>
      <c r="J81" s="4">
        <f>SUM(K$73:K74)</f>
        <v>0</v>
      </c>
      <c r="K81" s="4">
        <f>IF(J81&gt;=J$132, IF(J80&lt;J$132, J$132-J80, 0),K74)</f>
        <v>0</v>
      </c>
      <c r="M81" s="4">
        <f>SUM(N$73:N74)</f>
        <v>0</v>
      </c>
      <c r="N81" s="4">
        <f>IF(M81&gt;=M$132, IF(M80&lt;M$132, M$132-M80, 0),N74)</f>
        <v>0</v>
      </c>
      <c r="P81" s="4">
        <f>SUM(Q$73:Q74)</f>
        <v>0</v>
      </c>
      <c r="Q81" s="4">
        <f>IF(P81&gt;=P$132, IF(P80&lt;P$132, P$132-P80, 0),Q74)</f>
        <v>0</v>
      </c>
      <c r="S81" s="4">
        <f>SUM(T$73:T74)</f>
        <v>0</v>
      </c>
      <c r="T81" s="4">
        <f>IF(S81&gt;=S$132, IF(S80&lt;S$132, S$132-S80, 0),T74)</f>
        <v>0</v>
      </c>
      <c r="V81" s="4">
        <f>SUM(W$73:W74)</f>
        <v>0</v>
      </c>
      <c r="W81" s="4">
        <f>IF(V81&gt;=V$132, IF(V80&lt;V$132, V$132-V80, 0),W74)</f>
        <v>0</v>
      </c>
      <c r="Y81" s="4">
        <f>SUM(Z$73:Z74)</f>
        <v>0</v>
      </c>
      <c r="Z81" s="4">
        <f>IF(Y81&gt;=Y$132, IF(Y80&lt;Y$132, Y$132-Y80, 0),Z74)</f>
        <v>0</v>
      </c>
      <c r="AA81" s="39"/>
      <c r="AB81" s="54"/>
    </row>
    <row r="82" spans="2:28" ht="17" x14ac:dyDescent="0.2">
      <c r="B82" s="48"/>
      <c r="C82" s="45"/>
      <c r="E82" s="22">
        <v>1</v>
      </c>
      <c r="F82" s="14" t="s">
        <v>150</v>
      </c>
      <c r="G82" s="4">
        <f>SUM(H$73:H75)</f>
        <v>0</v>
      </c>
      <c r="H82" s="4">
        <f>IF(G82&gt;=G$132, IF(G81&lt;G$132, G$132-G81, 0),H75)</f>
        <v>0</v>
      </c>
      <c r="J82" s="4">
        <f>SUM(K$73:K75)</f>
        <v>0</v>
      </c>
      <c r="K82" s="4">
        <f>IF(J82&gt;=J$132, IF(J81&lt;J$132, J$132-J81, 0),K75)</f>
        <v>0</v>
      </c>
      <c r="M82" s="4">
        <f>SUM(N$73:N75)</f>
        <v>0</v>
      </c>
      <c r="N82" s="4">
        <f>IF(M82&gt;=M$132, IF(M81&lt;M$132, M$132-M81, 0),N75)</f>
        <v>0</v>
      </c>
      <c r="P82" s="4">
        <f>SUM(Q$73:Q75)</f>
        <v>0</v>
      </c>
      <c r="Q82" s="4">
        <f>IF(P82&gt;=P$132, IF(P81&lt;P$132, P$132-P81, 0),Q75)</f>
        <v>0</v>
      </c>
      <c r="S82" s="4">
        <f>SUM(T$73:T75)</f>
        <v>0</v>
      </c>
      <c r="T82" s="4">
        <f>IF(S82&gt;=S$132, IF(S81&lt;S$132, S$132-S81, 0),T75)</f>
        <v>0</v>
      </c>
      <c r="V82" s="4">
        <f>SUM(W$73:W75)</f>
        <v>0</v>
      </c>
      <c r="W82" s="4">
        <f>IF(V82&gt;=V$132, IF(V81&lt;V$132, V$132-V81, 0),W75)</f>
        <v>0</v>
      </c>
      <c r="Y82" s="4">
        <f>SUM(Z$73:Z75)</f>
        <v>0</v>
      </c>
      <c r="Z82" s="4">
        <f>IF(Y82&gt;=Y$132, IF(Y81&lt;Y$132, Y$132-Y81, 0),Z75)</f>
        <v>0</v>
      </c>
      <c r="AA82" s="39"/>
      <c r="AB82" s="54"/>
    </row>
    <row r="83" spans="2:28" ht="17" x14ac:dyDescent="0.2">
      <c r="B83" s="48"/>
      <c r="C83" s="45"/>
      <c r="E83" s="22">
        <v>2</v>
      </c>
      <c r="F83" s="14" t="s">
        <v>151</v>
      </c>
      <c r="G83" s="4">
        <f>SUM(H$73:H76)</f>
        <v>0</v>
      </c>
      <c r="H83" s="4">
        <f>IF(G83&gt;=G$132, IF(G82&lt;G$132, G$132-G82, 0),H76)</f>
        <v>0</v>
      </c>
      <c r="J83" s="4">
        <f>SUM(K$73:K76)</f>
        <v>0</v>
      </c>
      <c r="K83" s="4">
        <f>IF(J83&gt;=J$132, IF(J82&lt;J$132, J$132-J82, 0),K76)</f>
        <v>0</v>
      </c>
      <c r="M83" s="4">
        <f>SUM(N$73:N76)</f>
        <v>0</v>
      </c>
      <c r="N83" s="4">
        <f>IF(M83&gt;=M$132, IF(M82&lt;M$132, M$132-M82, 0),N76)</f>
        <v>0</v>
      </c>
      <c r="P83" s="4">
        <f>SUM(Q$73:Q76)</f>
        <v>0</v>
      </c>
      <c r="Q83" s="4">
        <f>IF(P83&gt;=P$132, IF(P82&lt;P$132, P$132-P82, 0),Q76)</f>
        <v>0</v>
      </c>
      <c r="S83" s="4">
        <f>SUM(T$73:T76)</f>
        <v>0</v>
      </c>
      <c r="T83" s="4">
        <f>IF(S83&gt;=S$132, IF(S82&lt;S$132, S$132-S82, 0),T76)</f>
        <v>0</v>
      </c>
      <c r="V83" s="4">
        <f>SUM(W$73:W76)</f>
        <v>0</v>
      </c>
      <c r="W83" s="4">
        <f>IF(V83&gt;=V$132, IF(V82&lt;V$132, V$132-V82, 0),W76)</f>
        <v>0</v>
      </c>
      <c r="Y83" s="4">
        <f>SUM(Z$73:Z76)</f>
        <v>0</v>
      </c>
      <c r="Z83" s="4">
        <f>IF(Y83&gt;=Y$132, IF(Y82&lt;Y$132, Y$132-Y82, 0),Z76)</f>
        <v>0</v>
      </c>
      <c r="AA83" s="39"/>
      <c r="AB83" s="54"/>
    </row>
    <row r="84" spans="2:28" x14ac:dyDescent="0.2">
      <c r="E84" s="22">
        <v>3</v>
      </c>
      <c r="F84" s="14"/>
      <c r="AB84" s="54"/>
    </row>
    <row r="85" spans="2:28" x14ac:dyDescent="0.2">
      <c r="F85" s="14"/>
      <c r="J85" s="4" t="s">
        <v>136</v>
      </c>
      <c r="M85" s="4" t="s">
        <v>136</v>
      </c>
      <c r="P85" s="4" t="s">
        <v>136</v>
      </c>
      <c r="S85" s="4" t="s">
        <v>136</v>
      </c>
      <c r="V85" s="4" t="s">
        <v>136</v>
      </c>
      <c r="Y85" s="4" t="s">
        <v>136</v>
      </c>
      <c r="AB85" s="54"/>
    </row>
    <row r="86" spans="2:28" ht="17" x14ac:dyDescent="0.2">
      <c r="B86" s="46" t="s">
        <v>180</v>
      </c>
      <c r="C86" s="45" t="s">
        <v>174</v>
      </c>
      <c r="F86" s="14" t="s">
        <v>131</v>
      </c>
      <c r="H86" s="4">
        <f>H62</f>
        <v>0</v>
      </c>
      <c r="J86" s="4">
        <f>IF(H96=0,1,MIN(MAX((H96/H68-$G$17)/($G$19-$G$17), 0), 1))</f>
        <v>1</v>
      </c>
      <c r="K86" s="4">
        <f>K62*J86</f>
        <v>0.01</v>
      </c>
      <c r="M86" s="4">
        <f>IF(K96=0,1,MIN(MAX((K96/K68-$G$17)/($G$19-$G$17), 0), 1))</f>
        <v>1</v>
      </c>
      <c r="N86" s="4">
        <f>N62*M86</f>
        <v>0.05</v>
      </c>
      <c r="P86" s="4">
        <f>IF(N96=0,1,MIN(MAX((N96/N68-$G$17)/($G$19-$G$17), 0), 1))</f>
        <v>1</v>
      </c>
      <c r="Q86" s="4">
        <f>Q62*P86</f>
        <v>0.12</v>
      </c>
      <c r="S86" s="4">
        <f>IF(Q96=0,1,MIN(MAX((Q96/Q68-$G$17)/($G$19-$G$17), 0), 1))</f>
        <v>1</v>
      </c>
      <c r="T86" s="4">
        <f>T62*S86</f>
        <v>0.2</v>
      </c>
      <c r="V86" s="4">
        <f>IF(T96=0,1,MIN(MAX((T96/T68-$G$17)/($G$19-$G$17), 0), 1))</f>
        <v>1</v>
      </c>
      <c r="W86" s="4">
        <f>W62*V86</f>
        <v>0.36</v>
      </c>
      <c r="Y86" s="4">
        <f>IF(W96=0,1,MIN(MAX((W96/W68-$G$17)/($G$19-$G$17), 0), 1))</f>
        <v>1</v>
      </c>
      <c r="Z86" s="4">
        <f>Z62*Y86</f>
        <v>0.6</v>
      </c>
      <c r="AA86" s="37"/>
      <c r="AB86" s="54"/>
    </row>
    <row r="87" spans="2:28" ht="17" x14ac:dyDescent="0.2">
      <c r="B87" s="46"/>
      <c r="C87" s="45"/>
      <c r="F87" s="14" t="s">
        <v>132</v>
      </c>
      <c r="H87" s="4">
        <f>H63</f>
        <v>0</v>
      </c>
      <c r="J87" s="4">
        <f>IF(H97=0,1,MIN(MAX((H97/H69-$G$17)/($G$19-$G$17), 0), 1))</f>
        <v>1</v>
      </c>
      <c r="K87" s="4">
        <f>K63</f>
        <v>0</v>
      </c>
      <c r="M87" s="4">
        <f>IF(K97=0,1,MIN(MAX((K97/K69-$G$17)/($G$19-$G$17), 0), 1))</f>
        <v>1</v>
      </c>
      <c r="N87" s="4">
        <f>N63</f>
        <v>0.01</v>
      </c>
      <c r="P87" s="4">
        <f>IF(N97=0,1,MIN(MAX((N97/N69-$G$17)/($G$19-$G$17), 0), 1))</f>
        <v>1</v>
      </c>
      <c r="Q87" s="4">
        <f>Q63</f>
        <v>0.05</v>
      </c>
      <c r="S87" s="4">
        <f>IF(Q97=0,1,MIN(MAX((Q97/Q69-$G$17)/($G$19-$G$17), 0), 1))</f>
        <v>1</v>
      </c>
      <c r="T87" s="4">
        <f>T63</f>
        <v>0.12</v>
      </c>
      <c r="V87" s="4">
        <f>IF(T97=0,1,MIN(MAX((T97/T69-$G$17)/($G$19-$G$17), 0), 1))</f>
        <v>1</v>
      </c>
      <c r="W87" s="4">
        <f>W63</f>
        <v>0.2</v>
      </c>
      <c r="Y87" s="4">
        <f>IF(W97=0,1,MIN(MAX((W97/W69-$G$17)/($G$19-$G$17), 0), 1))</f>
        <v>1</v>
      </c>
      <c r="Z87" s="4">
        <f>Z63</f>
        <v>0.36</v>
      </c>
      <c r="AA87" s="37"/>
      <c r="AB87" s="54"/>
    </row>
    <row r="88" spans="2:28" ht="17" x14ac:dyDescent="0.2">
      <c r="B88" s="46"/>
      <c r="C88" s="45"/>
      <c r="F88" s="14" t="s">
        <v>133</v>
      </c>
      <c r="H88" s="4">
        <f>H64</f>
        <v>0</v>
      </c>
      <c r="J88" s="4">
        <f>IF(H98=0,1,MIN(MAX((H98/H70-$G$17)/($G$19-$G$17), 0), 1))</f>
        <v>1</v>
      </c>
      <c r="K88" s="4">
        <f>K64</f>
        <v>0</v>
      </c>
      <c r="M88" s="4">
        <f>IF(K98=0,1,MIN(MAX((K98/K70-$G$17)/($G$19-$G$17), 0), 1))</f>
        <v>1</v>
      </c>
      <c r="N88" s="4">
        <f>N64</f>
        <v>0</v>
      </c>
      <c r="P88" s="4">
        <f>IF(N98=0,1,MIN(MAX((N98/N70-$G$17)/($G$19-$G$17), 0), 1))</f>
        <v>1</v>
      </c>
      <c r="Q88" s="4">
        <f>Q64</f>
        <v>0.01</v>
      </c>
      <c r="S88" s="4">
        <f>IF(Q98=0,1,MIN(MAX((Q98/Q70-$G$17)/($G$19-$G$17), 0), 1))</f>
        <v>1</v>
      </c>
      <c r="T88" s="4">
        <f>T64</f>
        <v>0.05</v>
      </c>
      <c r="V88" s="4">
        <f>IF(T98=0,1,MIN(MAX((T98/T70-$G$17)/($G$19-$G$17), 0), 1))</f>
        <v>1</v>
      </c>
      <c r="W88" s="4">
        <f>W64</f>
        <v>0.12</v>
      </c>
      <c r="Y88" s="4">
        <f>IF(W98=0,1,MIN(MAX((W98/W70-$G$17)/($G$19-$G$17), 0), 1))</f>
        <v>1</v>
      </c>
      <c r="Z88" s="4">
        <f>Z64</f>
        <v>0.2</v>
      </c>
      <c r="AA88" s="37"/>
      <c r="AB88" s="54"/>
    </row>
    <row r="89" spans="2:28" ht="17" x14ac:dyDescent="0.2">
      <c r="B89" s="46"/>
      <c r="C89" s="45"/>
      <c r="F89" s="14" t="s">
        <v>134</v>
      </c>
      <c r="H89" s="4">
        <f>H65</f>
        <v>0</v>
      </c>
      <c r="J89" s="4">
        <f>IF(H99=0,1,MIN(MAX((H99/H71-$G$17)/($G$19-$G$17), 0), 1))</f>
        <v>1</v>
      </c>
      <c r="K89" s="4">
        <f>K65</f>
        <v>0</v>
      </c>
      <c r="M89" s="4">
        <f>IF(K99=0,1,MIN(MAX((K99/K71-$G$17)/($G$19-$G$17), 0), 1))</f>
        <v>1</v>
      </c>
      <c r="N89" s="4">
        <f>N65</f>
        <v>0</v>
      </c>
      <c r="P89" s="4">
        <f>IF(N99=0,1,MIN(MAX((N99/N71-$G$17)/($G$19-$G$17), 0), 1))</f>
        <v>1</v>
      </c>
      <c r="Q89" s="4">
        <f>Q65</f>
        <v>0</v>
      </c>
      <c r="S89" s="4">
        <f>IF(Q99=0,1,MIN(MAX((Q99/Q71-$G$17)/($G$19-$G$17), 0), 1))</f>
        <v>1</v>
      </c>
      <c r="T89" s="4">
        <f>T65</f>
        <v>0.01</v>
      </c>
      <c r="V89" s="4">
        <f>IF(T99=0,1,MIN(MAX((T99/T71-$G$17)/($G$19-$G$17), 0), 1))</f>
        <v>1</v>
      </c>
      <c r="W89" s="4">
        <f>W65</f>
        <v>0.05</v>
      </c>
      <c r="Y89" s="4">
        <f>IF(W99=0,1,MIN(MAX((W99/W71-$G$17)/($G$19-$G$17), 0), 1))</f>
        <v>1</v>
      </c>
      <c r="Z89" s="4">
        <f>Z65</f>
        <v>0.12</v>
      </c>
      <c r="AA89" s="37"/>
      <c r="AB89" s="54"/>
    </row>
    <row r="90" spans="2:28" x14ac:dyDescent="0.2">
      <c r="F90" s="14"/>
      <c r="AB90" s="54"/>
    </row>
    <row r="91" spans="2:28" ht="17" x14ac:dyDescent="0.2">
      <c r="B91" s="46" t="s">
        <v>203</v>
      </c>
      <c r="C91" s="45" t="s">
        <v>174</v>
      </c>
      <c r="F91" s="14" t="s">
        <v>204</v>
      </c>
      <c r="H91" s="4">
        <f>H57*H33</f>
        <v>0</v>
      </c>
      <c r="K91" s="4">
        <f>(H96-K80-K43)*$G$30</f>
        <v>0</v>
      </c>
      <c r="N91" s="4">
        <f>(K96-N80-N43)*$G$30</f>
        <v>1.3345E-3</v>
      </c>
      <c r="Q91" s="4">
        <f>(N96-Q80-Q43)*$G$30</f>
        <v>8.0049048349999999E-3</v>
      </c>
      <c r="T91" s="4">
        <f>(Q96-T80-T43)*$G$30</f>
        <v>2.4006337134409049E-2</v>
      </c>
      <c r="W91" s="4">
        <f>(T96-W80-W43)*$G$30</f>
        <v>5.0658647185108027E-2</v>
      </c>
      <c r="Z91" s="4">
        <f>(W96-Z80-Z43)*$G$30</f>
        <v>9.8621113109027395E-2</v>
      </c>
      <c r="AA91" s="37"/>
      <c r="AB91" s="54"/>
    </row>
    <row r="92" spans="2:28" ht="17" x14ac:dyDescent="0.2">
      <c r="B92" s="46"/>
      <c r="C92" s="45"/>
      <c r="F92" s="14" t="s">
        <v>205</v>
      </c>
      <c r="H92" s="4">
        <f>H58*H34</f>
        <v>0</v>
      </c>
      <c r="K92" s="4">
        <f>(H97-K81-K44)*$G$30</f>
        <v>0</v>
      </c>
      <c r="N92" s="4">
        <f>(K97-N81-N44)*$G$30</f>
        <v>0</v>
      </c>
      <c r="Q92" s="4">
        <f>(N97-Q81-Q44)*$G$30</f>
        <v>1.2560000000000002E-3</v>
      </c>
      <c r="T92" s="4">
        <f>(Q97-T81-T44)*$G$30</f>
        <v>7.5340280800000005E-3</v>
      </c>
      <c r="W92" s="4">
        <f>(T97-W81-W44)*$G$30</f>
        <v>2.2594199655914398E-2</v>
      </c>
      <c r="Z92" s="4">
        <f>(W97-Z81-Z44)*$G$30</f>
        <v>4.7678726762454618E-2</v>
      </c>
      <c r="AA92" s="37"/>
      <c r="AB92" s="54"/>
    </row>
    <row r="93" spans="2:28" ht="17" x14ac:dyDescent="0.2">
      <c r="B93" s="46"/>
      <c r="C93" s="45"/>
      <c r="F93" s="14" t="s">
        <v>206</v>
      </c>
      <c r="H93" s="4">
        <f>H59*H35</f>
        <v>0</v>
      </c>
      <c r="K93" s="4">
        <f>(H98-K82-K45)*$G$30</f>
        <v>0</v>
      </c>
      <c r="N93" s="4">
        <f>(K98-N82-N45)*$G$30</f>
        <v>0</v>
      </c>
      <c r="Q93" s="4">
        <f>(N98-Q82-Q45)*$G$30</f>
        <v>0</v>
      </c>
      <c r="T93" s="4">
        <f>(Q98-T82-T45)*$G$30</f>
        <v>1.4444E-3</v>
      </c>
      <c r="W93" s="4">
        <f>(T98-W82-W45)*$G$30</f>
        <v>8.664132292000002E-3</v>
      </c>
      <c r="Z93" s="4">
        <f>(W98-Z82-Z45)*$G$30</f>
        <v>2.5983329604301563E-2</v>
      </c>
      <c r="AA93" s="37"/>
      <c r="AB93" s="54"/>
    </row>
    <row r="94" spans="2:28" ht="17" x14ac:dyDescent="0.2">
      <c r="B94" s="46"/>
      <c r="C94" s="45"/>
      <c r="F94" s="14" t="s">
        <v>207</v>
      </c>
      <c r="H94" s="4">
        <f>H60*H36</f>
        <v>0</v>
      </c>
      <c r="K94" s="4">
        <f>(H99-K83-K46)*$G$30</f>
        <v>0</v>
      </c>
      <c r="N94" s="4">
        <f>(K99-N83-N46)*$G$30</f>
        <v>0</v>
      </c>
      <c r="Q94" s="4">
        <f>(N99-Q83-Q46)*$G$30</f>
        <v>0</v>
      </c>
      <c r="T94" s="4">
        <f>(Q99-T83-T46)*$G$30</f>
        <v>0</v>
      </c>
      <c r="W94" s="4">
        <f>(T99-W83-W46)*$G$30</f>
        <v>6.7509999999999998E-4</v>
      </c>
      <c r="Z94" s="4">
        <f>(W99-Z83-Z46)*$G$30</f>
        <v>4.049540093E-3</v>
      </c>
      <c r="AA94" s="37"/>
      <c r="AB94" s="54"/>
    </row>
    <row r="95" spans="2:28" x14ac:dyDescent="0.2">
      <c r="F95" s="14"/>
      <c r="AB95" s="54"/>
    </row>
    <row r="96" spans="2:28" ht="17" x14ac:dyDescent="0.2">
      <c r="B96" s="46" t="s">
        <v>208</v>
      </c>
      <c r="C96" s="45" t="s">
        <v>174</v>
      </c>
      <c r="F96" s="14" t="s">
        <v>70</v>
      </c>
      <c r="H96" s="4">
        <f>H62*H38</f>
        <v>0</v>
      </c>
      <c r="K96" s="4">
        <f>H96 - K80 - K91 - K43 + K38*K86</f>
        <v>0.85</v>
      </c>
      <c r="N96" s="4">
        <f>K96 - N80 - N91 - N43 + N38*N86</f>
        <v>5.0986655000000001</v>
      </c>
      <c r="Q96" s="4">
        <f>N96 - Q80 - Q91 - Q43 + Q38*Q86</f>
        <v>15.290660595164999</v>
      </c>
      <c r="T96" s="4">
        <f>Q96 - T80 - T91 - T43 + T38*T86</f>
        <v>32.266654258030592</v>
      </c>
      <c r="W96" s="4">
        <f>T96 - W80 - W91 - W43 + W38*W86</f>
        <v>62.815995610845476</v>
      </c>
      <c r="Z96" s="4">
        <f>W96 - Z80 - Z91 - Z43 + Z38*Z86</f>
        <v>113.71737449773644</v>
      </c>
      <c r="AA96" s="37"/>
      <c r="AB96" s="54"/>
    </row>
    <row r="97" spans="2:28" ht="17" x14ac:dyDescent="0.2">
      <c r="B97" s="46"/>
      <c r="C97" s="45"/>
      <c r="F97" s="14" t="s">
        <v>71</v>
      </c>
      <c r="H97" s="4">
        <f>H63*H39</f>
        <v>0</v>
      </c>
      <c r="K97" s="4">
        <f>H97 - K81 - K92 - K44 + K39*K87</f>
        <v>0</v>
      </c>
      <c r="N97" s="4">
        <f>K97 - N81 - N92 - N44 + N39*N87</f>
        <v>0.8</v>
      </c>
      <c r="Q97" s="4">
        <f>N97 - Q81 - Q92 - Q44 + Q39*Q87</f>
        <v>4.7987440000000001</v>
      </c>
      <c r="T97" s="4">
        <f>Q97 - T81 - T92 - T44 + T39*T87</f>
        <v>14.391209971919999</v>
      </c>
      <c r="W97" s="4">
        <f>T97 - W81 - W92 - W44 + W39*W87</f>
        <v>30.368615772264086</v>
      </c>
      <c r="Z97" s="4">
        <f>W97 - Z81 - Z92 - Z44 + Z39*Z87</f>
        <v>59.120937045501627</v>
      </c>
      <c r="AA97" s="37"/>
      <c r="AB97" s="54"/>
    </row>
    <row r="98" spans="2:28" ht="17" x14ac:dyDescent="0.2">
      <c r="B98" s="46"/>
      <c r="C98" s="45"/>
      <c r="F98" s="14" t="s">
        <v>72</v>
      </c>
      <c r="H98" s="4">
        <f>H64*H40</f>
        <v>0</v>
      </c>
      <c r="K98" s="4">
        <f>H98 - K82 - K93 - K45 + K40*K88</f>
        <v>0</v>
      </c>
      <c r="N98" s="4">
        <f>K98 - N82 - N93 - N45 + N40*N88</f>
        <v>0</v>
      </c>
      <c r="Q98" s="4">
        <f>N98 - Q82 - Q93 - Q45 + Q40*Q88</f>
        <v>0.92</v>
      </c>
      <c r="T98" s="4">
        <f>Q98 - T82 - T93 - T45 + T40*T88</f>
        <v>5.5185556000000009</v>
      </c>
      <c r="W98" s="4">
        <f>T98 - W82 - W93 - W45 + W40*W88</f>
        <v>16.549891467708001</v>
      </c>
      <c r="Z98" s="4">
        <f>W98 - Z82 - Z93 - Z45 + Z40*Z88</f>
        <v>34.923908138103698</v>
      </c>
      <c r="AA98" s="37"/>
      <c r="AB98" s="54"/>
    </row>
    <row r="99" spans="2:28" ht="17" customHeight="1" x14ac:dyDescent="0.2">
      <c r="B99" s="46"/>
      <c r="C99" s="45"/>
      <c r="F99" s="14" t="s">
        <v>81</v>
      </c>
      <c r="H99" s="4">
        <f>H65*H41</f>
        <v>0</v>
      </c>
      <c r="K99" s="4">
        <f>H99 - K83 - K94 - K46 + K41*K89</f>
        <v>0</v>
      </c>
      <c r="N99" s="4">
        <f>K99 - N83 - N94 - N46 + N41*N89</f>
        <v>0</v>
      </c>
      <c r="Q99" s="4">
        <f>N99 - Q83 - Q94 - Q46 + Q41*Q89</f>
        <v>0</v>
      </c>
      <c r="T99" s="4">
        <f>Q99 - T83 - T94 - T46 + T41*T89</f>
        <v>0.43</v>
      </c>
      <c r="W99" s="4">
        <f>T99 - W83 - W94 - W46 + W41*W89</f>
        <v>2.5793249</v>
      </c>
      <c r="Z99" s="4">
        <f>W99 - Z83 - Z94 - Z46 + Z41*Z89</f>
        <v>7.7352753599069999</v>
      </c>
      <c r="AA99" s="37"/>
      <c r="AB99" s="54"/>
    </row>
    <row r="100" spans="2:28" x14ac:dyDescent="0.2">
      <c r="E100" s="26"/>
      <c r="F100" s="14"/>
      <c r="AB100" s="54"/>
    </row>
    <row r="101" spans="2:28" ht="17" x14ac:dyDescent="0.2">
      <c r="B101" s="46" t="s">
        <v>209</v>
      </c>
      <c r="C101" s="45" t="s">
        <v>174</v>
      </c>
      <c r="E101" s="26"/>
      <c r="F101" s="14" t="s">
        <v>210</v>
      </c>
      <c r="H101" s="4">
        <f>H96*$H$21</f>
        <v>0</v>
      </c>
      <c r="K101" s="4">
        <f>K96*$H$21</f>
        <v>0.21249999999999999</v>
      </c>
      <c r="N101" s="4">
        <f>N96*$H$21</f>
        <v>1.274666375</v>
      </c>
      <c r="Q101" s="4">
        <f>Q96*$H$21</f>
        <v>3.8226651487912497</v>
      </c>
      <c r="T101" s="4">
        <f>T96*$H$21</f>
        <v>8.0666635645076479</v>
      </c>
      <c r="W101" s="4">
        <f>W96*$H$21</f>
        <v>15.703998902711369</v>
      </c>
      <c r="Z101" s="4">
        <f>Z96*$H$21</f>
        <v>28.429343624434111</v>
      </c>
      <c r="AA101" s="37"/>
      <c r="AB101" s="54"/>
    </row>
    <row r="102" spans="2:28" ht="17" x14ac:dyDescent="0.2">
      <c r="B102" s="46"/>
      <c r="C102" s="45"/>
      <c r="E102" s="26"/>
      <c r="F102" s="14" t="s">
        <v>211</v>
      </c>
      <c r="H102" s="4">
        <f t="shared" ref="H102:H104" si="9">H97*$H$21</f>
        <v>0</v>
      </c>
      <c r="K102" s="4">
        <f t="shared" ref="K102:K104" si="10">K97*$H$21</f>
        <v>0</v>
      </c>
      <c r="N102" s="4">
        <f t="shared" ref="N102:N104" si="11">N97*$H$21</f>
        <v>0.2</v>
      </c>
      <c r="Q102" s="4">
        <f t="shared" ref="Q102:Q104" si="12">Q97*$H$21</f>
        <v>1.199686</v>
      </c>
      <c r="T102" s="4">
        <f t="shared" ref="T102:T104" si="13">T97*$H$21</f>
        <v>3.5978024929799997</v>
      </c>
      <c r="W102" s="4">
        <f t="shared" ref="W102:W104" si="14">W97*$H$21</f>
        <v>7.5921539430660214</v>
      </c>
      <c r="Z102" s="4">
        <f t="shared" ref="Z102:Z104" si="15">Z97*$H$21</f>
        <v>14.780234261375407</v>
      </c>
      <c r="AA102" s="37"/>
      <c r="AB102" s="54"/>
    </row>
    <row r="103" spans="2:28" ht="17" x14ac:dyDescent="0.2">
      <c r="B103" s="46"/>
      <c r="C103" s="45"/>
      <c r="E103" s="26"/>
      <c r="F103" s="14" t="s">
        <v>212</v>
      </c>
      <c r="H103" s="4">
        <f>H98*$H$21</f>
        <v>0</v>
      </c>
      <c r="K103" s="4">
        <f>K98*$H$21</f>
        <v>0</v>
      </c>
      <c r="N103" s="4">
        <f>N98*$H$21</f>
        <v>0</v>
      </c>
      <c r="Q103" s="4">
        <f>Q98*$H$21</f>
        <v>0.23</v>
      </c>
      <c r="T103" s="4">
        <f>T98*$H$21</f>
        <v>1.3796389000000002</v>
      </c>
      <c r="W103" s="4">
        <f>W98*$H$21</f>
        <v>4.1374728669270002</v>
      </c>
      <c r="Z103" s="4">
        <f>Z98*$H$21</f>
        <v>8.7309770345259246</v>
      </c>
      <c r="AA103" s="37"/>
      <c r="AB103" s="54"/>
    </row>
    <row r="104" spans="2:28" ht="17" x14ac:dyDescent="0.2">
      <c r="B104" s="46"/>
      <c r="C104" s="45"/>
      <c r="E104" s="26"/>
      <c r="F104" s="14" t="s">
        <v>213</v>
      </c>
      <c r="H104" s="4">
        <f t="shared" si="9"/>
        <v>0</v>
      </c>
      <c r="K104" s="4">
        <f t="shared" si="10"/>
        <v>0</v>
      </c>
      <c r="N104" s="4">
        <f t="shared" si="11"/>
        <v>0</v>
      </c>
      <c r="Q104" s="4">
        <f t="shared" si="12"/>
        <v>0</v>
      </c>
      <c r="T104" s="4">
        <f t="shared" si="13"/>
        <v>0.1075</v>
      </c>
      <c r="W104" s="4">
        <f t="shared" si="14"/>
        <v>0.64483122500000001</v>
      </c>
      <c r="Z104" s="4">
        <f t="shared" si="15"/>
        <v>1.93381883997675</v>
      </c>
      <c r="AA104" s="37"/>
      <c r="AB104" s="54"/>
    </row>
    <row r="105" spans="2:28" x14ac:dyDescent="0.2">
      <c r="B105" s="29"/>
      <c r="C105" s="35"/>
      <c r="E105" s="26"/>
      <c r="F105" s="14"/>
      <c r="AA105" s="29"/>
      <c r="AB105" s="54"/>
    </row>
    <row r="106" spans="2:28" x14ac:dyDescent="0.2">
      <c r="B106" s="29"/>
      <c r="C106" s="35"/>
      <c r="E106" s="26"/>
      <c r="F106" s="14"/>
      <c r="AA106" s="29"/>
      <c r="AB106" s="54"/>
    </row>
    <row r="107" spans="2:28" ht="17" x14ac:dyDescent="0.2">
      <c r="E107" s="26"/>
      <c r="F107" s="15" t="s">
        <v>140</v>
      </c>
      <c r="G107" s="8" t="s">
        <v>124</v>
      </c>
      <c r="H107" s="8"/>
      <c r="AB107" s="54"/>
    </row>
    <row r="108" spans="2:28" ht="17" x14ac:dyDescent="0.2">
      <c r="B108" s="38" t="s">
        <v>238</v>
      </c>
      <c r="C108" s="34" t="s">
        <v>181</v>
      </c>
      <c r="E108" s="26"/>
      <c r="F108" s="14" t="s">
        <v>90</v>
      </c>
      <c r="G108" s="4">
        <f>$G$29</f>
        <v>0.3</v>
      </c>
      <c r="H108" s="4">
        <f>$H$29</f>
        <v>0.92</v>
      </c>
      <c r="J108" s="4">
        <f>$G$29</f>
        <v>0.3</v>
      </c>
      <c r="K108" s="4">
        <f>$H$29</f>
        <v>0.92</v>
      </c>
      <c r="M108" s="4">
        <f>$G$29</f>
        <v>0.3</v>
      </c>
      <c r="N108" s="4">
        <f>$H$29</f>
        <v>0.92</v>
      </c>
      <c r="P108" s="4">
        <f>$G$29</f>
        <v>0.3</v>
      </c>
      <c r="Q108" s="4">
        <f>$H$29</f>
        <v>0.92</v>
      </c>
      <c r="S108" s="4">
        <f>$G$29</f>
        <v>0.3</v>
      </c>
      <c r="T108" s="4">
        <f>$H$29</f>
        <v>0.92</v>
      </c>
      <c r="V108" s="4">
        <f>$G$29</f>
        <v>0.3</v>
      </c>
      <c r="W108" s="4">
        <f>$H$29</f>
        <v>0.92</v>
      </c>
      <c r="Y108" s="4">
        <f>$G$29</f>
        <v>0.3</v>
      </c>
      <c r="Z108" s="4">
        <f>$H$29</f>
        <v>0.92</v>
      </c>
      <c r="AA108" s="38"/>
      <c r="AB108" s="54"/>
    </row>
    <row r="109" spans="2:28" ht="17" x14ac:dyDescent="0.2">
      <c r="B109" s="38" t="s">
        <v>239</v>
      </c>
      <c r="C109" s="28" t="s">
        <v>174</v>
      </c>
      <c r="F109" s="14" t="s">
        <v>141</v>
      </c>
      <c r="G109" s="4">
        <f>G7*$G$20</f>
        <v>1500000</v>
      </c>
      <c r="H109" s="4">
        <f>H7*$H$20</f>
        <v>25000000</v>
      </c>
      <c r="J109" s="4">
        <f>J7*$G$20</f>
        <v>1492500</v>
      </c>
      <c r="K109" s="4">
        <f>K7*$H$20</f>
        <v>24990000</v>
      </c>
      <c r="M109" s="4">
        <f>M7*$G$20</f>
        <v>1483200</v>
      </c>
      <c r="N109" s="4">
        <f>N7*$H$20</f>
        <v>24979000</v>
      </c>
      <c r="P109" s="4">
        <f>P7*$G$20</f>
        <v>1474500</v>
      </c>
      <c r="Q109" s="4">
        <f>Q7*$H$20</f>
        <v>24969600</v>
      </c>
      <c r="S109" s="4">
        <f>S7*$G$20</f>
        <v>1464000</v>
      </c>
      <c r="T109" s="4">
        <f>T7*$H$20</f>
        <v>24950400</v>
      </c>
      <c r="V109" s="4">
        <f>V7*$G$20</f>
        <v>1449000</v>
      </c>
      <c r="W109" s="4">
        <f>W7*$H$20</f>
        <v>24946500</v>
      </c>
      <c r="Y109" s="4">
        <f>Y7*$G$20</f>
        <v>1434300</v>
      </c>
      <c r="Z109" s="4">
        <f>Z7*$H$20</f>
        <v>24936000</v>
      </c>
      <c r="AA109" s="38"/>
      <c r="AB109" s="54"/>
    </row>
    <row r="110" spans="2:28" ht="17" x14ac:dyDescent="0.2">
      <c r="B110" s="38" t="s">
        <v>182</v>
      </c>
      <c r="C110" s="28" t="s">
        <v>174</v>
      </c>
      <c r="F110" s="14" t="s">
        <v>164</v>
      </c>
      <c r="G110" s="4">
        <v>1</v>
      </c>
      <c r="H110" s="4">
        <v>1</v>
      </c>
      <c r="J110" s="4">
        <f>IF(G112=0,0,MIN(MAX((G112/G109-$G$17)/($G$19-$G$17), 0), 1))</f>
        <v>1</v>
      </c>
      <c r="K110" s="4">
        <f>IF(H112=0,0,MIN(MAX((H112/H109-$H$17)/($G$19-$H$17), 0), 1))</f>
        <v>1</v>
      </c>
      <c r="M110" s="4">
        <f>IF(J112=0,0,MIN(MAX((J112/J109-$G$17)/($G$19-$G$17), 0), 1))</f>
        <v>1</v>
      </c>
      <c r="N110" s="4">
        <f>IF(K112=0,0,MIN(MAX((K112/K109-$H$17)/($G$19-$H$17), 0), 1))</f>
        <v>1</v>
      </c>
      <c r="P110" s="4">
        <f>IF(M112=0,0,MIN(MAX((M112/M109-$G$17)/($G$19-$G$17), 0), 1))</f>
        <v>1</v>
      </c>
      <c r="Q110" s="4">
        <f>IF(N112=0,0,MIN(MAX((N112/N109-$H$17)/($G$19-$H$17), 0), 1))</f>
        <v>1</v>
      </c>
      <c r="S110" s="4">
        <f>IF(P112=0,0,MIN(MAX((P112/P109-$G$17)/($G$19-$G$17), 0), 1))</f>
        <v>1</v>
      </c>
      <c r="T110" s="4">
        <f>IF(Q112=0,0,MIN(MAX((Q112/Q109-$H$17)/($G$19-$H$17), 0), 1))</f>
        <v>1</v>
      </c>
      <c r="V110" s="4">
        <f>IF(S112=0,0,MIN(MAX((S112/S109-$G$17)/($G$19-$G$17), 0), 1))</f>
        <v>1</v>
      </c>
      <c r="W110" s="4">
        <f>IF(T112=0,0,MIN(MAX((T112/T109-$H$17)/($G$19-$H$17), 0), 1))</f>
        <v>1</v>
      </c>
      <c r="Y110" s="4">
        <f>IF(V112=0,0,MIN(MAX((V112/V109-$G$17)/($G$19-$G$17), 0), 1))</f>
        <v>0.96349966843506474</v>
      </c>
      <c r="Z110" s="4">
        <f>IF(W112=0,0,MIN(MAX((W112/W109-$H$17)/($G$19-$H$17), 0), 1))</f>
        <v>0.86560925711218095</v>
      </c>
      <c r="AA110" s="38" t="s">
        <v>294</v>
      </c>
      <c r="AB110" s="54"/>
    </row>
    <row r="111" spans="2:28" ht="17" x14ac:dyDescent="0.2">
      <c r="B111" s="38" t="s">
        <v>183</v>
      </c>
      <c r="C111" s="33" t="s">
        <v>163</v>
      </c>
      <c r="F111" s="14" t="s">
        <v>131</v>
      </c>
      <c r="G111" s="4">
        <f>G108</f>
        <v>0.3</v>
      </c>
      <c r="H111" s="4">
        <f>H108</f>
        <v>0.92</v>
      </c>
      <c r="J111" s="4">
        <f xml:space="preserve"> J108*J110</f>
        <v>0.3</v>
      </c>
      <c r="K111" s="4">
        <f>K108*K110</f>
        <v>0.92</v>
      </c>
      <c r="M111" s="4">
        <f xml:space="preserve"> M108*M110</f>
        <v>0.3</v>
      </c>
      <c r="N111" s="4">
        <f>N108*N110</f>
        <v>0.92</v>
      </c>
      <c r="P111" s="4">
        <f xml:space="preserve"> P108*P110</f>
        <v>0.3</v>
      </c>
      <c r="Q111" s="4">
        <f>Q108*Q110</f>
        <v>0.92</v>
      </c>
      <c r="S111" s="4">
        <f xml:space="preserve"> S108*S110</f>
        <v>0.3</v>
      </c>
      <c r="T111" s="4">
        <f>T108*T110</f>
        <v>0.92</v>
      </c>
      <c r="V111" s="4">
        <f xml:space="preserve"> V108*V110</f>
        <v>0.3</v>
      </c>
      <c r="W111" s="4">
        <f>W108*W110</f>
        <v>0.92</v>
      </c>
      <c r="Y111" s="4">
        <f xml:space="preserve"> Y108*Y110</f>
        <v>0.28904990053051943</v>
      </c>
      <c r="Z111" s="4">
        <f>Z108*Z110</f>
        <v>0.7963605165432065</v>
      </c>
      <c r="AA111" s="38"/>
      <c r="AB111" s="54"/>
    </row>
    <row r="112" spans="2:28" ht="17" x14ac:dyDescent="0.2">
      <c r="B112" s="38" t="s">
        <v>240</v>
      </c>
      <c r="C112" s="33" t="s">
        <v>163</v>
      </c>
      <c r="F112" s="14" t="s">
        <v>172</v>
      </c>
      <c r="G112" s="4">
        <f>G7*G20</f>
        <v>1500000</v>
      </c>
      <c r="H112" s="4">
        <f>H7*H20</f>
        <v>25000000</v>
      </c>
      <c r="J112" s="4">
        <f>G112 - G133 - G121 - G144+J111*J7</f>
        <v>1416820.2074666857</v>
      </c>
      <c r="K112" s="4">
        <f>H112 - H133 - H121 - H144 + K111*K7</f>
        <v>23271492.408783317</v>
      </c>
      <c r="M112" s="4">
        <f>J112 - J133 - J121 - J144+M111*M7</f>
        <v>1328540.482773518</v>
      </c>
      <c r="N112" s="4">
        <f>K112 - K133 - K121 - K144 + N111*N7</f>
        <v>21500316.163346589</v>
      </c>
      <c r="P112" s="4">
        <f>M112 - M133 - M121 - M144+P111*P7</f>
        <v>1229960.5227370157</v>
      </c>
      <c r="Q112" s="4">
        <f>N112 - N133 - N121 - N144 + Q111*Q7</f>
        <v>19683424.583337996</v>
      </c>
      <c r="S112" s="4">
        <f>P112 - P133 - P121 - P144+S111*S7</f>
        <v>1102712.6301399493</v>
      </c>
      <c r="T112" s="4">
        <f>Q112 - Q133 - Q121 - Q144 + T111*T7</f>
        <v>17795064.508199312</v>
      </c>
      <c r="V112" s="4">
        <f>S112 - S133 - S121 - S144+V111*V7</f>
        <v>952878.26623738057</v>
      </c>
      <c r="W112" s="4">
        <f>T112 - T133 - T121 - T144 + W111*W7</f>
        <v>15735231.967631815</v>
      </c>
      <c r="Y112" s="4">
        <f>V112 - V133 - V121 - V144+Y111*Y7</f>
        <v>902055.81293937785</v>
      </c>
      <c r="Z112" s="4">
        <f>W112 - W133 - W121 - W144 + Z111*Z7</f>
        <v>15603395.572368858</v>
      </c>
      <c r="AA112" s="38"/>
      <c r="AB112" s="54"/>
    </row>
    <row r="113" spans="2:28" ht="17" x14ac:dyDescent="0.2">
      <c r="B113" s="38" t="s">
        <v>243</v>
      </c>
      <c r="C113" s="33" t="s">
        <v>163</v>
      </c>
      <c r="F113" s="14" t="s">
        <v>142</v>
      </c>
      <c r="G113" s="4">
        <f>G112/G7</f>
        <v>150</v>
      </c>
      <c r="H113" s="4">
        <f>H112/H7</f>
        <v>100</v>
      </c>
      <c r="J113" s="4">
        <f>J112/J7</f>
        <v>142.39399070016941</v>
      </c>
      <c r="K113" s="4">
        <f>K112/K7</f>
        <v>93.12321892270235</v>
      </c>
      <c r="M113" s="4">
        <f>M112/M7</f>
        <v>134.35886759440919</v>
      </c>
      <c r="N113" s="4">
        <f>N112/N7</f>
        <v>86.073566449203682</v>
      </c>
      <c r="P113" s="4">
        <f>P112/P7</f>
        <v>125.12314575147667</v>
      </c>
      <c r="Q113" s="4">
        <f>Q112/Q7</f>
        <v>78.82955507231992</v>
      </c>
      <c r="S113" s="4">
        <f>S112/S7</f>
        <v>112.98285144876529</v>
      </c>
      <c r="T113" s="4">
        <f>T112/T7</f>
        <v>71.321760405441637</v>
      </c>
      <c r="V113" s="4">
        <f>V112/V7</f>
        <v>98.641642467637737</v>
      </c>
      <c r="W113" s="4">
        <f>W112/W7</f>
        <v>63.075910318609083</v>
      </c>
      <c r="Y113" s="4">
        <f>Y112/Y7</f>
        <v>94.337566716103098</v>
      </c>
      <c r="Z113" s="4">
        <f>Z112/Z7</f>
        <v>62.573771143603061</v>
      </c>
      <c r="AA113" s="38"/>
      <c r="AB113" s="54"/>
    </row>
    <row r="114" spans="2:28" ht="34" x14ac:dyDescent="0.2">
      <c r="B114" s="38" t="s">
        <v>281</v>
      </c>
      <c r="C114" s="28" t="s">
        <v>174</v>
      </c>
      <c r="F114" s="10" t="s">
        <v>75</v>
      </c>
      <c r="G114" s="4">
        <f>MAX(G113-$G22,0)</f>
        <v>100.4134425</v>
      </c>
      <c r="H114" s="4">
        <f>MAX(H113-$H22,0)</f>
        <v>62.199106999999998</v>
      </c>
      <c r="J114" s="4">
        <f>MAX(J113-$G22,0)</f>
        <v>92.807433200169413</v>
      </c>
      <c r="K114" s="4">
        <f>MAX(K113-$H22,0)</f>
        <v>55.322325922702348</v>
      </c>
      <c r="M114" s="4">
        <f>MAX(M113-$G22,0)</f>
        <v>84.772310094409193</v>
      </c>
      <c r="N114" s="4">
        <f>MAX(N113-$H22,0)</f>
        <v>48.27267344920368</v>
      </c>
      <c r="P114" s="4">
        <f>MAX(P113-$G22,0)</f>
        <v>75.536588251476672</v>
      </c>
      <c r="Q114" s="4">
        <f>MAX(Q113-$H22,0)</f>
        <v>41.028662072319918</v>
      </c>
      <c r="S114" s="4">
        <f>MAX(S113-$G22,0)</f>
        <v>63.39629394876529</v>
      </c>
      <c r="T114" s="4">
        <f>MAX(T113-$H22,0)</f>
        <v>33.520867405441635</v>
      </c>
      <c r="V114" s="4">
        <f>MAX(V113-$G22,0)</f>
        <v>49.05508496763774</v>
      </c>
      <c r="W114" s="4">
        <f>MAX(W113-$H22,0)</f>
        <v>25.275017318609081</v>
      </c>
      <c r="Y114" s="4">
        <f>MAX(Y113-$G22,0)</f>
        <v>44.7510092161031</v>
      </c>
      <c r="Z114" s="4">
        <f>MAX(Z113-$H22,0)</f>
        <v>24.772878143603059</v>
      </c>
      <c r="AA114" s="38"/>
      <c r="AB114" s="54"/>
    </row>
    <row r="115" spans="2:28" x14ac:dyDescent="0.2">
      <c r="F115" s="13"/>
      <c r="AB115" s="54"/>
    </row>
    <row r="116" spans="2:28" ht="17" x14ac:dyDescent="0.2">
      <c r="F116" s="11" t="s">
        <v>58</v>
      </c>
      <c r="G116" s="12"/>
      <c r="H116" s="12"/>
      <c r="J116" s="12"/>
      <c r="K116" s="12"/>
      <c r="M116" s="12"/>
      <c r="N116" s="12"/>
      <c r="P116" s="12"/>
      <c r="Q116" s="12"/>
      <c r="S116" s="12"/>
      <c r="T116" s="12"/>
      <c r="V116" s="12"/>
      <c r="W116" s="12"/>
      <c r="Y116" s="12"/>
      <c r="Z116" s="12"/>
      <c r="AB116" s="54"/>
    </row>
    <row r="117" spans="2:28" ht="17" x14ac:dyDescent="0.2">
      <c r="B117" s="38" t="s">
        <v>245</v>
      </c>
      <c r="C117" s="34" t="s">
        <v>181</v>
      </c>
      <c r="F117" s="10" t="s">
        <v>218</v>
      </c>
      <c r="G117" s="4">
        <f>G113*G7</f>
        <v>1500000</v>
      </c>
      <c r="H117" s="4">
        <f>H113*H7</f>
        <v>25000000</v>
      </c>
      <c r="J117" s="4">
        <f>J113*J7</f>
        <v>1416820.2074666857</v>
      </c>
      <c r="K117" s="4">
        <f>K113*K7</f>
        <v>23271492.408783317</v>
      </c>
      <c r="M117" s="4">
        <f>M113*M7</f>
        <v>1328540.4827735182</v>
      </c>
      <c r="N117" s="4">
        <f>N113*N7</f>
        <v>21500316.163346589</v>
      </c>
      <c r="P117" s="4">
        <f>P113*P7</f>
        <v>1229960.5227370157</v>
      </c>
      <c r="Q117" s="4">
        <f>Q113*Q7</f>
        <v>19683424.583337996</v>
      </c>
      <c r="S117" s="4">
        <f>S113*S7</f>
        <v>1102712.6301399493</v>
      </c>
      <c r="T117" s="4">
        <f>T113*T7</f>
        <v>17795064.508199312</v>
      </c>
      <c r="V117" s="4">
        <f>V113*V7</f>
        <v>952878.26623738057</v>
      </c>
      <c r="W117" s="4">
        <f>W113*W7</f>
        <v>15735231.967631815</v>
      </c>
      <c r="Y117" s="4">
        <f>Y113*Y7</f>
        <v>902055.81293937785</v>
      </c>
      <c r="Z117" s="4">
        <f>Z113*Z7</f>
        <v>15603395.572368858</v>
      </c>
      <c r="AA117" s="38"/>
      <c r="AB117" s="54"/>
    </row>
    <row r="118" spans="2:28" ht="17" x14ac:dyDescent="0.2">
      <c r="B118" s="38" t="s">
        <v>244</v>
      </c>
      <c r="C118" s="33" t="s">
        <v>163</v>
      </c>
      <c r="F118" s="10" t="s">
        <v>217</v>
      </c>
      <c r="H118" s="4">
        <f>SUM(H96:H99)</f>
        <v>0</v>
      </c>
      <c r="K118" s="4">
        <f>SUM(K96:K99)</f>
        <v>0.85</v>
      </c>
      <c r="N118" s="4">
        <f>SUM(N96:N99)</f>
        <v>5.8986654999999999</v>
      </c>
      <c r="Q118" s="4">
        <f>SUM(Q96:Q99)</f>
        <v>21.009404595165002</v>
      </c>
      <c r="T118" s="4">
        <f>SUM(T96:T99)</f>
        <v>52.606419829950589</v>
      </c>
      <c r="W118" s="4">
        <f>SUM(W96:W99)</f>
        <v>112.31382775081757</v>
      </c>
      <c r="Z118" s="4">
        <f>SUM(Z96:Z99)</f>
        <v>215.49749504124878</v>
      </c>
      <c r="AA118" s="38"/>
      <c r="AB118" s="54"/>
    </row>
    <row r="119" spans="2:28" ht="17" x14ac:dyDescent="0.2">
      <c r="B119" s="38" t="s">
        <v>241</v>
      </c>
      <c r="C119" s="33" t="s">
        <v>163</v>
      </c>
      <c r="F119" s="10" t="s">
        <v>216</v>
      </c>
      <c r="G119" s="4">
        <f>G117+G118</f>
        <v>1500000</v>
      </c>
      <c r="H119" s="4">
        <f>H117+H118</f>
        <v>25000000</v>
      </c>
      <c r="J119" s="4">
        <f>J117+J118</f>
        <v>1416820.2074666857</v>
      </c>
      <c r="K119" s="4">
        <f>K117+K118</f>
        <v>23271493.258783318</v>
      </c>
      <c r="M119" s="4">
        <f>M117+M118</f>
        <v>1328540.4827735182</v>
      </c>
      <c r="N119" s="4">
        <f>N117+N118</f>
        <v>21500322.062012088</v>
      </c>
      <c r="P119" s="4">
        <f>P117+P118</f>
        <v>1229960.5227370157</v>
      </c>
      <c r="Q119" s="4">
        <f>Q117+Q118</f>
        <v>19683445.592742592</v>
      </c>
      <c r="S119" s="4">
        <f>S117+S118</f>
        <v>1102712.6301399493</v>
      </c>
      <c r="T119" s="4">
        <f>T117+T118</f>
        <v>17795117.114619143</v>
      </c>
      <c r="V119" s="4">
        <f>V117+V118</f>
        <v>952878.26623738057</v>
      </c>
      <c r="W119" s="4">
        <f>W117+W118</f>
        <v>15735344.281459566</v>
      </c>
      <c r="Y119" s="4">
        <f>Y117+Y118</f>
        <v>902055.81293937785</v>
      </c>
      <c r="Z119" s="4">
        <f>Z117+Z118</f>
        <v>15603611.069863901</v>
      </c>
      <c r="AA119" s="38"/>
      <c r="AB119" s="54"/>
    </row>
    <row r="120" spans="2:28" ht="17" x14ac:dyDescent="0.2">
      <c r="B120" s="38" t="s">
        <v>242</v>
      </c>
      <c r="C120" s="33" t="s">
        <v>163</v>
      </c>
      <c r="F120" s="10" t="s">
        <v>219</v>
      </c>
      <c r="G120" s="4">
        <f>G119*$G$21</f>
        <v>450000</v>
      </c>
      <c r="H120" s="4">
        <f>H119*$H$21</f>
        <v>6250000</v>
      </c>
      <c r="J120" s="4">
        <f>J119*$G$21</f>
        <v>425046.0622400057</v>
      </c>
      <c r="K120" s="4">
        <f>K119*$H$21</f>
        <v>5817873.3146958295</v>
      </c>
      <c r="M120" s="4">
        <f>M119*$G$21</f>
        <v>398562.14483205543</v>
      </c>
      <c r="N120" s="4">
        <f>N119*$H$21</f>
        <v>5375080.5155030219</v>
      </c>
      <c r="P120" s="4">
        <f>P119*$G$21</f>
        <v>368988.1568211047</v>
      </c>
      <c r="Q120" s="4">
        <f>Q119*$H$21</f>
        <v>4920861.398185648</v>
      </c>
      <c r="S120" s="4">
        <f>S119*$G$21</f>
        <v>330813.78904198477</v>
      </c>
      <c r="T120" s="4">
        <f>T119*$H$21</f>
        <v>4448779.2786547858</v>
      </c>
      <c r="V120" s="4">
        <f>V119*$G$21</f>
        <v>285863.47987121413</v>
      </c>
      <c r="W120" s="4">
        <f>W119*$H$21</f>
        <v>3933836.0703648916</v>
      </c>
      <c r="Y120" s="4">
        <f>Y119*$G$21</f>
        <v>270616.74388181337</v>
      </c>
      <c r="Z120" s="4">
        <f>Z119*$H$21</f>
        <v>3900902.7674659751</v>
      </c>
      <c r="AA120" s="38"/>
      <c r="AB120" s="54"/>
    </row>
    <row r="121" spans="2:28" ht="17" x14ac:dyDescent="0.2">
      <c r="B121" s="38" t="s">
        <v>280</v>
      </c>
      <c r="C121" s="28" t="s">
        <v>174</v>
      </c>
      <c r="F121" s="10" t="s">
        <v>268</v>
      </c>
      <c r="G121" s="4">
        <f>G9*G113</f>
        <v>7500</v>
      </c>
      <c r="H121" s="4">
        <f>H9*H113</f>
        <v>10000</v>
      </c>
      <c r="J121" s="4">
        <f>J9*J113</f>
        <v>8828.4274234105033</v>
      </c>
      <c r="K121" s="4">
        <f>K9*K113</f>
        <v>10243.554081497259</v>
      </c>
      <c r="M121" s="4">
        <f>M9*M113</f>
        <v>7792.8143204757334</v>
      </c>
      <c r="N121" s="4">
        <f>N9*N113</f>
        <v>8090.9152462251459</v>
      </c>
      <c r="P121" s="4">
        <f>P9*P113</f>
        <v>8758.6202026033661</v>
      </c>
      <c r="Q121" s="4">
        <f>Q9*Q113</f>
        <v>15135.274573885425</v>
      </c>
      <c r="S121" s="4">
        <f>S9*S113</f>
        <v>11298.285144876529</v>
      </c>
      <c r="T121" s="4">
        <f>T9*T113</f>
        <v>2781.5486558122238</v>
      </c>
      <c r="V121" s="4">
        <f>V9*V113</f>
        <v>9666.8809618284977</v>
      </c>
      <c r="W121" s="4">
        <f>W9*W113</f>
        <v>6622.9705834539536</v>
      </c>
      <c r="Y121" s="4">
        <f>Y9*Y113</f>
        <v>9245.0815381781031</v>
      </c>
      <c r="Z121" s="4">
        <f>Z9*Z113</f>
        <v>7258.5574526579549</v>
      </c>
      <c r="AA121" s="38"/>
      <c r="AB121" s="54"/>
    </row>
    <row r="122" spans="2:28" ht="17" x14ac:dyDescent="0.2">
      <c r="B122" s="38" t="s">
        <v>264</v>
      </c>
      <c r="C122" s="28" t="s">
        <v>174</v>
      </c>
      <c r="F122" s="10" t="s">
        <v>269</v>
      </c>
      <c r="G122" s="4">
        <f>MIN(G121,G9*G15)</f>
        <v>250</v>
      </c>
      <c r="H122" s="4">
        <f>MIN(H121,H9*H15)</f>
        <v>1000</v>
      </c>
      <c r="J122" s="4">
        <f>MIN(J121,J9*J15)</f>
        <v>316.2</v>
      </c>
      <c r="K122" s="4">
        <f>MIN(K121,K9*K15)</f>
        <v>1078</v>
      </c>
      <c r="M122" s="4">
        <f>MIN(M121,M9*M15)</f>
        <v>301.60000000000002</v>
      </c>
      <c r="N122" s="4">
        <f>MIN(N121,N9*N15)</f>
        <v>921.2</v>
      </c>
      <c r="P122" s="4">
        <f>MIN(P121,P9*P15)</f>
        <v>329</v>
      </c>
      <c r="Q122" s="4">
        <f>MIN(Q121,Q9*Q15)</f>
        <v>1900.8000000000002</v>
      </c>
      <c r="S122" s="4">
        <f>MIN(S121,S9*S15)</f>
        <v>520</v>
      </c>
      <c r="T122" s="4">
        <f>MIN(T121,T9*T15)</f>
        <v>393.9</v>
      </c>
      <c r="V122" s="4">
        <f>MIN(V121,V9*V15)</f>
        <v>401.79999999999995</v>
      </c>
      <c r="W122" s="4">
        <f>MIN(W121,W9*W15)</f>
        <v>1155</v>
      </c>
      <c r="Y122" s="4">
        <f>MIN(Y121,Y9*Y15)</f>
        <v>499.79999999999995</v>
      </c>
      <c r="Z122" s="4">
        <f>MIN(Z121,Z9*Z15)</f>
        <v>1044</v>
      </c>
      <c r="AA122" s="38"/>
      <c r="AB122" s="54"/>
    </row>
    <row r="123" spans="2:28" ht="17" x14ac:dyDescent="0.2">
      <c r="B123" s="38" t="s">
        <v>282</v>
      </c>
      <c r="C123" s="28" t="s">
        <v>174</v>
      </c>
      <c r="F123" s="10" t="s">
        <v>256</v>
      </c>
      <c r="G123" s="4">
        <f>(G121-G122)*$G$14</f>
        <v>5075</v>
      </c>
      <c r="H123" s="4">
        <f>(H121-H122+H54)*$G$14</f>
        <v>6300</v>
      </c>
      <c r="J123" s="4">
        <f>(J121-J122)*$G$14</f>
        <v>5958.5591963873512</v>
      </c>
      <c r="K123" s="4">
        <f>(K121-K122+K54)*$G$14</f>
        <v>6415.8878570480811</v>
      </c>
      <c r="M123" s="4">
        <f>(M121-M122)*$G$14</f>
        <v>5243.8500243330127</v>
      </c>
      <c r="N123" s="4">
        <f>(N121-N122+N54)*$G$14</f>
        <v>5018.8006723576018</v>
      </c>
      <c r="P123" s="4">
        <f>(P121-P122)*$G$14</f>
        <v>5900.7341418223559</v>
      </c>
      <c r="Q123" s="4">
        <f>(Q121-Q122+Q54)*$G$14</f>
        <v>9264.1322017197963</v>
      </c>
      <c r="S123" s="4">
        <f>(S121-S122)*$G$14</f>
        <v>7544.7996014135697</v>
      </c>
      <c r="T123" s="4">
        <f>(T121-T122+T54)*$G$14</f>
        <v>1671.3540590685566</v>
      </c>
      <c r="V123" s="4">
        <f>(V121-V122)*$G$14</f>
        <v>6485.5566732799489</v>
      </c>
      <c r="W123" s="4">
        <f>(W121-W122+W54)*$G$14</f>
        <v>3827.5794084177674</v>
      </c>
      <c r="Y123" s="4">
        <f>(Y121-Y122)*$G$14</f>
        <v>6121.6970767246721</v>
      </c>
      <c r="Z123" s="4">
        <f>(Z121-Z122+Z54)*$G$14</f>
        <v>4350.1902168605684</v>
      </c>
      <c r="AA123" s="38"/>
      <c r="AB123" s="54"/>
    </row>
    <row r="124" spans="2:28" ht="17" x14ac:dyDescent="0.2">
      <c r="B124" s="38" t="s">
        <v>257</v>
      </c>
      <c r="C124" s="33" t="s">
        <v>163</v>
      </c>
      <c r="F124" s="14" t="s">
        <v>254</v>
      </c>
      <c r="G124" s="4">
        <f>MIN(G123+H123, G33)</f>
        <v>11375</v>
      </c>
      <c r="J124" s="4">
        <f>MIN(J123+K123, J33)</f>
        <v>12374.447053435433</v>
      </c>
      <c r="M124" s="4">
        <f>MIN(M123+N123, M33)</f>
        <v>10262.650696690614</v>
      </c>
      <c r="P124" s="4">
        <f>MIN(P123+Q123, P33)</f>
        <v>15164.866343542151</v>
      </c>
      <c r="S124" s="4">
        <f>MIN(S123+T123, S33)</f>
        <v>9216.1536604821267</v>
      </c>
      <c r="V124" s="4">
        <f>MIN(V123+W123, V33)</f>
        <v>10313.136081697716</v>
      </c>
      <c r="Y124" s="4">
        <f>MIN(Y123+Z123, Y33)</f>
        <v>10471.887293585241</v>
      </c>
      <c r="AA124" s="38"/>
      <c r="AB124" s="54"/>
    </row>
    <row r="125" spans="2:28" ht="17" x14ac:dyDescent="0.2">
      <c r="B125" s="38" t="s">
        <v>258</v>
      </c>
      <c r="C125" s="28" t="s">
        <v>174</v>
      </c>
      <c r="F125" s="14" t="s">
        <v>270</v>
      </c>
      <c r="G125" s="4">
        <f>G123/(G123+H123)</f>
        <v>0.44615384615384618</v>
      </c>
      <c r="H125" s="4">
        <f>H123/(G123+H123)</f>
        <v>0.55384615384615388</v>
      </c>
      <c r="J125" s="4">
        <f>J123/(J123+K123)</f>
        <v>0.48152124863899409</v>
      </c>
      <c r="K125" s="4">
        <f>K123/(J123+K123)</f>
        <v>0.51847875136100585</v>
      </c>
      <c r="M125" s="4">
        <f>M123/(M123+N123)</f>
        <v>0.51096448464566679</v>
      </c>
      <c r="N125" s="4">
        <f>N123/(M123+N123)</f>
        <v>0.48903551535433326</v>
      </c>
      <c r="P125" s="4">
        <f>P123/(P123+Q123)</f>
        <v>0.38910558181972643</v>
      </c>
      <c r="Q125" s="4">
        <f>Q123/(P123+Q123)</f>
        <v>0.61089441818027368</v>
      </c>
      <c r="S125" s="4">
        <f>S123/(S123+T123)</f>
        <v>0.81864950166411143</v>
      </c>
      <c r="T125" s="4">
        <f>T123/(S123+T123)</f>
        <v>0.18135049833588848</v>
      </c>
      <c r="V125" s="4">
        <f>V123/(V123+W123)</f>
        <v>0.62886367656775044</v>
      </c>
      <c r="W125" s="4">
        <f>W123/(V123+W123)</f>
        <v>0.37113632343224967</v>
      </c>
      <c r="Y125" s="4">
        <f>Y123/(Y123+Z123)</f>
        <v>0.58458393459549907</v>
      </c>
      <c r="Z125" s="4">
        <f>Z123/(Y123+Z123)</f>
        <v>0.41541606540450088</v>
      </c>
      <c r="AA125" s="38"/>
      <c r="AB125" s="54"/>
    </row>
    <row r="126" spans="2:28" ht="34" x14ac:dyDescent="0.2">
      <c r="B126" s="38" t="s">
        <v>184</v>
      </c>
      <c r="C126" s="28" t="s">
        <v>174</v>
      </c>
      <c r="F126" s="10" t="s">
        <v>121</v>
      </c>
      <c r="G126" s="4">
        <f>MAX(G13-G27, 0)*G114</f>
        <v>497046.54037499998</v>
      </c>
      <c r="H126" s="4">
        <f>MAX(H13-H27, 0)*H114</f>
        <v>12433601.4893</v>
      </c>
      <c r="J126" s="4">
        <f>MAX(J13-J27, 0)*J114</f>
        <v>453642.73348242807</v>
      </c>
      <c r="K126" s="4">
        <f>MAX(K13-K27, 0)*K114</f>
        <v>11052847.496096702</v>
      </c>
      <c r="M126" s="4">
        <f>MAX(M13-M27, 0)*M114</f>
        <v>367064.10270879179</v>
      </c>
      <c r="N126" s="4">
        <f>MAX(N13-N27, 0)*N114</f>
        <v>9639859.7971121781</v>
      </c>
      <c r="P126" s="4">
        <f>MAX(P13-P27, 0)*P114</f>
        <v>284017.57182555227</v>
      </c>
      <c r="Q126" s="4">
        <f>MAX(Q13-Q27, 0)*Q114</f>
        <v>8185382.1980761131</v>
      </c>
      <c r="S126" s="4">
        <f>MAX(S13-S27, 0)*S114</f>
        <v>200332.2888780983</v>
      </c>
      <c r="T126" s="4">
        <f>MAX(T13-T27, 0)*T114</f>
        <v>6719760.6844318574</v>
      </c>
      <c r="V126" s="4">
        <f>MAX(V13-V27, 0)*V114</f>
        <v>115868.11069356035</v>
      </c>
      <c r="W126" s="4">
        <f>MAX(W13-W27, 0)*W114</f>
        <v>5051464.9612972112</v>
      </c>
      <c r="Y126" s="4">
        <f>MAX(Y13-Y27, 0)*Y114</f>
        <v>101316.28486525742</v>
      </c>
      <c r="Z126" s="4">
        <f>MAX(Z13-Z27, 0)*Z114</f>
        <v>4948233.7719158493</v>
      </c>
      <c r="AA126" s="38"/>
      <c r="AB126" s="54"/>
    </row>
    <row r="127" spans="2:28" x14ac:dyDescent="0.2">
      <c r="AB127" s="54"/>
    </row>
    <row r="128" spans="2:28" ht="17" x14ac:dyDescent="0.2">
      <c r="F128" s="15" t="s">
        <v>73</v>
      </c>
      <c r="G128" s="8"/>
      <c r="H128" s="8"/>
      <c r="J128" s="8"/>
      <c r="K128" s="8"/>
      <c r="M128" s="8"/>
      <c r="N128" s="8"/>
      <c r="P128" s="8"/>
      <c r="Q128" s="8"/>
      <c r="S128" s="8"/>
      <c r="T128" s="8"/>
      <c r="V128" s="8"/>
      <c r="W128" s="8"/>
      <c r="Y128" s="8"/>
      <c r="Z128" s="8"/>
      <c r="AB128" s="54"/>
    </row>
    <row r="129" spans="1:30" ht="17" x14ac:dyDescent="0.2">
      <c r="B129" s="38" t="s">
        <v>259</v>
      </c>
      <c r="C129" s="28" t="s">
        <v>174</v>
      </c>
      <c r="F129" s="14" t="s">
        <v>261</v>
      </c>
      <c r="G129" s="4">
        <f>MAX(G33-G124,0)</f>
        <v>1988625</v>
      </c>
      <c r="J129" s="4">
        <f>MAX(J33-J124,0)</f>
        <v>2037625.5529465645</v>
      </c>
      <c r="M129" s="4">
        <f>MAX(M33-M124,0)</f>
        <v>2099737.3493033093</v>
      </c>
      <c r="P129" s="4">
        <f>MAX(P33-P124,0)</f>
        <v>2194835.133656458</v>
      </c>
      <c r="S129" s="4">
        <f>MAX(S33-S124,0)</f>
        <v>2990783.8463395177</v>
      </c>
      <c r="V129" s="4">
        <f>MAX(V33-V124,0)</f>
        <v>24989686.863918301</v>
      </c>
      <c r="Y129" s="4">
        <f>MAX(Y33-Y124,0)</f>
        <v>2509528.1127064149</v>
      </c>
      <c r="AA129" s="38"/>
      <c r="AB129" s="54"/>
    </row>
    <row r="130" spans="1:30" ht="17" x14ac:dyDescent="0.2">
      <c r="B130" s="38" t="s">
        <v>260</v>
      </c>
      <c r="C130" s="28" t="s">
        <v>174</v>
      </c>
      <c r="F130" s="10" t="s">
        <v>165</v>
      </c>
      <c r="G130" s="4">
        <f>MIN(G140,G129)</f>
        <v>1988625</v>
      </c>
      <c r="J130" s="4">
        <f>MIN(J140,J129)</f>
        <v>2037625.5529465645</v>
      </c>
      <c r="M130" s="4">
        <f>MIN(M140,M129)</f>
        <v>2099737.3493033093</v>
      </c>
      <c r="P130" s="4">
        <f>MIN(P140,P129)</f>
        <v>2194835.133656458</v>
      </c>
      <c r="S130" s="4">
        <f>MIN(S140,S129)</f>
        <v>2402116.7562237582</v>
      </c>
      <c r="V130" s="4">
        <f>MIN(V140,V129)</f>
        <v>342075.56862017012</v>
      </c>
      <c r="Y130" s="4">
        <f>MIN(Y140,Y129)</f>
        <v>236958.69160889552</v>
      </c>
      <c r="AA130" s="38"/>
      <c r="AB130" s="54"/>
    </row>
    <row r="131" spans="1:30" ht="17" x14ac:dyDescent="0.2">
      <c r="B131" s="38" t="s">
        <v>271</v>
      </c>
      <c r="C131" s="28" t="s">
        <v>174</v>
      </c>
      <c r="F131" s="10" t="s">
        <v>123</v>
      </c>
      <c r="G131" s="4">
        <f>G129-G130</f>
        <v>0</v>
      </c>
      <c r="J131" s="4">
        <f>J129-J130</f>
        <v>0</v>
      </c>
      <c r="M131" s="4">
        <f>M129-M130</f>
        <v>0</v>
      </c>
      <c r="P131" s="4">
        <f>P129-P130</f>
        <v>0</v>
      </c>
      <c r="S131" s="4">
        <f>S129-S130</f>
        <v>588667.09011575952</v>
      </c>
      <c r="V131" s="4">
        <f>V129-V130</f>
        <v>24647611.295298129</v>
      </c>
      <c r="Y131" s="4">
        <f>Y129-Y130</f>
        <v>2272569.4210975193</v>
      </c>
      <c r="AA131" s="38"/>
      <c r="AB131" s="54"/>
    </row>
    <row r="132" spans="1:30" ht="17" x14ac:dyDescent="0.2">
      <c r="B132" s="38" t="s">
        <v>215</v>
      </c>
      <c r="C132" s="28" t="s">
        <v>174</v>
      </c>
      <c r="F132" s="10" t="s">
        <v>146</v>
      </c>
      <c r="G132" s="4">
        <f>MIN(G131,H77)</f>
        <v>0</v>
      </c>
      <c r="J132" s="4">
        <f>MIN(J131,K77)</f>
        <v>0</v>
      </c>
      <c r="M132" s="4">
        <f>MIN(M131,N77)</f>
        <v>0</v>
      </c>
      <c r="P132" s="4">
        <f>MIN(P131,Q77)</f>
        <v>0</v>
      </c>
      <c r="S132" s="4">
        <f>MIN(S131,T77)</f>
        <v>0</v>
      </c>
      <c r="V132" s="4">
        <f>MIN(V131,W77)</f>
        <v>0</v>
      </c>
      <c r="Y132" s="4">
        <f>MIN(Y131,Z77)</f>
        <v>0</v>
      </c>
      <c r="AA132" s="38"/>
      <c r="AB132" s="54"/>
    </row>
    <row r="133" spans="1:30" ht="17" x14ac:dyDescent="0.2">
      <c r="B133" s="38" t="s">
        <v>267</v>
      </c>
      <c r="C133" s="28" t="s">
        <v>174</v>
      </c>
      <c r="F133" s="10" t="s">
        <v>120</v>
      </c>
      <c r="G133" s="4">
        <f>G141*G130</f>
        <v>76441.580815194291</v>
      </c>
      <c r="H133" s="4">
        <f>H141*G130</f>
        <v>1912183.4191848056</v>
      </c>
      <c r="J133" s="4">
        <f>J141*J130</f>
        <v>80333.273414349693</v>
      </c>
      <c r="K133" s="4">
        <f>K141*J130</f>
        <v>1957292.2795322149</v>
      </c>
      <c r="M133" s="4">
        <f>M141*M130</f>
        <v>91806.708408756895</v>
      </c>
      <c r="N133" s="4">
        <f>N141*M130</f>
        <v>2007930.6408945527</v>
      </c>
      <c r="P133" s="4">
        <f>P141*P130</f>
        <v>119687.89540326738</v>
      </c>
      <c r="Q133" s="4">
        <f>Q141*P130</f>
        <v>2075147.2382531904</v>
      </c>
      <c r="S133" s="4">
        <f>S141*S130</f>
        <v>139940.26445123838</v>
      </c>
      <c r="T133" s="4">
        <f>T141*S130</f>
        <v>2262176.4917725199</v>
      </c>
      <c r="V133" s="4">
        <f>V141*V130</f>
        <v>42505.359023831879</v>
      </c>
      <c r="W133" s="4">
        <f>W141*V130</f>
        <v>299570.20959633822</v>
      </c>
      <c r="Y133" s="4">
        <f>Y141*Y130</f>
        <v>27081.188280169557</v>
      </c>
      <c r="Z133" s="4">
        <f>Z141*Y130</f>
        <v>209877.50332872596</v>
      </c>
      <c r="AA133" s="38"/>
      <c r="AB133" s="54"/>
    </row>
    <row r="134" spans="1:30" ht="17" x14ac:dyDescent="0.2">
      <c r="B134" s="38" t="s">
        <v>272</v>
      </c>
      <c r="C134" s="33" t="s">
        <v>163</v>
      </c>
      <c r="F134" s="10" t="s">
        <v>165</v>
      </c>
      <c r="G134" s="4">
        <f>G133</f>
        <v>76441.580815194291</v>
      </c>
      <c r="H134" s="4">
        <f>H133+G132</f>
        <v>1912183.4191848056</v>
      </c>
      <c r="J134" s="4">
        <f>J133</f>
        <v>80333.273414349693</v>
      </c>
      <c r="K134" s="4">
        <f>K133+J132</f>
        <v>1957292.2795322149</v>
      </c>
      <c r="M134" s="4">
        <f>M133</f>
        <v>91806.708408756895</v>
      </c>
      <c r="N134" s="4">
        <f>N133+M132</f>
        <v>2007930.6408945527</v>
      </c>
      <c r="P134" s="4">
        <f>P133</f>
        <v>119687.89540326738</v>
      </c>
      <c r="Q134" s="4">
        <f>Q133+P132</f>
        <v>2075147.2382531904</v>
      </c>
      <c r="S134" s="4">
        <f>S133</f>
        <v>139940.26445123838</v>
      </c>
      <c r="T134" s="4">
        <f>T133+S132</f>
        <v>2262176.4917725199</v>
      </c>
      <c r="V134" s="4">
        <f>V133</f>
        <v>42505.359023831879</v>
      </c>
      <c r="W134" s="4">
        <f>W133+V132</f>
        <v>299570.20959633822</v>
      </c>
      <c r="Y134" s="4">
        <f>Y133</f>
        <v>27081.188280169557</v>
      </c>
      <c r="Z134" s="4">
        <f>Z133+Y132</f>
        <v>209877.50332872596</v>
      </c>
      <c r="AA134" s="38"/>
      <c r="AB134" s="54"/>
    </row>
    <row r="135" spans="1:30" ht="17" x14ac:dyDescent="0.2">
      <c r="F135" s="15" t="s">
        <v>74</v>
      </c>
      <c r="G135" s="8"/>
      <c r="H135" s="8"/>
      <c r="J135" s="8"/>
      <c r="K135" s="8"/>
      <c r="M135" s="8"/>
      <c r="N135" s="8"/>
      <c r="P135" s="8"/>
      <c r="Q135" s="8"/>
      <c r="S135" s="8"/>
      <c r="T135" s="8"/>
      <c r="V135" s="8"/>
      <c r="W135" s="8"/>
      <c r="Y135" s="8"/>
      <c r="Z135" s="8"/>
      <c r="AB135" s="54"/>
    </row>
    <row r="136" spans="1:30" ht="34" x14ac:dyDescent="0.2">
      <c r="B136" s="38" t="s">
        <v>275</v>
      </c>
      <c r="C136" s="28" t="s">
        <v>174</v>
      </c>
      <c r="F136" s="10" t="s">
        <v>137</v>
      </c>
      <c r="G136" s="4">
        <f>G114/$G$23</f>
        <v>1</v>
      </c>
      <c r="H136" s="4">
        <f>H114/$H$23</f>
        <v>1</v>
      </c>
      <c r="J136" s="4">
        <f>J114/$G$23</f>
        <v>0.92425307697392622</v>
      </c>
      <c r="K136" s="4">
        <f>K114/$H$23</f>
        <v>0.8894392313816073</v>
      </c>
      <c r="M136" s="4">
        <f>M114/$G$23</f>
        <v>0.84423268422860009</v>
      </c>
      <c r="N136" s="4">
        <f>N114/$H$23</f>
        <v>0.77609913996359592</v>
      </c>
      <c r="P136" s="4">
        <f>P114/$G$23</f>
        <v>0.75225573758689401</v>
      </c>
      <c r="Q136" s="4">
        <f>Q114/$H$23</f>
        <v>0.65963426247132328</v>
      </c>
      <c r="S136" s="4">
        <f>S114/$G$23</f>
        <v>0.63135265926935324</v>
      </c>
      <c r="T136" s="4">
        <f>T114/$H$23</f>
        <v>0.5389284351854382</v>
      </c>
      <c r="V136" s="4">
        <f>V114/$G$23</f>
        <v>0.48853105467067059</v>
      </c>
      <c r="W136" s="4">
        <f>W114/$H$23</f>
        <v>0.4063565947756948</v>
      </c>
      <c r="Y136" s="4">
        <f>Y114/$G$23</f>
        <v>0.44566751325255183</v>
      </c>
      <c r="Z136" s="4">
        <f>Z114/$H$23</f>
        <v>0.39828350178087057</v>
      </c>
      <c r="AA136" s="38"/>
      <c r="AB136" s="54">
        <v>0.5</v>
      </c>
      <c r="AC136">
        <f>SUM(AB$6:AB136)</f>
        <v>0.5</v>
      </c>
      <c r="AD136">
        <v>20</v>
      </c>
    </row>
    <row r="137" spans="1:30" ht="17" x14ac:dyDescent="0.2">
      <c r="A137" t="s">
        <v>299</v>
      </c>
      <c r="B137" s="38" t="s">
        <v>185</v>
      </c>
      <c r="C137" s="28" t="s">
        <v>174</v>
      </c>
      <c r="F137" s="10" t="s">
        <v>186</v>
      </c>
      <c r="G137" s="4">
        <f>MAX(MIN((G136-$G$17)/$G$18, 1), 0)</f>
        <v>1</v>
      </c>
      <c r="H137" s="4">
        <f>MAX(MIN((H136-$H$17)/$H$18, 1), 0)</f>
        <v>1</v>
      </c>
      <c r="J137" s="4">
        <f>MAX(MIN((J136-$G$17)/$G$18, 1), 0)</f>
        <v>1</v>
      </c>
      <c r="K137" s="4">
        <f>MAX(MIN((K136-$H$17)/$H$18, 1), 0)</f>
        <v>1</v>
      </c>
      <c r="M137" s="4">
        <f>MAX(MIN((M136-$G$17)/$G$18, 1), 0)</f>
        <v>1</v>
      </c>
      <c r="N137" s="4">
        <f>MAX(MIN((N136-$H$17)/$H$18, 1), 0)</f>
        <v>0.8328091484893303</v>
      </c>
      <c r="P137" s="4">
        <f>MAX(MIN((P136-$G$17)/$G$18, 1), 0)</f>
        <v>0.97933386739236106</v>
      </c>
      <c r="Q137" s="4">
        <f>MAX(MIN((Q136-$H$17)/$H$18, 1), 0)</f>
        <v>0.5891633289598236</v>
      </c>
      <c r="S137" s="4">
        <f>MAX(MIN((S136-$G$17)/$G$18, 1), 0)</f>
        <v>0.69854073566938424</v>
      </c>
      <c r="T137" s="4">
        <f>MAX(MIN((T136-$H$17)/$H$18, 1), 0)</f>
        <v>0.33664539527627274</v>
      </c>
      <c r="V137" s="4">
        <f>MAX(MIN((V136-$G$17)/$G$18, 1), 0)</f>
        <v>0.36684260034451582</v>
      </c>
      <c r="W137" s="4">
        <f>MAX(MIN((W136-$H$17)/$H$18, 1), 0)</f>
        <v>5.9303630113552025E-2</v>
      </c>
      <c r="Y137" s="4">
        <f>MAX(MIN((Y136-$G$17)/$G$18, 1), 0)</f>
        <v>0.26729353840979642</v>
      </c>
      <c r="Z137" s="4">
        <f>MAX(MIN((Z136-$H$17)/$H$18, 1), 0)</f>
        <v>4.2414629745244618E-2</v>
      </c>
      <c r="AA137" s="38"/>
      <c r="AB137" s="54">
        <v>0.3</v>
      </c>
      <c r="AC137">
        <f>SUM(AB$6:AB137)</f>
        <v>0.8</v>
      </c>
      <c r="AD137">
        <v>20</v>
      </c>
    </row>
    <row r="138" spans="1:30" x14ac:dyDescent="0.2">
      <c r="B138" s="38"/>
      <c r="AA138" s="38"/>
      <c r="AB138" s="54">
        <v>0.2</v>
      </c>
      <c r="AC138">
        <f>SUM(AB$6:AB138)</f>
        <v>1</v>
      </c>
      <c r="AD138">
        <v>20</v>
      </c>
    </row>
    <row r="139" spans="1:30" ht="17" x14ac:dyDescent="0.2">
      <c r="B139" s="38" t="s">
        <v>187</v>
      </c>
      <c r="C139" s="28" t="s">
        <v>174</v>
      </c>
      <c r="F139" s="10" t="s">
        <v>76</v>
      </c>
      <c r="G139" s="4">
        <f>G126*G137</f>
        <v>497046.54037499998</v>
      </c>
      <c r="H139" s="4">
        <f>H126*H137</f>
        <v>12433601.4893</v>
      </c>
      <c r="J139" s="4">
        <f>J126*J137</f>
        <v>453642.73348242807</v>
      </c>
      <c r="K139" s="4">
        <f>K126*K137</f>
        <v>11052847.496096702</v>
      </c>
      <c r="M139" s="4">
        <f>M126*M137</f>
        <v>367064.10270879179</v>
      </c>
      <c r="N139" s="4">
        <f>N126*N137</f>
        <v>8028163.4291895209</v>
      </c>
      <c r="P139" s="4">
        <f>P126*P137</f>
        <v>278148.02702330577</v>
      </c>
      <c r="Q139" s="4">
        <f>Q126*Q137</f>
        <v>4822527.024627001</v>
      </c>
      <c r="S139" s="4">
        <f>S126*S137</f>
        <v>139940.26445123838</v>
      </c>
      <c r="T139" s="4">
        <f>T126*T137</f>
        <v>2262176.4917725199</v>
      </c>
      <c r="V139" s="4">
        <f>V126*V137</f>
        <v>42505.359023831879</v>
      </c>
      <c r="W139" s="4">
        <f>W126*W137</f>
        <v>299570.20959633822</v>
      </c>
      <c r="Y139" s="4">
        <f>Y126*Y137</f>
        <v>27081.188280169557</v>
      </c>
      <c r="Z139" s="4">
        <f>Z126*Z137</f>
        <v>209877.50332872596</v>
      </c>
      <c r="AA139" s="38"/>
      <c r="AB139" s="54">
        <v>0.125</v>
      </c>
      <c r="AC139">
        <f>SUM(AB$6:AB159)</f>
        <v>1.125</v>
      </c>
      <c r="AD139">
        <v>20</v>
      </c>
    </row>
    <row r="140" spans="1:30" ht="17" x14ac:dyDescent="0.2">
      <c r="B140" s="38" t="s">
        <v>188</v>
      </c>
      <c r="C140" s="28" t="s">
        <v>174</v>
      </c>
      <c r="F140" s="10" t="s">
        <v>122</v>
      </c>
      <c r="G140" s="4">
        <f>G139+H139</f>
        <v>12930648.029674999</v>
      </c>
      <c r="H140" s="4">
        <f>G140</f>
        <v>12930648.029674999</v>
      </c>
      <c r="J140" s="4">
        <f>J139+K139</f>
        <v>11506490.22957913</v>
      </c>
      <c r="K140" s="4">
        <f>J140</f>
        <v>11506490.22957913</v>
      </c>
      <c r="M140" s="4">
        <f>M139+N139</f>
        <v>8395227.5318983123</v>
      </c>
      <c r="N140" s="4">
        <f>M140</f>
        <v>8395227.5318983123</v>
      </c>
      <c r="P140" s="4">
        <f>P139+Q139</f>
        <v>5100675.0516503071</v>
      </c>
      <c r="Q140" s="4">
        <f>P140</f>
        <v>5100675.0516503071</v>
      </c>
      <c r="S140" s="4">
        <f>S139+T139</f>
        <v>2402116.7562237582</v>
      </c>
      <c r="T140" s="4">
        <f>S140</f>
        <v>2402116.7562237582</v>
      </c>
      <c r="V140" s="4">
        <f>V139+W139</f>
        <v>342075.56862017012</v>
      </c>
      <c r="W140" s="4">
        <f>V140</f>
        <v>342075.56862017012</v>
      </c>
      <c r="Y140" s="4">
        <f>Y139+Z139</f>
        <v>236958.69160889552</v>
      </c>
      <c r="Z140" s="4">
        <f>Y140</f>
        <v>236958.69160889552</v>
      </c>
      <c r="AA140" s="38"/>
      <c r="AB140" s="54"/>
    </row>
    <row r="141" spans="1:30" ht="17" x14ac:dyDescent="0.2">
      <c r="B141" s="38" t="s">
        <v>189</v>
      </c>
      <c r="C141" s="28" t="s">
        <v>174</v>
      </c>
      <c r="F141" s="10" t="s">
        <v>119</v>
      </c>
      <c r="G141" s="4">
        <f>G139/G140</f>
        <v>3.8439414578009576E-2</v>
      </c>
      <c r="H141" s="4">
        <f>H139/H140</f>
        <v>0.96156058542199041</v>
      </c>
      <c r="J141" s="4">
        <f>J139/J140</f>
        <v>3.9424944047340565E-2</v>
      </c>
      <c r="K141" s="4">
        <f>K139/K140</f>
        <v>0.96057505595265946</v>
      </c>
      <c r="M141" s="4">
        <f>M139/M140</f>
        <v>4.3722948700806917E-2</v>
      </c>
      <c r="N141" s="4">
        <f>N139/N140</f>
        <v>0.95627705129919316</v>
      </c>
      <c r="P141" s="4">
        <f>P139/P140</f>
        <v>5.4531610856745689E-2</v>
      </c>
      <c r="Q141" s="4">
        <f>Q139/Q140</f>
        <v>0.94546838914325426</v>
      </c>
      <c r="S141" s="4">
        <f>S139/S140</f>
        <v>5.8257061855407535E-2</v>
      </c>
      <c r="T141" s="4">
        <f>T139/T140</f>
        <v>0.94174293814459253</v>
      </c>
      <c r="V141" s="4">
        <f>V139/V140</f>
        <v>0.12425721952399496</v>
      </c>
      <c r="W141" s="4">
        <f>W139/W140</f>
        <v>0.87574278047600496</v>
      </c>
      <c r="Y141" s="4">
        <f>Y139/Y140</f>
        <v>0.11428653701746266</v>
      </c>
      <c r="Z141" s="4">
        <f>Z139/Z140</f>
        <v>0.88571346298253728</v>
      </c>
      <c r="AA141" s="38"/>
      <c r="AB141" s="54"/>
    </row>
    <row r="142" spans="1:30" x14ac:dyDescent="0.2">
      <c r="AB142" s="54"/>
    </row>
    <row r="143" spans="1:30" ht="17" x14ac:dyDescent="0.2">
      <c r="F143" s="15" t="s">
        <v>255</v>
      </c>
      <c r="G143" s="8"/>
      <c r="H143" s="8"/>
      <c r="J143" s="8"/>
      <c r="K143" s="8"/>
      <c r="M143" s="8"/>
      <c r="N143" s="8"/>
      <c r="P143" s="8"/>
      <c r="Q143" s="8"/>
      <c r="S143" s="8"/>
      <c r="T143" s="8"/>
      <c r="V143" s="8"/>
      <c r="W143" s="8"/>
      <c r="Y143" s="8"/>
      <c r="Z143" s="8"/>
      <c r="AB143" s="54"/>
    </row>
    <row r="144" spans="1:30" ht="17" x14ac:dyDescent="0.2">
      <c r="B144" s="38" t="s">
        <v>273</v>
      </c>
      <c r="C144" s="33" t="s">
        <v>163</v>
      </c>
      <c r="F144" s="10" t="s">
        <v>202</v>
      </c>
      <c r="G144" s="4">
        <f>(G112 - G133 - G121)*$G$30</f>
        <v>2223.2117181201452</v>
      </c>
      <c r="H144" s="4">
        <f>(H112 - H133 - H121)*$H$30+SUM(H91:H94)</f>
        <v>36232.172031879854</v>
      </c>
      <c r="J144" s="4">
        <f>(J112 - J133 - J121)*$G$30</f>
        <v>2084.4238554074132</v>
      </c>
      <c r="K144" s="4">
        <f>(K112 - K133 - K121)*$H$30+SUM(K91:K94)</f>
        <v>33447.211823016281</v>
      </c>
      <c r="M144" s="4">
        <f>(M112 - M133 - M121)*$G$30</f>
        <v>1929.437307269528</v>
      </c>
      <c r="N144" s="4">
        <f>(N112 - N133 - N121)*$H$30+SUM(N91:N94)</f>
        <v>30590.343867813121</v>
      </c>
      <c r="P144" s="4">
        <f>(P112 - P133 - P121)*$G$30</f>
        <v>1729.3769911958977</v>
      </c>
      <c r="Q144" s="4">
        <f>(Q112 - Q133 - Q121)*$H$30+SUM(Q91:Q94)</f>
        <v>27621.242311606977</v>
      </c>
      <c r="S144" s="4">
        <f>(S112 - S133 - S121)*$G$30</f>
        <v>1493.8143064538199</v>
      </c>
      <c r="T144" s="4">
        <f>(T112 - T133 - T121)*$H$30+SUM(T91:T94)</f>
        <v>24382.300139165654</v>
      </c>
      <c r="V144" s="4">
        <f>(V112 - V133 - V121)*$G$30</f>
        <v>1414.1084612152006</v>
      </c>
      <c r="W144" s="4">
        <f>(W112 - W133 - W121)*$H$30+SUM(W91:W94)</f>
        <v>24223.673488378809</v>
      </c>
      <c r="Y144" s="4">
        <f>(Y112 - Y133 - Y121)*$G$30</f>
        <v>1359.1953827000175</v>
      </c>
      <c r="Z144" s="4">
        <f>(Z112 - Z133 - Z121)*$H$30+SUM(Z91:Z94)</f>
        <v>24156.603765901902</v>
      </c>
      <c r="AA144" s="38"/>
      <c r="AB144" s="54"/>
    </row>
    <row r="145" spans="2:30" x14ac:dyDescent="0.2">
      <c r="B145" s="38" t="s">
        <v>297</v>
      </c>
      <c r="C145" s="33" t="s">
        <v>163</v>
      </c>
      <c r="G145" s="4">
        <f>G144*$G21</f>
        <v>666.96351543604351</v>
      </c>
      <c r="H145" s="4">
        <f>H144*$H21</f>
        <v>9058.0430079699636</v>
      </c>
      <c r="J145" s="4">
        <f>J144*$G21</f>
        <v>625.32715662222392</v>
      </c>
      <c r="K145" s="4">
        <f>K144*$H21</f>
        <v>8361.8029557540704</v>
      </c>
      <c r="M145" s="4">
        <f>M144*$G21</f>
        <v>578.83119218085835</v>
      </c>
      <c r="N145" s="4">
        <f>N144*$H21</f>
        <v>7647.5859669532801</v>
      </c>
      <c r="P145" s="4">
        <f>P144*$G21</f>
        <v>518.81309735876926</v>
      </c>
      <c r="Q145" s="4">
        <f>Q144*$H21</f>
        <v>6905.3105779017442</v>
      </c>
      <c r="S145" s="4">
        <f>S144*$G21</f>
        <v>448.14429193614598</v>
      </c>
      <c r="T145" s="4">
        <f>T144*$H21</f>
        <v>6095.5750347914136</v>
      </c>
      <c r="V145" s="4">
        <f>V144*$G21</f>
        <v>424.23253836456018</v>
      </c>
      <c r="W145" s="4">
        <f>W144*$H21</f>
        <v>6055.9183720947021</v>
      </c>
      <c r="Y145" s="4">
        <f>Y144*$G21</f>
        <v>407.75861481000521</v>
      </c>
      <c r="Z145" s="4">
        <f>Z144*$H21</f>
        <v>6039.1509414754755</v>
      </c>
      <c r="AA145" s="38"/>
      <c r="AB145" s="54"/>
    </row>
    <row r="146" spans="2:30" ht="17" x14ac:dyDescent="0.2">
      <c r="B146" s="38" t="s">
        <v>274</v>
      </c>
      <c r="C146" s="33" t="s">
        <v>163</v>
      </c>
      <c r="F146" s="14" t="s">
        <v>214</v>
      </c>
      <c r="G146" s="4">
        <f>G133*$G21</f>
        <v>22932.474244558285</v>
      </c>
      <c r="H146" s="4">
        <f>(H133+G132)*$H21</f>
        <v>478045.8547962014</v>
      </c>
      <c r="J146" s="4">
        <f>J133*$G21</f>
        <v>24099.982024304907</v>
      </c>
      <c r="K146" s="4">
        <f>(K133+J132)*$H21</f>
        <v>489323.06988305371</v>
      </c>
      <c r="M146" s="4">
        <f>M133*$G21</f>
        <v>27542.012522627068</v>
      </c>
      <c r="N146" s="4">
        <f>(N133+M132)*$H21</f>
        <v>501982.66022363817</v>
      </c>
      <c r="P146" s="4">
        <f>P133*$G21</f>
        <v>35906.368620980211</v>
      </c>
      <c r="Q146" s="4">
        <f>(Q133+P132)*$H21</f>
        <v>518786.8095632976</v>
      </c>
      <c r="S146" s="4">
        <f>S133*$G21</f>
        <v>41982.079335371513</v>
      </c>
      <c r="T146" s="4">
        <f>(T133+S132)*$H21</f>
        <v>565544.12294312997</v>
      </c>
      <c r="V146" s="4">
        <f>V133*$G21</f>
        <v>12751.607707149564</v>
      </c>
      <c r="W146" s="4">
        <f>(W133+V132)*$H21</f>
        <v>74892.552399084554</v>
      </c>
      <c r="Y146" s="4">
        <f>Y133*$G21</f>
        <v>8124.356484050867</v>
      </c>
      <c r="Z146" s="4">
        <f>(Z133+Y132)*$H21</f>
        <v>52469.375832181489</v>
      </c>
      <c r="AA146" s="38"/>
      <c r="AB146" s="54"/>
    </row>
    <row r="147" spans="2:30" ht="17" x14ac:dyDescent="0.2">
      <c r="B147" s="38" t="s">
        <v>176</v>
      </c>
      <c r="C147" s="33" t="s">
        <v>163</v>
      </c>
      <c r="F147" s="10" t="s">
        <v>166</v>
      </c>
      <c r="G147" s="4">
        <f>G121-G124*G125-G122</f>
        <v>2175</v>
      </c>
      <c r="H147" s="4">
        <f>H121-G124*H125-H122+H54</f>
        <v>2700</v>
      </c>
      <c r="J147" s="4">
        <f>J121-J124*J125-J122</f>
        <v>2553.6682270231522</v>
      </c>
      <c r="K147" s="4">
        <f>K121-J124*K125-K122+K54</f>
        <v>2749.6662244491781</v>
      </c>
      <c r="M147" s="4">
        <f>M121-M124*M125-M122</f>
        <v>2247.3642961427208</v>
      </c>
      <c r="N147" s="4">
        <f>N121-M124*N125-N122+N54</f>
        <v>2150.9145738675443</v>
      </c>
      <c r="P147" s="4">
        <f>P121-P124*P125-P122</f>
        <v>2528.8860607810102</v>
      </c>
      <c r="Q147" s="4">
        <f>Q121-P124*Q125-Q122+Q54</f>
        <v>3970.3423721656281</v>
      </c>
      <c r="S147" s="4">
        <f>S121-S124*S125-S122</f>
        <v>3233.485543462959</v>
      </c>
      <c r="T147" s="4">
        <f>T121-S124*T125-T122+T54</f>
        <v>716.29459674366728</v>
      </c>
      <c r="V147" s="4">
        <f>V121-V124*V125-V122</f>
        <v>2779.5242885485477</v>
      </c>
      <c r="W147" s="4">
        <f>W121-V124*W125-W122+W54</f>
        <v>1640.3911750361863</v>
      </c>
      <c r="Y147" s="4">
        <f>Y121-Y124*Y125-Y122</f>
        <v>2623.5844614534308</v>
      </c>
      <c r="Z147" s="4">
        <f>Z121-Y124*Z125-Z122+Z54</f>
        <v>1864.3672357973865</v>
      </c>
      <c r="AA147" s="38"/>
      <c r="AB147" s="54"/>
    </row>
    <row r="148" spans="2:30" ht="17" x14ac:dyDescent="0.2">
      <c r="B148" s="38" t="s">
        <v>177</v>
      </c>
      <c r="C148" s="33" t="s">
        <v>163</v>
      </c>
      <c r="F148" s="10" t="s">
        <v>167</v>
      </c>
      <c r="G148" s="4">
        <f>MAX((G121 - G122)*$G21-G16*G9,0)</f>
        <v>2128.25</v>
      </c>
      <c r="H148" s="4">
        <f>MAX((H121-H122+H54)*$H21-H16*H9,0)</f>
        <v>2058</v>
      </c>
      <c r="J148" s="4">
        <f>MAX((J121 - J122)*$G21-J16*J9,0)</f>
        <v>2494.538827023151</v>
      </c>
      <c r="K148" s="4">
        <f>MAX((K121-K122+K54)*$H21-K16*K9,0)</f>
        <v>2084.4125203743147</v>
      </c>
      <c r="M148" s="4">
        <f>MAX((M121 - M122)*$G21-M16*M9,0)</f>
        <v>2190.9650961427201</v>
      </c>
      <c r="N148" s="4">
        <f>MAX((N121-N122+N54)*$H21-N16*N9,0)</f>
        <v>1615.5584115562865</v>
      </c>
      <c r="P148" s="4">
        <f>MAX((P121 - P122)*$G21-P16*P9,0)</f>
        <v>2467.3630607810096</v>
      </c>
      <c r="Q148" s="4">
        <f>MAX((Q121-Q122+Q54)*$H21-Q16*Q9,0)</f>
        <v>2943.6650434713565</v>
      </c>
      <c r="S148" s="4">
        <f>MAX((S121 - S122)*$G21-S16*S9,0)</f>
        <v>3136.2455434629583</v>
      </c>
      <c r="T148" s="4">
        <f>MAX((T121-T122+T54)*$H21-T16*T9,0)</f>
        <v>521.28336395305598</v>
      </c>
      <c r="V148" s="4">
        <f>MAX((V121 - V122)*$G21-V16*V9,0)</f>
        <v>2704.3876885485497</v>
      </c>
      <c r="W148" s="4">
        <f>MAX((W121-W122+W54)*$H21-W16*W9,0)</f>
        <v>1145.2326458634884</v>
      </c>
      <c r="Y148" s="4">
        <f>MAX((Y121 - Y122)*$G21-Y16*Y9,0)</f>
        <v>2530.1218614534314</v>
      </c>
      <c r="Z148" s="4">
        <f>MAX((Z121-Z122+Z54)*$H21-Z16*Z9,0)</f>
        <v>1353.1913631644886</v>
      </c>
      <c r="AA148" s="38"/>
      <c r="AB148" s="54"/>
    </row>
    <row r="149" spans="2:30" x14ac:dyDescent="0.2">
      <c r="B149" s="38" t="s">
        <v>296</v>
      </c>
      <c r="C149" s="33" t="s">
        <v>163</v>
      </c>
      <c r="G149" s="4">
        <f>J111*J7*(1+$G21)</f>
        <v>3880.5</v>
      </c>
      <c r="H149" s="4">
        <f>(K111*K7+SUMPRODUCT(H38:H41,H86:H89))*(1+$H21)</f>
        <v>287385</v>
      </c>
      <c r="J149" s="4">
        <f>M111*M7*(1+$G21)</f>
        <v>3856.32</v>
      </c>
      <c r="K149" s="4">
        <f>(N111*N7+SUMPRODUCT(K38:K41,K86:K89))*(1+$H21)</f>
        <v>287259.5625</v>
      </c>
      <c r="M149" s="4">
        <f>P111*P7*(1+$G21)</f>
        <v>3833.7000000000003</v>
      </c>
      <c r="N149" s="4">
        <f>(Q111*Q7+SUMPRODUCT(N38:N41,N86:N89))*(1+$H21)</f>
        <v>287156.71250000002</v>
      </c>
      <c r="P149" s="4">
        <f>S111*S7*(1+$G21)</f>
        <v>3806.4</v>
      </c>
      <c r="Q149" s="4">
        <f>(T111*T7+SUMPRODUCT(Q38:Q41,Q86:Q89))*(1+$H21)</f>
        <v>286948.5</v>
      </c>
      <c r="S149" s="4">
        <f>V111*V7*(1+$G21)</f>
        <v>3767.4</v>
      </c>
      <c r="T149" s="4">
        <f>(W111*W7+SUMPRODUCT(T38:T41,T86:T89))*(1+$H21)</f>
        <v>286924.28750000003</v>
      </c>
      <c r="V149" s="4">
        <f>Y111*Y7*(1+$G21)</f>
        <v>3593.0636935346747</v>
      </c>
      <c r="W149" s="4">
        <f>(Z111*Z7+SUMPRODUCT(W38:W41,W86:W89))*(1+$H21)</f>
        <v>248300.31050651748</v>
      </c>
      <c r="Y149" s="4" t="e">
        <f>AB111*AB7*(1+$G21)</f>
        <v>#VALUE!</v>
      </c>
      <c r="Z149" s="4">
        <f>(AC111*AC7+SUMPRODUCT(Z38:Z41,Z86:Z89))*(1+$H21)</f>
        <v>129.19999999999999</v>
      </c>
      <c r="AA149" s="38"/>
      <c r="AB149" s="54"/>
    </row>
    <row r="150" spans="2:30" x14ac:dyDescent="0.2">
      <c r="AB150" s="54"/>
    </row>
    <row r="151" spans="2:30" x14ac:dyDescent="0.2">
      <c r="AB151" s="54"/>
    </row>
    <row r="152" spans="2:30" x14ac:dyDescent="0.2">
      <c r="B152" s="24" t="s">
        <v>266</v>
      </c>
      <c r="G152" s="4">
        <f>G147+G122</f>
        <v>2425</v>
      </c>
      <c r="H152" s="4">
        <f>H147+H122</f>
        <v>3700</v>
      </c>
      <c r="J152" s="4">
        <f>J147+J122</f>
        <v>2869.868227023152</v>
      </c>
      <c r="K152" s="4">
        <f>K147+K122</f>
        <v>3827.6662244491781</v>
      </c>
      <c r="M152" s="4">
        <f>M147+M122</f>
        <v>2548.9642961427207</v>
      </c>
      <c r="N152" s="4">
        <f>N147+N122</f>
        <v>3072.1145738675441</v>
      </c>
      <c r="P152" s="4">
        <f>P147+P122</f>
        <v>2857.8860607810102</v>
      </c>
      <c r="Q152" s="4">
        <f>Q147+Q122</f>
        <v>5871.1423721656283</v>
      </c>
      <c r="S152" s="4">
        <f>S147+S122</f>
        <v>3753.485543462959</v>
      </c>
      <c r="T152" s="4">
        <f>T147+T122</f>
        <v>1110.1945967436673</v>
      </c>
      <c r="V152" s="4">
        <f>V147+V122</f>
        <v>3181.3242885485479</v>
      </c>
      <c r="W152" s="4">
        <f>W147+W122</f>
        <v>2795.3911750361863</v>
      </c>
      <c r="Y152" s="4">
        <f>Y147+Y122</f>
        <v>3123.384461453431</v>
      </c>
      <c r="Z152" s="4">
        <f>Z147+Z122</f>
        <v>2908.3672357973865</v>
      </c>
      <c r="AB152" s="54"/>
    </row>
    <row r="153" spans="2:30" x14ac:dyDescent="0.2">
      <c r="AB153" s="54"/>
    </row>
    <row r="154" spans="2:30" x14ac:dyDescent="0.2">
      <c r="B154" s="38" t="s">
        <v>276</v>
      </c>
      <c r="C154" s="33" t="s">
        <v>163</v>
      </c>
      <c r="G154" s="4">
        <f>G124+G133+H133+G132</f>
        <v>2000000</v>
      </c>
      <c r="J154" s="4">
        <f>J124+J133+K133</f>
        <v>2050000</v>
      </c>
      <c r="M154" s="4">
        <f>M124+M133+N133</f>
        <v>2110000</v>
      </c>
      <c r="P154" s="4">
        <f>P124+P133+Q133</f>
        <v>2210000</v>
      </c>
      <c r="S154" s="4">
        <f>S124+S133+T133</f>
        <v>2411332.9098842405</v>
      </c>
      <c r="V154" s="4">
        <f>V124+V133+W133</f>
        <v>352388.70470186783</v>
      </c>
      <c r="Y154" s="4">
        <f>Y124+Y133+Z133</f>
        <v>247430.57890248077</v>
      </c>
      <c r="AA154" s="38"/>
      <c r="AB154" s="54"/>
    </row>
    <row r="155" spans="2:30" x14ac:dyDescent="0.2">
      <c r="G155" s="4">
        <f>G154/G33</f>
        <v>1</v>
      </c>
      <c r="J155" s="4">
        <f>J154/J33</f>
        <v>1</v>
      </c>
      <c r="M155" s="4">
        <f>M154/M33</f>
        <v>1</v>
      </c>
      <c r="P155" s="4">
        <f>P154/P33</f>
        <v>1</v>
      </c>
      <c r="S155" s="4">
        <f>S154/S33</f>
        <v>0.80377763662808011</v>
      </c>
      <c r="V155" s="4">
        <f>V154/V33</f>
        <v>1.4095548188074713E-2</v>
      </c>
      <c r="Y155" s="4">
        <f>Y154/Y33</f>
        <v>9.8186737659714599E-2</v>
      </c>
    </row>
    <row r="160" spans="2:30" x14ac:dyDescent="0.2">
      <c r="AB160" s="53">
        <v>0.1225</v>
      </c>
      <c r="AC160">
        <f>SUM(AB$6:AB160)</f>
        <v>1.2475000000000001</v>
      </c>
      <c r="AD160">
        <v>20</v>
      </c>
    </row>
    <row r="161" spans="28:30" x14ac:dyDescent="0.2">
      <c r="AB161" s="53">
        <v>0.12239999999999999</v>
      </c>
      <c r="AC161">
        <f>SUM(AB$6:AB161)</f>
        <v>1.3699000000000001</v>
      </c>
      <c r="AD161">
        <v>20</v>
      </c>
    </row>
    <row r="162" spans="28:30" x14ac:dyDescent="0.2">
      <c r="AB162" s="53">
        <v>0.12230000000000001</v>
      </c>
      <c r="AC162">
        <f>SUM(AB$6:AB162)</f>
        <v>1.4922000000000002</v>
      </c>
      <c r="AD162">
        <v>20</v>
      </c>
    </row>
  </sheetData>
  <mergeCells count="38">
    <mergeCell ref="B101:B104"/>
    <mergeCell ref="C101:C104"/>
    <mergeCell ref="B49:B52"/>
    <mergeCell ref="C49:C52"/>
    <mergeCell ref="E49:E52"/>
    <mergeCell ref="B79:B83"/>
    <mergeCell ref="C79:C83"/>
    <mergeCell ref="C86:C89"/>
    <mergeCell ref="B96:B99"/>
    <mergeCell ref="C96:C99"/>
    <mergeCell ref="B91:B94"/>
    <mergeCell ref="C91:C94"/>
    <mergeCell ref="B73:B76"/>
    <mergeCell ref="C73:C76"/>
    <mergeCell ref="B86:B89"/>
    <mergeCell ref="C38:C41"/>
    <mergeCell ref="C62:C65"/>
    <mergeCell ref="B68:B71"/>
    <mergeCell ref="C68:C71"/>
    <mergeCell ref="C43:C46"/>
    <mergeCell ref="B43:B46"/>
    <mergeCell ref="B62:B65"/>
    <mergeCell ref="B56:B59"/>
    <mergeCell ref="C56:C59"/>
    <mergeCell ref="AE4:AG4"/>
    <mergeCell ref="I2:J2"/>
    <mergeCell ref="I3:J3"/>
    <mergeCell ref="J5:K5"/>
    <mergeCell ref="M5:N5"/>
    <mergeCell ref="E18:E19"/>
    <mergeCell ref="E70:E72"/>
    <mergeCell ref="E75:E78"/>
    <mergeCell ref="Y5:Z5"/>
    <mergeCell ref="P5:Q5"/>
    <mergeCell ref="S5:T5"/>
    <mergeCell ref="V5:W5"/>
    <mergeCell ref="G5:H5"/>
    <mergeCell ref="E29:E30"/>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2026-07-11T01:45:48Z</dcterms:modified>
</cp:coreProperties>
</file>