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suario/git/sisepuede/sisepuede/ref/validation_workbooks/"/>
    </mc:Choice>
  </mc:AlternateContent>
  <xr:revisionPtr revIDLastSave="0" documentId="13_ncr:1_{532E185F-8291-3942-B9FE-FF580E75DE64}" xr6:coauthVersionLast="47" xr6:coauthVersionMax="47" xr10:uidLastSave="{00000000-0000-0000-0000-000000000000}"/>
  <bookViews>
    <workbookView xWindow="160" yWindow="760" windowWidth="33680" windowHeight="19880" activeTab="2" xr2:uid="{49B92464-5B50-C04B-B571-E5276F1DC1EA}"/>
  </bookViews>
  <sheets>
    <sheet name="Sheet1" sheetId="1" r:id="rId1"/>
    <sheet name="cl_1" sheetId="2" r:id="rId2"/>
    <sheet name="cl_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18" i="3" l="1"/>
  <c r="Y89" i="3"/>
  <c r="Y88" i="3"/>
  <c r="V118" i="3"/>
  <c r="V117" i="3"/>
  <c r="F66" i="3"/>
  <c r="J77" i="3"/>
  <c r="J72" i="3"/>
  <c r="I72" i="3"/>
  <c r="G77" i="3"/>
  <c r="G122" i="3"/>
  <c r="F122" i="3"/>
  <c r="G121" i="3"/>
  <c r="F121" i="3"/>
  <c r="G107" i="3"/>
  <c r="G117" i="3"/>
  <c r="G99" i="3"/>
  <c r="G100" i="3" s="1"/>
  <c r="G98" i="3"/>
  <c r="F98" i="3"/>
  <c r="F85" i="3"/>
  <c r="F91" i="3"/>
  <c r="F92" i="3"/>
  <c r="F116" i="3"/>
  <c r="F107" i="3" s="1"/>
  <c r="F100" i="3"/>
  <c r="F102" i="3"/>
  <c r="F93" i="3"/>
  <c r="I83" i="3"/>
  <c r="F83" i="3"/>
  <c r="I89" i="3"/>
  <c r="I69" i="3"/>
  <c r="F69" i="3"/>
  <c r="F68" i="3"/>
  <c r="I68" i="3"/>
  <c r="I67" i="3"/>
  <c r="I66" i="3"/>
  <c r="G104" i="3"/>
  <c r="F104" i="3"/>
  <c r="F103" i="3"/>
  <c r="G102" i="3"/>
  <c r="G103" i="3" s="1"/>
  <c r="F89" i="3"/>
  <c r="G10" i="3"/>
  <c r="M43" i="3"/>
  <c r="M55" i="3" s="1"/>
  <c r="AD10" i="3"/>
  <c r="G13" i="3"/>
  <c r="G91" i="3" s="1"/>
  <c r="F13" i="3"/>
  <c r="I7" i="3" s="1"/>
  <c r="I13" i="3" s="1"/>
  <c r="L7" i="3" s="1"/>
  <c r="L13" i="3" s="1"/>
  <c r="O7" i="3" s="1"/>
  <c r="O13" i="3" s="1"/>
  <c r="R7" i="3" s="1"/>
  <c r="R13" i="3" s="1"/>
  <c r="U7" i="3" s="1"/>
  <c r="U13" i="3" s="1"/>
  <c r="U24" i="3" s="1"/>
  <c r="Y83" i="3"/>
  <c r="X83" i="3"/>
  <c r="V83" i="3"/>
  <c r="U83" i="3"/>
  <c r="S83" i="3"/>
  <c r="R83" i="3"/>
  <c r="P83" i="3"/>
  <c r="O83" i="3"/>
  <c r="M83" i="3"/>
  <c r="L83" i="3"/>
  <c r="J83" i="3"/>
  <c r="G83" i="3"/>
  <c r="G89" i="3" s="1"/>
  <c r="G47" i="3"/>
  <c r="G72" i="3" s="1"/>
  <c r="P75" i="3"/>
  <c r="M75" i="3"/>
  <c r="M74" i="3"/>
  <c r="Y50" i="3"/>
  <c r="Y75" i="3" s="1"/>
  <c r="Y49" i="3"/>
  <c r="Y74" i="3" s="1"/>
  <c r="Y48" i="3"/>
  <c r="Y73" i="3" s="1"/>
  <c r="Y47" i="3"/>
  <c r="V47" i="3"/>
  <c r="W40" i="3"/>
  <c r="M56" i="3"/>
  <c r="J75" i="3"/>
  <c r="J74" i="3"/>
  <c r="J73" i="3"/>
  <c r="G74" i="3"/>
  <c r="G73" i="3"/>
  <c r="G75" i="3"/>
  <c r="G78" i="3"/>
  <c r="I73" i="3" s="1"/>
  <c r="G79" i="3"/>
  <c r="I74" i="3" s="1"/>
  <c r="G80" i="3"/>
  <c r="I75" i="3" s="1"/>
  <c r="P44" i="3"/>
  <c r="T40" i="3"/>
  <c r="Q40" i="3"/>
  <c r="J42" i="3"/>
  <c r="J54" i="3" s="1"/>
  <c r="G41" i="3"/>
  <c r="H41" i="3" s="1"/>
  <c r="H40" i="3"/>
  <c r="K40" i="3"/>
  <c r="N40" i="3"/>
  <c r="P49" i="3"/>
  <c r="P74" i="3" s="1"/>
  <c r="M48" i="3"/>
  <c r="M73" i="3" s="1"/>
  <c r="J47" i="3"/>
  <c r="S47" i="3"/>
  <c r="P47" i="3"/>
  <c r="G19" i="3"/>
  <c r="F19" i="3"/>
  <c r="G8" i="3"/>
  <c r="J8" i="3" s="1"/>
  <c r="F8" i="3"/>
  <c r="G92" i="3" l="1"/>
  <c r="F67" i="3"/>
  <c r="J78" i="3"/>
  <c r="L73" i="3" s="1"/>
  <c r="L24" i="3"/>
  <c r="O24" i="3"/>
  <c r="I24" i="3"/>
  <c r="J60" i="3"/>
  <c r="F24" i="3"/>
  <c r="R24" i="3"/>
  <c r="G23" i="3"/>
  <c r="G24" i="3" s="1"/>
  <c r="G85" i="3"/>
  <c r="J88" i="3" s="1"/>
  <c r="J89" i="3" s="1"/>
  <c r="G93" i="3"/>
  <c r="J7" i="3"/>
  <c r="J10" i="3" s="1"/>
  <c r="J79" i="3"/>
  <c r="M61" i="3" s="1"/>
  <c r="J80" i="3"/>
  <c r="P56" i="3"/>
  <c r="J61" i="3"/>
  <c r="J62" i="3"/>
  <c r="G53" i="3"/>
  <c r="H43" i="3"/>
  <c r="H42" i="3"/>
  <c r="H44" i="3"/>
  <c r="G116" i="3"/>
  <c r="F20" i="3"/>
  <c r="G20" i="3"/>
  <c r="I88" i="3" l="1"/>
  <c r="G11" i="3"/>
  <c r="F117" i="3"/>
  <c r="F118" i="3" s="1"/>
  <c r="F120" i="3" s="1"/>
  <c r="J59" i="3"/>
  <c r="J13" i="3"/>
  <c r="J23" i="3" s="1"/>
  <c r="J11" i="3" s="1"/>
  <c r="I41" i="3" s="1"/>
  <c r="J85" i="3"/>
  <c r="M8" i="3"/>
  <c r="M79" i="3"/>
  <c r="L74" i="3"/>
  <c r="M80" i="3"/>
  <c r="P62" i="3" s="1"/>
  <c r="L75" i="3"/>
  <c r="M60" i="3"/>
  <c r="G118" i="3"/>
  <c r="G120" i="3" s="1"/>
  <c r="I42" i="3" l="1"/>
  <c r="J63" i="3"/>
  <c r="M7" i="3"/>
  <c r="M10" i="3" s="1"/>
  <c r="J24" i="3"/>
  <c r="P8" i="3"/>
  <c r="M85" i="3"/>
  <c r="P61" i="3"/>
  <c r="O74" i="3"/>
  <c r="P80" i="3"/>
  <c r="O75" i="3"/>
  <c r="F110" i="3" l="1"/>
  <c r="F111" i="3" s="1"/>
  <c r="F113" i="3" s="1"/>
  <c r="G66" i="3" s="1"/>
  <c r="M13" i="3"/>
  <c r="M23" i="3" s="1"/>
  <c r="M24" i="3" s="1"/>
  <c r="P7" i="3"/>
  <c r="S8" i="3"/>
  <c r="P85" i="3"/>
  <c r="R75" i="3"/>
  <c r="S62" i="3"/>
  <c r="V48" i="3"/>
  <c r="V73" i="3" s="1"/>
  <c r="V49" i="3"/>
  <c r="V74" i="3" s="1"/>
  <c r="S48" i="3"/>
  <c r="S73" i="3" s="1"/>
  <c r="M47" i="3"/>
  <c r="S50" i="3"/>
  <c r="S75" i="3" s="1"/>
  <c r="V50" i="3"/>
  <c r="V75" i="3" s="1"/>
  <c r="S49" i="3"/>
  <c r="S74" i="3" s="1"/>
  <c r="P48" i="3"/>
  <c r="P73" i="3" s="1"/>
  <c r="AD14" i="3"/>
  <c r="AD15" i="3"/>
  <c r="AD16" i="3"/>
  <c r="AD17" i="3"/>
  <c r="AD18" i="3"/>
  <c r="AD19" i="3"/>
  <c r="AD20" i="3"/>
  <c r="AD21" i="3"/>
  <c r="AD22" i="3"/>
  <c r="AD23" i="3"/>
  <c r="AD24" i="3"/>
  <c r="AD25" i="3"/>
  <c r="AD12" i="3"/>
  <c r="AD9" i="3"/>
  <c r="AD11" i="3"/>
  <c r="AD8" i="3"/>
  <c r="AA139" i="3"/>
  <c r="AH139" i="3"/>
  <c r="AA138" i="3"/>
  <c r="AH138" i="3"/>
  <c r="AA137" i="3"/>
  <c r="AH121" i="3"/>
  <c r="AA120" i="3"/>
  <c r="AH120" i="3"/>
  <c r="AA119" i="3"/>
  <c r="AH119" i="3"/>
  <c r="AA118" i="3"/>
  <c r="AH118" i="3"/>
  <c r="AA117" i="3"/>
  <c r="AH107" i="3"/>
  <c r="AA106" i="3"/>
  <c r="AH39" i="3"/>
  <c r="AH38" i="3"/>
  <c r="AH37" i="3"/>
  <c r="AH36" i="3"/>
  <c r="AH35" i="3"/>
  <c r="AH34" i="3"/>
  <c r="AH33" i="3"/>
  <c r="AH32" i="3"/>
  <c r="AH31" i="3"/>
  <c r="AH30" i="3"/>
  <c r="AH25" i="3"/>
  <c r="AH21" i="3"/>
  <c r="AH15" i="3"/>
  <c r="AH9" i="3"/>
  <c r="AH7" i="3"/>
  <c r="AD7" i="3"/>
  <c r="AD6" i="3"/>
  <c r="W4" i="2"/>
  <c r="W7" i="2"/>
  <c r="U8" i="2"/>
  <c r="Q6" i="2"/>
  <c r="P6" i="2"/>
  <c r="R6" i="2"/>
  <c r="X4" i="2"/>
  <c r="X3" i="2"/>
  <c r="Y3" i="2"/>
  <c r="Y4" i="2"/>
  <c r="AI5" i="2"/>
  <c r="W5" i="2"/>
  <c r="R4" i="2"/>
  <c r="Z4" i="2" s="1"/>
  <c r="W3" i="2"/>
  <c r="U3" i="2"/>
  <c r="R3" i="2"/>
  <c r="L3" i="2"/>
  <c r="L4" i="2"/>
  <c r="L5" i="2" s="1"/>
  <c r="L6" i="2" s="1"/>
  <c r="L7" i="2" s="1"/>
  <c r="L8" i="2" s="1"/>
  <c r="L9" i="2" s="1"/>
  <c r="L10" i="2" s="1"/>
  <c r="L11" i="2" s="1"/>
  <c r="L12" i="2" s="1"/>
  <c r="L13" i="2" s="1"/>
  <c r="L14" i="2" s="1"/>
  <c r="L15" i="2" s="1"/>
  <c r="L16" i="2" s="1"/>
  <c r="L17" i="2" s="1"/>
  <c r="L18" i="2" s="1"/>
  <c r="L19" i="2" s="1"/>
  <c r="L20" i="2" s="1"/>
  <c r="L21" i="2" s="1"/>
  <c r="L22" i="2" s="1"/>
  <c r="L23" i="2" s="1"/>
  <c r="L24" i="2" s="1"/>
  <c r="L25" i="2" s="1"/>
  <c r="L26" i="2" s="1"/>
  <c r="L27" i="2" s="1"/>
  <c r="L28" i="2" s="1"/>
  <c r="L29" i="2" s="1"/>
  <c r="L30" i="2" s="1"/>
  <c r="M3" i="2"/>
  <c r="M4" i="2"/>
  <c r="AX4" i="2"/>
  <c r="AX5" i="2"/>
  <c r="AX6" i="2"/>
  <c r="AX7" i="2"/>
  <c r="AX8" i="2"/>
  <c r="AX9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3" i="2"/>
  <c r="AQ21" i="2"/>
  <c r="AJ23" i="2" s="1"/>
  <c r="AQ22" i="2"/>
  <c r="AI24" i="2" s="1"/>
  <c r="AQ23" i="2"/>
  <c r="AL25" i="2" s="1"/>
  <c r="AQ24" i="2"/>
  <c r="AI26" i="2" s="1"/>
  <c r="AQ25" i="2"/>
  <c r="AN27" i="2" s="1"/>
  <c r="AQ26" i="2"/>
  <c r="AI28" i="2" s="1"/>
  <c r="AQ27" i="2"/>
  <c r="AI29" i="2" s="1"/>
  <c r="AQ28" i="2"/>
  <c r="AJ30" i="2" s="1"/>
  <c r="AQ29" i="2"/>
  <c r="AQ30" i="2"/>
  <c r="AQ31" i="2"/>
  <c r="AQ20" i="2"/>
  <c r="AI22" i="2" s="1"/>
  <c r="AQ3" i="2"/>
  <c r="AN5" i="2" s="1"/>
  <c r="AQ4" i="2"/>
  <c r="AN6" i="2" s="1"/>
  <c r="AQ5" i="2"/>
  <c r="AI7" i="2" s="1"/>
  <c r="AQ6" i="2"/>
  <c r="AI8" i="2" s="1"/>
  <c r="AQ7" i="2"/>
  <c r="AJ9" i="2" s="1"/>
  <c r="AQ8" i="2"/>
  <c r="AI10" i="2" s="1"/>
  <c r="AQ9" i="2"/>
  <c r="AL11" i="2" s="1"/>
  <c r="AQ10" i="2"/>
  <c r="AI12" i="2" s="1"/>
  <c r="AQ11" i="2"/>
  <c r="AN13" i="2" s="1"/>
  <c r="AQ12" i="2"/>
  <c r="AI14" i="2" s="1"/>
  <c r="AQ13" i="2"/>
  <c r="AI15" i="2" s="1"/>
  <c r="AQ14" i="2"/>
  <c r="AJ16" i="2" s="1"/>
  <c r="AQ15" i="2"/>
  <c r="AI17" i="2" s="1"/>
  <c r="AQ16" i="2"/>
  <c r="AL18" i="2" s="1"/>
  <c r="AQ17" i="2"/>
  <c r="AI19" i="2" s="1"/>
  <c r="AQ18" i="2"/>
  <c r="AN20" i="2" s="1"/>
  <c r="AQ19" i="2"/>
  <c r="AI21" i="2" s="1"/>
  <c r="AQ2" i="2"/>
  <c r="AJ3" i="2" s="1"/>
  <c r="B20" i="1"/>
  <c r="B18" i="1"/>
  <c r="B17" i="1"/>
  <c r="G68" i="3" l="1"/>
  <c r="G67" i="3"/>
  <c r="G69" i="3"/>
  <c r="P13" i="3"/>
  <c r="P10" i="3"/>
  <c r="M11" i="3"/>
  <c r="S7" i="3"/>
  <c r="S10" i="3" s="1"/>
  <c r="P23" i="3"/>
  <c r="P24" i="3" s="1"/>
  <c r="S13" i="3"/>
  <c r="V8" i="3"/>
  <c r="S85" i="3"/>
  <c r="I8" i="3"/>
  <c r="I85" i="3" s="1"/>
  <c r="M5" i="2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M27" i="2" s="1"/>
  <c r="M28" i="2" s="1"/>
  <c r="M29" i="2" s="1"/>
  <c r="M30" i="2" s="1"/>
  <c r="S30" i="2" s="1"/>
  <c r="AI30" i="2"/>
  <c r="AM27" i="2"/>
  <c r="AK25" i="2"/>
  <c r="AI23" i="2"/>
  <c r="AM20" i="2"/>
  <c r="AK18" i="2"/>
  <c r="AI16" i="2"/>
  <c r="AM13" i="2"/>
  <c r="AK11" i="2"/>
  <c r="AI9" i="2"/>
  <c r="AM6" i="2"/>
  <c r="AN29" i="2"/>
  <c r="AL27" i="2"/>
  <c r="AJ25" i="2"/>
  <c r="AN22" i="2"/>
  <c r="AL20" i="2"/>
  <c r="AJ18" i="2"/>
  <c r="AN15" i="2"/>
  <c r="AL13" i="2"/>
  <c r="AJ11" i="2"/>
  <c r="AN8" i="2"/>
  <c r="AL6" i="2"/>
  <c r="S28" i="2"/>
  <c r="AM29" i="2"/>
  <c r="AK27" i="2"/>
  <c r="AI25" i="2"/>
  <c r="AM22" i="2"/>
  <c r="AK20" i="2"/>
  <c r="AI18" i="2"/>
  <c r="AM15" i="2"/>
  <c r="AK13" i="2"/>
  <c r="AI11" i="2"/>
  <c r="AM8" i="2"/>
  <c r="AK6" i="2"/>
  <c r="AL29" i="2"/>
  <c r="AJ27" i="2"/>
  <c r="AN24" i="2"/>
  <c r="AL22" i="2"/>
  <c r="AJ20" i="2"/>
  <c r="AN17" i="2"/>
  <c r="AL15" i="2"/>
  <c r="AJ13" i="2"/>
  <c r="AN10" i="2"/>
  <c r="AL8" i="2"/>
  <c r="AJ6" i="2"/>
  <c r="AI4" i="2"/>
  <c r="AK29" i="2"/>
  <c r="AI27" i="2"/>
  <c r="AM24" i="2"/>
  <c r="AK22" i="2"/>
  <c r="AI20" i="2"/>
  <c r="AM17" i="2"/>
  <c r="AK15" i="2"/>
  <c r="AI13" i="2"/>
  <c r="AM10" i="2"/>
  <c r="AK8" i="2"/>
  <c r="AI6" i="2"/>
  <c r="AM4" i="2"/>
  <c r="AJ29" i="2"/>
  <c r="AN26" i="2"/>
  <c r="AL24" i="2"/>
  <c r="AJ22" i="2"/>
  <c r="AN19" i="2"/>
  <c r="AL17" i="2"/>
  <c r="AJ15" i="2"/>
  <c r="AN12" i="2"/>
  <c r="AL10" i="2"/>
  <c r="AJ8" i="2"/>
  <c r="AM5" i="2"/>
  <c r="B19" i="1"/>
  <c r="AL4" i="2"/>
  <c r="AM26" i="2"/>
  <c r="AK24" i="2"/>
  <c r="AM19" i="2"/>
  <c r="AK17" i="2"/>
  <c r="AM12" i="2"/>
  <c r="AK10" i="2"/>
  <c r="AL5" i="2"/>
  <c r="AK4" i="2"/>
  <c r="AN28" i="2"/>
  <c r="AL26" i="2"/>
  <c r="AJ24" i="2"/>
  <c r="AN21" i="2"/>
  <c r="AL19" i="2"/>
  <c r="AJ17" i="2"/>
  <c r="AN14" i="2"/>
  <c r="AL12" i="2"/>
  <c r="AJ10" i="2"/>
  <c r="AN7" i="2"/>
  <c r="AK5" i="2"/>
  <c r="AJ4" i="2"/>
  <c r="AM28" i="2"/>
  <c r="AK26" i="2"/>
  <c r="AM21" i="2"/>
  <c r="AK19" i="2"/>
  <c r="AM14" i="2"/>
  <c r="AK12" i="2"/>
  <c r="AM7" i="2"/>
  <c r="AJ5" i="2"/>
  <c r="AN30" i="2"/>
  <c r="AL28" i="2"/>
  <c r="AJ26" i="2"/>
  <c r="AN23" i="2"/>
  <c r="AL21" i="2"/>
  <c r="AJ19" i="2"/>
  <c r="AN16" i="2"/>
  <c r="AL14" i="2"/>
  <c r="AJ12" i="2"/>
  <c r="AN9" i="2"/>
  <c r="AL7" i="2"/>
  <c r="S20" i="2"/>
  <c r="AM30" i="2"/>
  <c r="AK28" i="2"/>
  <c r="AM23" i="2"/>
  <c r="AK21" i="2"/>
  <c r="AM16" i="2"/>
  <c r="AK14" i="2"/>
  <c r="AM9" i="2"/>
  <c r="AK7" i="2"/>
  <c r="AN4" i="2"/>
  <c r="S5" i="2"/>
  <c r="AL30" i="2"/>
  <c r="AJ28" i="2"/>
  <c r="AN25" i="2"/>
  <c r="AL23" i="2"/>
  <c r="AJ21" i="2"/>
  <c r="AN18" i="2"/>
  <c r="AL16" i="2"/>
  <c r="AJ14" i="2"/>
  <c r="AN11" i="2"/>
  <c r="AL9" i="2"/>
  <c r="AJ7" i="2"/>
  <c r="S3" i="2"/>
  <c r="S18" i="2"/>
  <c r="AK30" i="2"/>
  <c r="AM25" i="2"/>
  <c r="AK23" i="2"/>
  <c r="AM18" i="2"/>
  <c r="AK16" i="2"/>
  <c r="AM11" i="2"/>
  <c r="AK9" i="2"/>
  <c r="S4" i="2"/>
  <c r="V24" i="2"/>
  <c r="AI3" i="2"/>
  <c r="AN3" i="2"/>
  <c r="AM3" i="2"/>
  <c r="AL3" i="2"/>
  <c r="AK3" i="2"/>
  <c r="P11" i="3" l="1"/>
  <c r="V7" i="3"/>
  <c r="V10" i="3" s="1"/>
  <c r="S23" i="3"/>
  <c r="S24" i="3" s="1"/>
  <c r="V13" i="3"/>
  <c r="V23" i="3" s="1"/>
  <c r="V24" i="3" s="1"/>
  <c r="Y7" i="3"/>
  <c r="Y10" i="3" s="1"/>
  <c r="Y8" i="3"/>
  <c r="Y85" i="3" s="1"/>
  <c r="V85" i="3"/>
  <c r="J41" i="3"/>
  <c r="J99" i="3" s="1"/>
  <c r="I44" i="3"/>
  <c r="I43" i="3"/>
  <c r="L8" i="3"/>
  <c r="F112" i="3"/>
  <c r="F114" i="3" s="1"/>
  <c r="S19" i="2"/>
  <c r="S10" i="2"/>
  <c r="S13" i="2"/>
  <c r="S24" i="2"/>
  <c r="S11" i="2"/>
  <c r="S12" i="2"/>
  <c r="S27" i="2"/>
  <c r="S25" i="2"/>
  <c r="S17" i="2"/>
  <c r="S23" i="2"/>
  <c r="S26" i="2"/>
  <c r="S8" i="2"/>
  <c r="S9" i="2"/>
  <c r="S22" i="2"/>
  <c r="S6" i="2"/>
  <c r="S7" i="2"/>
  <c r="S16" i="2"/>
  <c r="S21" i="2"/>
  <c r="S15" i="2"/>
  <c r="S14" i="2"/>
  <c r="S29" i="2"/>
  <c r="O3" i="2"/>
  <c r="P3" i="2" s="1"/>
  <c r="R5" i="2"/>
  <c r="V25" i="2"/>
  <c r="V27" i="2"/>
  <c r="V30" i="2"/>
  <c r="V29" i="2"/>
  <c r="V28" i="2"/>
  <c r="V26" i="2"/>
  <c r="I91" i="3" l="1"/>
  <c r="L88" i="3" s="1"/>
  <c r="L89" i="3" s="1"/>
  <c r="G114" i="3"/>
  <c r="J91" i="3" s="1"/>
  <c r="V11" i="3"/>
  <c r="S11" i="3"/>
  <c r="Y13" i="3"/>
  <c r="Y23" i="3" s="1"/>
  <c r="Y24" i="3" s="1"/>
  <c r="L85" i="3"/>
  <c r="M59" i="3"/>
  <c r="J53" i="3"/>
  <c r="K44" i="3"/>
  <c r="K41" i="3"/>
  <c r="L41" i="3" s="1"/>
  <c r="M41" i="3" s="1"/>
  <c r="K43" i="3"/>
  <c r="K42" i="3"/>
  <c r="O8" i="3"/>
  <c r="O85" i="3" s="1"/>
  <c r="Q3" i="2"/>
  <c r="AA4" i="2" s="1"/>
  <c r="J93" i="3" l="1"/>
  <c r="M88" i="3"/>
  <c r="M89" i="3" s="1"/>
  <c r="I93" i="3"/>
  <c r="I92" i="3"/>
  <c r="J92" i="3"/>
  <c r="L68" i="3"/>
  <c r="L67" i="3"/>
  <c r="L66" i="3"/>
  <c r="L42" i="3"/>
  <c r="M42" i="3" s="1"/>
  <c r="N42" i="3" s="1"/>
  <c r="M62" i="3"/>
  <c r="M63" i="3" s="1"/>
  <c r="N41" i="3"/>
  <c r="O41" i="3" s="1"/>
  <c r="P41" i="3" s="1"/>
  <c r="M53" i="3"/>
  <c r="Y11" i="3"/>
  <c r="L72" i="3"/>
  <c r="M72" i="3" s="1"/>
  <c r="M77" i="3" s="1"/>
  <c r="L43" i="3"/>
  <c r="L44" i="3"/>
  <c r="R8" i="3"/>
  <c r="R85" i="3" s="1"/>
  <c r="F4" i="2"/>
  <c r="R7" i="2"/>
  <c r="G4" i="2"/>
  <c r="K4" i="2"/>
  <c r="J4" i="2"/>
  <c r="J102" i="3" l="1"/>
  <c r="J98" i="3"/>
  <c r="J116" i="3" s="1"/>
  <c r="I98" i="3"/>
  <c r="I102" i="3"/>
  <c r="M78" i="3"/>
  <c r="M99" i="3" s="1"/>
  <c r="M54" i="3"/>
  <c r="O73" i="3" s="1"/>
  <c r="N44" i="3"/>
  <c r="N43" i="3"/>
  <c r="O43" i="3" s="1"/>
  <c r="P43" i="3" s="1"/>
  <c r="L69" i="3"/>
  <c r="O42" i="3"/>
  <c r="P42" i="3" s="1"/>
  <c r="Q42" i="3" s="1"/>
  <c r="O72" i="3"/>
  <c r="P72" i="3" s="1"/>
  <c r="P77" i="3" s="1"/>
  <c r="P59" i="3"/>
  <c r="U8" i="3"/>
  <c r="U85" i="3" s="1"/>
  <c r="X7" i="3"/>
  <c r="P53" i="3"/>
  <c r="Q41" i="3"/>
  <c r="R41" i="3" s="1"/>
  <c r="S41" i="3" s="1"/>
  <c r="U4" i="2"/>
  <c r="R8" i="2"/>
  <c r="Q44" i="3" l="1"/>
  <c r="P60" i="3"/>
  <c r="S59" i="3"/>
  <c r="J107" i="3"/>
  <c r="J100" i="3"/>
  <c r="I103" i="3"/>
  <c r="I104" i="3"/>
  <c r="I100" i="3"/>
  <c r="I116" i="3"/>
  <c r="J104" i="3"/>
  <c r="J103" i="3"/>
  <c r="O44" i="3"/>
  <c r="P79" i="3"/>
  <c r="S61" i="3" s="1"/>
  <c r="R66" i="3"/>
  <c r="P78" i="3"/>
  <c r="P54" i="3"/>
  <c r="R73" i="3" s="1"/>
  <c r="O67" i="3"/>
  <c r="O66" i="3"/>
  <c r="O69" i="3"/>
  <c r="O68" i="3"/>
  <c r="P55" i="3"/>
  <c r="P63" i="3"/>
  <c r="Q43" i="3"/>
  <c r="R44" i="3" s="1"/>
  <c r="S44" i="3" s="1"/>
  <c r="X8" i="3"/>
  <c r="X85" i="3" s="1"/>
  <c r="X13" i="3"/>
  <c r="X24" i="3" s="1"/>
  <c r="R72" i="3"/>
  <c r="S72" i="3" s="1"/>
  <c r="S77" i="3" s="1"/>
  <c r="R42" i="3"/>
  <c r="S42" i="3" s="1"/>
  <c r="S60" i="3"/>
  <c r="R67" i="3" s="1"/>
  <c r="S53" i="3"/>
  <c r="T41" i="3"/>
  <c r="U41" i="3" s="1"/>
  <c r="V41" i="3" s="1"/>
  <c r="O4" i="2"/>
  <c r="P4" i="2" s="1"/>
  <c r="X5" i="2" s="1"/>
  <c r="Z5" i="2" s="1"/>
  <c r="J5" i="2" s="1"/>
  <c r="R9" i="2"/>
  <c r="P99" i="3" l="1"/>
  <c r="R74" i="3"/>
  <c r="I117" i="3"/>
  <c r="I118" i="3" s="1"/>
  <c r="I107" i="3"/>
  <c r="J117" i="3"/>
  <c r="J118" i="3" s="1"/>
  <c r="J120" i="3" s="1"/>
  <c r="R68" i="3"/>
  <c r="S54" i="3"/>
  <c r="R69" i="3"/>
  <c r="S63" i="3"/>
  <c r="S56" i="3"/>
  <c r="S80" i="3"/>
  <c r="V62" i="3" s="1"/>
  <c r="R43" i="3"/>
  <c r="S43" i="3" s="1"/>
  <c r="T44" i="3" s="1"/>
  <c r="U75" i="3"/>
  <c r="T42" i="3"/>
  <c r="U42" i="3" s="1"/>
  <c r="V42" i="3" s="1"/>
  <c r="S78" i="3"/>
  <c r="U72" i="3"/>
  <c r="V72" i="3" s="1"/>
  <c r="V77" i="3" s="1"/>
  <c r="V59" i="3"/>
  <c r="V53" i="3"/>
  <c r="W41" i="3"/>
  <c r="X41" i="3" s="1"/>
  <c r="Y41" i="3" s="1"/>
  <c r="Q4" i="2"/>
  <c r="Y5" i="2" s="1"/>
  <c r="AA5" i="2" s="1"/>
  <c r="F5" i="2"/>
  <c r="R10" i="2"/>
  <c r="U73" i="3" l="1"/>
  <c r="I120" i="3"/>
  <c r="U66" i="3"/>
  <c r="V60" i="3"/>
  <c r="S55" i="3"/>
  <c r="T43" i="3"/>
  <c r="U43" i="3" s="1"/>
  <c r="V43" i="3" s="1"/>
  <c r="V55" i="3" s="1"/>
  <c r="S79" i="3"/>
  <c r="V61" i="3" s="1"/>
  <c r="U44" i="3"/>
  <c r="V44" i="3" s="1"/>
  <c r="V56" i="3" s="1"/>
  <c r="V78" i="3"/>
  <c r="Y60" i="3" s="1"/>
  <c r="W42" i="3"/>
  <c r="X42" i="3" s="1"/>
  <c r="Y42" i="3" s="1"/>
  <c r="Y59" i="3"/>
  <c r="X72" i="3"/>
  <c r="Y72" i="3" s="1"/>
  <c r="Y77" i="3" s="1"/>
  <c r="Y53" i="3"/>
  <c r="V54" i="3"/>
  <c r="R11" i="2"/>
  <c r="G5" i="2"/>
  <c r="U5" i="2" s="1"/>
  <c r="O5" i="2" s="1"/>
  <c r="Q5" i="2" s="1"/>
  <c r="K5" i="2"/>
  <c r="I121" i="3" l="1"/>
  <c r="J121" i="3" s="1"/>
  <c r="J122" i="3" s="1"/>
  <c r="S99" i="3"/>
  <c r="U74" i="3"/>
  <c r="V63" i="3"/>
  <c r="U68" i="3"/>
  <c r="U69" i="3"/>
  <c r="U67" i="3"/>
  <c r="X67" i="3"/>
  <c r="X66" i="3"/>
  <c r="W43" i="3"/>
  <c r="X43" i="3" s="1"/>
  <c r="Y43" i="3" s="1"/>
  <c r="W44" i="3"/>
  <c r="X44" i="3" s="1"/>
  <c r="Y44" i="3" s="1"/>
  <c r="V80" i="3"/>
  <c r="Y62" i="3" s="1"/>
  <c r="V79" i="3"/>
  <c r="X74" i="3" s="1"/>
  <c r="X73" i="3"/>
  <c r="Y78" i="3"/>
  <c r="Y54" i="3"/>
  <c r="Y6" i="2"/>
  <c r="AA6" i="2" s="1"/>
  <c r="K6" i="2" s="1"/>
  <c r="R12" i="2"/>
  <c r="P5" i="2"/>
  <c r="X6" i="2" s="1"/>
  <c r="Z6" i="2" s="1"/>
  <c r="J6" i="2" s="1"/>
  <c r="I122" i="3" l="1"/>
  <c r="V99" i="3"/>
  <c r="X75" i="3"/>
  <c r="I110" i="3"/>
  <c r="I111" i="3" s="1"/>
  <c r="I113" i="3" s="1"/>
  <c r="Y79" i="3"/>
  <c r="Y61" i="3"/>
  <c r="Y55" i="3"/>
  <c r="Y80" i="3"/>
  <c r="Y56" i="3"/>
  <c r="G6" i="2"/>
  <c r="R13" i="2"/>
  <c r="F6" i="2"/>
  <c r="U6" i="2" s="1"/>
  <c r="W6" i="2" s="1"/>
  <c r="O6" i="2" s="1"/>
  <c r="Y99" i="3" l="1"/>
  <c r="I112" i="3"/>
  <c r="J114" i="3" s="1"/>
  <c r="M91" i="3" s="1"/>
  <c r="I114" i="3"/>
  <c r="L91" i="3" s="1"/>
  <c r="J66" i="3"/>
  <c r="J68" i="3"/>
  <c r="J69" i="3"/>
  <c r="J67" i="3"/>
  <c r="X68" i="3"/>
  <c r="X69" i="3"/>
  <c r="Y63" i="3"/>
  <c r="R14" i="2"/>
  <c r="Y7" i="2"/>
  <c r="AA7" i="2" s="1"/>
  <c r="O88" i="3" l="1"/>
  <c r="O89" i="3" s="1"/>
  <c r="L93" i="3"/>
  <c r="L92" i="3"/>
  <c r="P88" i="3"/>
  <c r="P89" i="3" s="1"/>
  <c r="M92" i="3"/>
  <c r="M93" i="3"/>
  <c r="X7" i="2"/>
  <c r="Z7" i="2" s="1"/>
  <c r="R15" i="2"/>
  <c r="G7" i="2"/>
  <c r="K7" i="2"/>
  <c r="M102" i="3" l="1"/>
  <c r="M98" i="3"/>
  <c r="L102" i="3"/>
  <c r="L98" i="3"/>
  <c r="J7" i="2"/>
  <c r="F7" i="2"/>
  <c r="U7" i="2" s="1"/>
  <c r="O7" i="2" s="1"/>
  <c r="R16" i="2"/>
  <c r="L100" i="3" l="1"/>
  <c r="L116" i="3"/>
  <c r="L103" i="3"/>
  <c r="L104" i="3"/>
  <c r="M100" i="3"/>
  <c r="M116" i="3"/>
  <c r="M107" i="3" s="1"/>
  <c r="M104" i="3"/>
  <c r="M103" i="3"/>
  <c r="P7" i="2"/>
  <c r="X8" i="2" s="1"/>
  <c r="Z8" i="2" s="1"/>
  <c r="Q7" i="2"/>
  <c r="Y8" i="2" s="1"/>
  <c r="AA8" i="2" s="1"/>
  <c r="G8" i="2" s="1"/>
  <c r="J8" i="2"/>
  <c r="R17" i="2"/>
  <c r="F8" i="2"/>
  <c r="M117" i="3" l="1"/>
  <c r="M118" i="3" s="1"/>
  <c r="M120" i="3" s="1"/>
  <c r="L117" i="3"/>
  <c r="L118" i="3" s="1"/>
  <c r="L107" i="3"/>
  <c r="K8" i="2"/>
  <c r="W8" i="2"/>
  <c r="R18" i="2"/>
  <c r="L120" i="3" l="1"/>
  <c r="L121" i="3"/>
  <c r="L122" i="3" s="1"/>
  <c r="O8" i="2"/>
  <c r="Q8" i="2" s="1"/>
  <c r="Y9" i="2" s="1"/>
  <c r="AA9" i="2" s="1"/>
  <c r="R19" i="2"/>
  <c r="M121" i="3" l="1"/>
  <c r="M122" i="3" s="1"/>
  <c r="L110" i="3"/>
  <c r="G9" i="2"/>
  <c r="K9" i="2"/>
  <c r="P8" i="2"/>
  <c r="X9" i="2" s="1"/>
  <c r="Z9" i="2" s="1"/>
  <c r="J9" i="2" s="1"/>
  <c r="F9" i="2"/>
  <c r="U9" i="2" s="1"/>
  <c r="W9" i="2" s="1"/>
  <c r="O9" i="2" s="1"/>
  <c r="P9" i="2" s="1"/>
  <c r="X10" i="2" s="1"/>
  <c r="Z10" i="2" s="1"/>
  <c r="J10" i="2" s="1"/>
  <c r="R20" i="2"/>
  <c r="L111" i="3" l="1"/>
  <c r="L113" i="3" s="1"/>
  <c r="L112" i="3"/>
  <c r="L114" i="3" s="1"/>
  <c r="O91" i="3" s="1"/>
  <c r="Q9" i="2"/>
  <c r="Y10" i="2" s="1"/>
  <c r="AA10" i="2" s="1"/>
  <c r="G10" i="2" s="1"/>
  <c r="R21" i="2"/>
  <c r="F10" i="2"/>
  <c r="M114" i="3" l="1"/>
  <c r="P91" i="3" s="1"/>
  <c r="S88" i="3"/>
  <c r="S89" i="3" s="1"/>
  <c r="P93" i="3"/>
  <c r="P92" i="3"/>
  <c r="R88" i="3"/>
  <c r="R89" i="3" s="1"/>
  <c r="O93" i="3"/>
  <c r="O92" i="3"/>
  <c r="M66" i="3"/>
  <c r="M68" i="3"/>
  <c r="M67" i="3"/>
  <c r="M69" i="3"/>
  <c r="U10" i="2"/>
  <c r="W10" i="2" s="1"/>
  <c r="O10" i="2" s="1"/>
  <c r="Q10" i="2" s="1"/>
  <c r="K10" i="2"/>
  <c r="R22" i="2"/>
  <c r="O98" i="3" l="1"/>
  <c r="O102" i="3"/>
  <c r="P102" i="3"/>
  <c r="P98" i="3"/>
  <c r="Y11" i="2"/>
  <c r="P10" i="2"/>
  <c r="X11" i="2" s="1"/>
  <c r="Z11" i="2" s="1"/>
  <c r="J11" i="2" s="1"/>
  <c r="R23" i="2"/>
  <c r="P116" i="3" l="1"/>
  <c r="P100" i="3"/>
  <c r="P104" i="3"/>
  <c r="P103" i="3"/>
  <c r="O103" i="3"/>
  <c r="O104" i="3"/>
  <c r="O100" i="3"/>
  <c r="O116" i="3"/>
  <c r="AA11" i="2"/>
  <c r="G11" i="2" s="1"/>
  <c r="F11" i="2"/>
  <c r="U11" i="2" s="1"/>
  <c r="W11" i="2" s="1"/>
  <c r="O11" i="2" s="1"/>
  <c r="P11" i="2" s="1"/>
  <c r="X12" i="2" s="1"/>
  <c r="Z12" i="2" s="1"/>
  <c r="J12" i="2" s="1"/>
  <c r="R24" i="2"/>
  <c r="O107" i="3" l="1"/>
  <c r="O117" i="3"/>
  <c r="O118" i="3" s="1"/>
  <c r="P107" i="3"/>
  <c r="P117" i="3"/>
  <c r="P118" i="3" s="1"/>
  <c r="P120" i="3" s="1"/>
  <c r="K11" i="2"/>
  <c r="Q11" i="2"/>
  <c r="R25" i="2"/>
  <c r="F12" i="2"/>
  <c r="O120" i="3" l="1"/>
  <c r="Y12" i="2"/>
  <c r="AA12" i="2" s="1"/>
  <c r="R26" i="2"/>
  <c r="O121" i="3" l="1"/>
  <c r="O122" i="3"/>
  <c r="G12" i="2"/>
  <c r="U12" i="2" s="1"/>
  <c r="W12" i="2" s="1"/>
  <c r="O12" i="2" s="1"/>
  <c r="Q12" i="2" s="1"/>
  <c r="K12" i="2"/>
  <c r="R27" i="2"/>
  <c r="O110" i="3" l="1"/>
  <c r="P121" i="3"/>
  <c r="P122" i="3" s="1"/>
  <c r="Y13" i="2"/>
  <c r="AA13" i="2" s="1"/>
  <c r="G13" i="2" s="1"/>
  <c r="P12" i="2"/>
  <c r="X13" i="2" s="1"/>
  <c r="Z13" i="2" s="1"/>
  <c r="J13" i="2" s="1"/>
  <c r="R28" i="2"/>
  <c r="O112" i="3" l="1"/>
  <c r="O114" i="3" s="1"/>
  <c r="R91" i="3" s="1"/>
  <c r="O111" i="3"/>
  <c r="O113" i="3" s="1"/>
  <c r="K13" i="2"/>
  <c r="F13" i="2"/>
  <c r="U13" i="2" s="1"/>
  <c r="W13" i="2" s="1"/>
  <c r="O13" i="2" s="1"/>
  <c r="Q13" i="2" s="1"/>
  <c r="Y14" i="2" s="1"/>
  <c r="AA14" i="2" s="1"/>
  <c r="G14" i="2" s="1"/>
  <c r="R30" i="2"/>
  <c r="R29" i="2"/>
  <c r="P68" i="3" l="1"/>
  <c r="P69" i="3"/>
  <c r="P67" i="3"/>
  <c r="P66" i="3"/>
  <c r="U88" i="3"/>
  <c r="U89" i="3" s="1"/>
  <c r="R93" i="3"/>
  <c r="R92" i="3"/>
  <c r="P114" i="3"/>
  <c r="S91" i="3" s="1"/>
  <c r="K14" i="2"/>
  <c r="P13" i="2"/>
  <c r="X14" i="2" s="1"/>
  <c r="Z14" i="2" s="1"/>
  <c r="J14" i="2" s="1"/>
  <c r="V88" i="3" l="1"/>
  <c r="V89" i="3" s="1"/>
  <c r="S93" i="3"/>
  <c r="S92" i="3"/>
  <c r="R102" i="3"/>
  <c r="R98" i="3"/>
  <c r="F14" i="2"/>
  <c r="U14" i="2" s="1"/>
  <c r="W14" i="2" s="1"/>
  <c r="O14" i="2" s="1"/>
  <c r="P14" i="2" s="1"/>
  <c r="X15" i="2" s="1"/>
  <c r="Z15" i="2" s="1"/>
  <c r="J15" i="2" s="1"/>
  <c r="S98" i="3" l="1"/>
  <c r="S102" i="3"/>
  <c r="R100" i="3"/>
  <c r="R116" i="3"/>
  <c r="R104" i="3"/>
  <c r="R103" i="3"/>
  <c r="F15" i="2"/>
  <c r="Q14" i="2"/>
  <c r="Y15" i="2" s="1"/>
  <c r="AA15" i="2" s="1"/>
  <c r="G15" i="2" s="1"/>
  <c r="U15" i="2" s="1"/>
  <c r="W15" i="2" s="1"/>
  <c r="O15" i="2" s="1"/>
  <c r="Q15" i="2" s="1"/>
  <c r="R107" i="3" l="1"/>
  <c r="R117" i="3"/>
  <c r="R118" i="3" s="1"/>
  <c r="S104" i="3"/>
  <c r="S103" i="3"/>
  <c r="S116" i="3"/>
  <c r="S100" i="3"/>
  <c r="K15" i="2"/>
  <c r="Y16" i="2" s="1"/>
  <c r="AA16" i="2" s="1"/>
  <c r="G16" i="2" s="1"/>
  <c r="P15" i="2"/>
  <c r="X16" i="2" s="1"/>
  <c r="Z16" i="2" s="1"/>
  <c r="J16" i="2" s="1"/>
  <c r="R120" i="3" l="1"/>
  <c r="S107" i="3"/>
  <c r="S117" i="3"/>
  <c r="S118" i="3" s="1"/>
  <c r="S120" i="3" s="1"/>
  <c r="R121" i="3" s="1"/>
  <c r="R122" i="3" s="1"/>
  <c r="K16" i="2"/>
  <c r="F16" i="2"/>
  <c r="U16" i="2" s="1"/>
  <c r="W16" i="2" s="1"/>
  <c r="O16" i="2" s="1"/>
  <c r="P16" i="2" s="1"/>
  <c r="X17" i="2" s="1"/>
  <c r="Z17" i="2" s="1"/>
  <c r="J17" i="2" s="1"/>
  <c r="S121" i="3" l="1"/>
  <c r="S122" i="3" s="1"/>
  <c r="R110" i="3"/>
  <c r="Q16" i="2"/>
  <c r="Y17" i="2" s="1"/>
  <c r="AA17" i="2" s="1"/>
  <c r="K17" i="2" s="1"/>
  <c r="F17" i="2"/>
  <c r="R111" i="3" l="1"/>
  <c r="R113" i="3" s="1"/>
  <c r="R112" i="3"/>
  <c r="R114" i="3" s="1"/>
  <c r="U91" i="3" s="1"/>
  <c r="G17" i="2"/>
  <c r="U17" i="2" s="1"/>
  <c r="W17" i="2" s="1"/>
  <c r="O17" i="2" s="1"/>
  <c r="P17" i="2" s="1"/>
  <c r="X18" i="2" s="1"/>
  <c r="Z18" i="2" s="1"/>
  <c r="J18" i="2" s="1"/>
  <c r="S114" i="3" l="1"/>
  <c r="V91" i="3" s="1"/>
  <c r="V93" i="3"/>
  <c r="V92" i="3"/>
  <c r="X88" i="3"/>
  <c r="X89" i="3" s="1"/>
  <c r="U92" i="3"/>
  <c r="U93" i="3"/>
  <c r="S67" i="3"/>
  <c r="S66" i="3"/>
  <c r="S68" i="3"/>
  <c r="S69" i="3"/>
  <c r="Q17" i="2"/>
  <c r="Y18" i="2" s="1"/>
  <c r="AA18" i="2" s="1"/>
  <c r="G18" i="2" s="1"/>
  <c r="F18" i="2"/>
  <c r="U102" i="3" l="1"/>
  <c r="U98" i="3"/>
  <c r="V102" i="3"/>
  <c r="V98" i="3"/>
  <c r="K18" i="2"/>
  <c r="U18" i="2"/>
  <c r="W18" i="2" s="1"/>
  <c r="O18" i="2" s="1"/>
  <c r="Q18" i="2" s="1"/>
  <c r="U116" i="3" l="1"/>
  <c r="U100" i="3"/>
  <c r="V116" i="3"/>
  <c r="V100" i="3"/>
  <c r="V103" i="3"/>
  <c r="V104" i="3"/>
  <c r="U104" i="3"/>
  <c r="U103" i="3"/>
  <c r="Y19" i="2"/>
  <c r="AA19" i="2" s="1"/>
  <c r="G19" i="2" s="1"/>
  <c r="P18" i="2"/>
  <c r="X19" i="2" s="1"/>
  <c r="Z19" i="2" s="1"/>
  <c r="J19" i="2" s="1"/>
  <c r="V107" i="3" l="1"/>
  <c r="V120" i="3"/>
  <c r="U107" i="3"/>
  <c r="U117" i="3"/>
  <c r="U118" i="3" s="1"/>
  <c r="U120" i="3" s="1"/>
  <c r="K19" i="2"/>
  <c r="F19" i="2"/>
  <c r="U19" i="2" s="1"/>
  <c r="W19" i="2" s="1"/>
  <c r="O19" i="2" s="1"/>
  <c r="P19" i="2" s="1"/>
  <c r="X20" i="2" s="1"/>
  <c r="Z20" i="2" s="1"/>
  <c r="U121" i="3" l="1"/>
  <c r="U122" i="3"/>
  <c r="Q19" i="2"/>
  <c r="Y20" i="2" s="1"/>
  <c r="AA20" i="2" s="1"/>
  <c r="G20" i="2" s="1"/>
  <c r="J20" i="2"/>
  <c r="F20" i="2"/>
  <c r="V121" i="3" l="1"/>
  <c r="V122" i="3" s="1"/>
  <c r="U110" i="3"/>
  <c r="K20" i="2"/>
  <c r="U20" i="2"/>
  <c r="W20" i="2" s="1"/>
  <c r="U112" i="3" l="1"/>
  <c r="U114" i="3" s="1"/>
  <c r="X91" i="3" s="1"/>
  <c r="U111" i="3"/>
  <c r="U113" i="3" s="1"/>
  <c r="O20" i="2"/>
  <c r="P20" i="2" s="1"/>
  <c r="X21" i="2" s="1"/>
  <c r="Z21" i="2" s="1"/>
  <c r="X93" i="3" l="1"/>
  <c r="X92" i="3"/>
  <c r="V66" i="3"/>
  <c r="V67" i="3"/>
  <c r="V69" i="3"/>
  <c r="V68" i="3"/>
  <c r="V114" i="3"/>
  <c r="Y91" i="3" s="1"/>
  <c r="J21" i="2"/>
  <c r="F21" i="2"/>
  <c r="Q20" i="2"/>
  <c r="Y21" i="2" s="1"/>
  <c r="AA21" i="2" s="1"/>
  <c r="G21" i="2" s="1"/>
  <c r="Y93" i="3" l="1"/>
  <c r="Y92" i="3"/>
  <c r="X102" i="3"/>
  <c r="X98" i="3"/>
  <c r="U21" i="2"/>
  <c r="W21" i="2" s="1"/>
  <c r="O21" i="2" s="1"/>
  <c r="Q21" i="2" s="1"/>
  <c r="K21" i="2"/>
  <c r="X116" i="3" l="1"/>
  <c r="X100" i="3"/>
  <c r="X104" i="3"/>
  <c r="X103" i="3"/>
  <c r="Y102" i="3"/>
  <c r="Y98" i="3"/>
  <c r="P21" i="2"/>
  <c r="X22" i="2" s="1"/>
  <c r="Z22" i="2" s="1"/>
  <c r="J22" i="2" s="1"/>
  <c r="Y22" i="2"/>
  <c r="AA22" i="2" s="1"/>
  <c r="G22" i="2" s="1"/>
  <c r="F22" i="2"/>
  <c r="U22" i="2" s="1"/>
  <c r="W22" i="2" s="1"/>
  <c r="O22" i="2" s="1"/>
  <c r="Q22" i="2" s="1"/>
  <c r="Y116" i="3" l="1"/>
  <c r="Y100" i="3"/>
  <c r="Y104" i="3"/>
  <c r="Y103" i="3"/>
  <c r="X107" i="3"/>
  <c r="X117" i="3"/>
  <c r="X118" i="3" s="1"/>
  <c r="X120" i="3" s="1"/>
  <c r="K22" i="2"/>
  <c r="Y23" i="2" s="1"/>
  <c r="AA23" i="2" s="1"/>
  <c r="P22" i="2"/>
  <c r="X23" i="2" s="1"/>
  <c r="Z23" i="2" s="1"/>
  <c r="J23" i="2" s="1"/>
  <c r="Y117" i="3" l="1"/>
  <c r="Y107" i="3"/>
  <c r="G23" i="2"/>
  <c r="K23" i="2"/>
  <c r="F23" i="2"/>
  <c r="U23" i="2" s="1"/>
  <c r="W23" i="2" s="1"/>
  <c r="O23" i="2" s="1"/>
  <c r="Q23" i="2" s="1"/>
  <c r="Y24" i="2" s="1"/>
  <c r="AA24" i="2" s="1"/>
  <c r="Y120" i="3" l="1"/>
  <c r="X121" i="3" s="1"/>
  <c r="Y121" i="3"/>
  <c r="Y122" i="3" s="1"/>
  <c r="X110" i="3"/>
  <c r="X122" i="3"/>
  <c r="P23" i="2"/>
  <c r="X24" i="2" s="1"/>
  <c r="Z24" i="2" s="1"/>
  <c r="J24" i="2" s="1"/>
  <c r="G24" i="2"/>
  <c r="K24" i="2"/>
  <c r="X112" i="3" l="1"/>
  <c r="X114" i="3" s="1"/>
  <c r="X111" i="3"/>
  <c r="X113" i="3" s="1"/>
  <c r="F24" i="2"/>
  <c r="U24" i="2" s="1"/>
  <c r="W24" i="2" s="1"/>
  <c r="O24" i="2" s="1"/>
  <c r="P24" i="2" s="1"/>
  <c r="X25" i="2" s="1"/>
  <c r="Z25" i="2" s="1"/>
  <c r="J25" i="2" s="1"/>
  <c r="Y114" i="3" l="1"/>
  <c r="Y66" i="3"/>
  <c r="Y67" i="3"/>
  <c r="Y68" i="3"/>
  <c r="Y69" i="3"/>
  <c r="Q24" i="2"/>
  <c r="Y25" i="2" s="1"/>
  <c r="AA25" i="2" s="1"/>
  <c r="G25" i="2" s="1"/>
  <c r="F25" i="2"/>
  <c r="K25" i="2" l="1"/>
  <c r="U25" i="2"/>
  <c r="W25" i="2" s="1"/>
  <c r="O25" i="2" s="1"/>
  <c r="Q25" i="2" s="1"/>
  <c r="Y26" i="2" s="1"/>
  <c r="AA26" i="2" s="1"/>
  <c r="G26" i="2" s="1"/>
  <c r="P25" i="2" l="1"/>
  <c r="X26" i="2" s="1"/>
  <c r="Z26" i="2" s="1"/>
  <c r="J26" i="2" s="1"/>
  <c r="K26" i="2"/>
  <c r="F26" i="2" l="1"/>
  <c r="U26" i="2" s="1"/>
  <c r="W26" i="2" s="1"/>
  <c r="O26" i="2" s="1"/>
  <c r="Q26" i="2" s="1"/>
  <c r="Y27" i="2" s="1"/>
  <c r="AA27" i="2" s="1"/>
  <c r="P26" i="2" l="1"/>
  <c r="X27" i="2" s="1"/>
  <c r="Z27" i="2" s="1"/>
  <c r="J27" i="2" s="1"/>
  <c r="G27" i="2"/>
  <c r="K27" i="2"/>
  <c r="F27" i="2" l="1"/>
  <c r="U27" i="2" s="1"/>
  <c r="W27" i="2" s="1"/>
  <c r="O27" i="2" s="1"/>
  <c r="P27" i="2" s="1"/>
  <c r="X28" i="2" s="1"/>
  <c r="Z28" i="2" s="1"/>
  <c r="J28" i="2" s="1"/>
  <c r="Q27" i="2" l="1"/>
  <c r="Y28" i="2" s="1"/>
  <c r="AA28" i="2" s="1"/>
  <c r="G28" i="2" s="1"/>
  <c r="F28" i="2"/>
  <c r="U28" i="2" l="1"/>
  <c r="W28" i="2" s="1"/>
  <c r="O28" i="2" s="1"/>
  <c r="Q28" i="2" s="1"/>
  <c r="K28" i="2"/>
  <c r="Y29" i="2" l="1"/>
  <c r="AA29" i="2" s="1"/>
  <c r="G29" i="2" s="1"/>
  <c r="P28" i="2"/>
  <c r="X29" i="2" s="1"/>
  <c r="Z29" i="2" s="1"/>
  <c r="J29" i="2" s="1"/>
  <c r="K29" i="2" l="1"/>
  <c r="F29" i="2"/>
  <c r="U29" i="2" s="1"/>
  <c r="W29" i="2" s="1"/>
  <c r="O29" i="2" s="1"/>
  <c r="P29" i="2" s="1"/>
  <c r="X30" i="2" s="1"/>
  <c r="Z30" i="2" s="1"/>
  <c r="J30" i="2" s="1"/>
  <c r="F30" i="2" l="1"/>
  <c r="Q29" i="2"/>
  <c r="Y30" i="2" s="1"/>
  <c r="AA30" i="2" s="1"/>
  <c r="G30" i="2" l="1"/>
  <c r="U30" i="2" s="1"/>
  <c r="W30" i="2" s="1"/>
  <c r="O30" i="2" s="1"/>
  <c r="Q30" i="2" s="1"/>
  <c r="K30" i="2"/>
  <c r="P30" i="2" l="1"/>
</calcChain>
</file>

<file path=xl/sharedStrings.xml><?xml version="1.0" encoding="utf-8"?>
<sst xmlns="http://schemas.openxmlformats.org/spreadsheetml/2006/main" count="288" uniqueCount="205">
  <si>
    <t>forest_primary_c_ha</t>
  </si>
  <si>
    <t>forest_secondary_c_ha</t>
  </si>
  <si>
    <t>forest_primary_c_ha_yr</t>
  </si>
  <si>
    <t>forest_secondary_c_ha_yr</t>
  </si>
  <si>
    <t>forest_primary_conv_ha</t>
  </si>
  <si>
    <t>forest_secondary_conv_ha</t>
  </si>
  <si>
    <t>fraction_c_available_for_use</t>
  </si>
  <si>
    <t>c_demand</t>
  </si>
  <si>
    <t>forest_primary_ha</t>
  </si>
  <si>
    <t>forest_secondary_ha</t>
  </si>
  <si>
    <t>fraction_c_converted_available</t>
  </si>
  <si>
    <t>c_stock_loss_conversion_primary</t>
  </si>
  <si>
    <t>c_stock_loss_conversion_secondary</t>
  </si>
  <si>
    <t>c_stock_loss_conversion_available_for_bmass</t>
  </si>
  <si>
    <t>c_stock_available_in_forests</t>
  </si>
  <si>
    <t>fraction_c_loss_to_degrade</t>
  </si>
  <si>
    <t>Assume forest in steady state at t = 0 (def a problem)</t>
  </si>
  <si>
    <t>Stop extraction at floor (30%)</t>
  </si>
  <si>
    <t>Reduce annual sequestration rate after some threshold (70%?)</t>
  </si>
  <si>
    <t>tp0</t>
  </si>
  <si>
    <t>tp1</t>
  </si>
  <si>
    <t>tp2</t>
  </si>
  <si>
    <t>..</t>
  </si>
  <si>
    <t>Initial Area (ha)</t>
  </si>
  <si>
    <t>primary</t>
  </si>
  <si>
    <t>secondary</t>
  </si>
  <si>
    <t>Deforestation</t>
  </si>
  <si>
    <t>Protected Areas</t>
  </si>
  <si>
    <t>Annual Sequestration</t>
  </si>
  <si>
    <t>Area of Original Remaining</t>
  </si>
  <si>
    <t>C stock tonne per ha</t>
  </si>
  <si>
    <t>Removals (tonnes)</t>
  </si>
  <si>
    <t xml:space="preserve"> Demanded</t>
  </si>
  <si>
    <t>seq_curve</t>
  </si>
  <si>
    <t>tp3</t>
  </si>
  <si>
    <t>tp4</t>
  </si>
  <si>
    <t>New Forest Areas -- Assume unavailable for harvesting for at least 20 years</t>
  </si>
  <si>
    <t>stock in new forests</t>
  </si>
  <si>
    <t>seq_cum</t>
  </si>
  <si>
    <t>new</t>
  </si>
  <si>
    <t>tp</t>
  </si>
  <si>
    <t>n_years_to_avail</t>
  </si>
  <si>
    <t>frac_avail_for_use</t>
  </si>
  <si>
    <t>deforestation</t>
  </si>
  <si>
    <t>C from other</t>
  </si>
  <si>
    <t>min_frac_required</t>
  </si>
  <si>
    <t>C total available</t>
  </si>
  <si>
    <t>C at beginning of period</t>
  </si>
  <si>
    <t>C without degradationin init</t>
  </si>
  <si>
    <t xml:space="preserve"> </t>
  </si>
  <si>
    <t>Satisfiable</t>
  </si>
  <si>
    <t>t = 0</t>
  </si>
  <si>
    <t>protected area</t>
  </si>
  <si>
    <t>demanded removals (hwp + fuelwood)</t>
  </si>
  <si>
    <t>frac la conversion available for use</t>
  </si>
  <si>
    <t>land use conversion away</t>
  </si>
  <si>
    <t>Demand</t>
  </si>
  <si>
    <t>calculated variables</t>
  </si>
  <si>
    <t>C stock</t>
  </si>
  <si>
    <t>Sequestration</t>
  </si>
  <si>
    <t>sequestration_curve</t>
  </si>
  <si>
    <t>function</t>
  </si>
  <si>
    <t>base factor</t>
  </si>
  <si>
    <t>base average stock</t>
  </si>
  <si>
    <t>current average stock</t>
  </si>
  <si>
    <t>t = 1</t>
  </si>
  <si>
    <t>t = 2</t>
  </si>
  <si>
    <t>land conversion into</t>
  </si>
  <si>
    <t>initial area  from steady state</t>
  </si>
  <si>
    <t>nominal annual sequestration (tonna/ha/year)</t>
  </si>
  <si>
    <t>area_from_t1</t>
  </si>
  <si>
    <t>c_stock_t0</t>
  </si>
  <si>
    <t>c_stock_t1</t>
  </si>
  <si>
    <t>c_stock_t2</t>
  </si>
  <si>
    <t>Removals</t>
  </si>
  <si>
    <t>original forest</t>
  </si>
  <si>
    <t>average stock per ha available (accounts for min frac)</t>
  </si>
  <si>
    <t>c available from stock beginning of period</t>
  </si>
  <si>
    <t>after X years, new forests enter the full pool, and it's assumed that wood is pulled uniformly (deal with average sequestration factors)</t>
  </si>
  <si>
    <t>t = 3</t>
  </si>
  <si>
    <t>area_from_t2</t>
  </si>
  <si>
    <t>area_from_t3</t>
  </si>
  <si>
    <t>c_stock_t3</t>
  </si>
  <si>
    <t>…</t>
  </si>
  <si>
    <t>t = 4</t>
  </si>
  <si>
    <t>t = 5</t>
  </si>
  <si>
    <t>T x T</t>
  </si>
  <si>
    <t>NEW FOREST PROTECTION MATRIX</t>
  </si>
  <si>
    <t xml:space="preserve"> (Y) area_from _t0</t>
  </si>
  <si>
    <t>zeros</t>
  </si>
  <si>
    <t>adjusted sequestration in original</t>
  </si>
  <si>
    <t>NPP Curve and Young Forest Assumptions</t>
  </si>
  <si>
    <t>sequestration_factor_t0_base</t>
  </si>
  <si>
    <t>sequestration_factor_t1_base</t>
  </si>
  <si>
    <t>sequestration_factor_t2_base</t>
  </si>
  <si>
    <t>sequestration_factor_t3_base</t>
  </si>
  <si>
    <t>unproctected</t>
  </si>
  <si>
    <t>protected</t>
  </si>
  <si>
    <t>orig</t>
  </si>
  <si>
    <t>young</t>
  </si>
  <si>
    <t>avail</t>
  </si>
  <si>
    <t>unavail</t>
  </si>
  <si>
    <t>6 bins</t>
  </si>
  <si>
    <t>from original forests, c stock available</t>
  </si>
  <si>
    <t>from original forests, c stock that is unavailable without affecting land use transition</t>
  </si>
  <si>
    <t>from new forests, c stock available</t>
  </si>
  <si>
    <t>from new forests, c stock unavailable</t>
  </si>
  <si>
    <t xml:space="preserve">from original forests, c stock </t>
  </si>
  <si>
    <t xml:space="preserve">from protected forests, c stock </t>
  </si>
  <si>
    <t>last in, last out</t>
  </si>
  <si>
    <t>LILO</t>
  </si>
  <si>
    <t>young_forest_protected</t>
  </si>
  <si>
    <t>D = P + I - E</t>
  </si>
  <si>
    <t>FRAC_IMPORTS = I/(P + I - E)</t>
  </si>
  <si>
    <t>if_untouched_c_stock_t0</t>
  </si>
  <si>
    <t>if_untouched_c_stock_t1</t>
  </si>
  <si>
    <t>if_untouched_c_stock_t2</t>
  </si>
  <si>
    <t>if_untouched_c_stock_t3</t>
  </si>
  <si>
    <t>land use conversion away from new forest</t>
  </si>
  <si>
    <t>forest area (start)</t>
  </si>
  <si>
    <t>base tonne C/ha reqd maintained</t>
  </si>
  <si>
    <t>base storage tonne C/ha</t>
  </si>
  <si>
    <t>buffer zone (fraction of stock above dead storage which contributes to slowing removals)</t>
  </si>
  <si>
    <t>some reservoir terms</t>
  </si>
  <si>
    <t>healthy storage available</t>
  </si>
  <si>
    <t>removals allocation</t>
  </si>
  <si>
    <t>removals from original</t>
  </si>
  <si>
    <t>total starting stock</t>
  </si>
  <si>
    <t>stock to allocate from original pool excluding conversion</t>
  </si>
  <si>
    <t>total starting stock in original</t>
  </si>
  <si>
    <t>total starting stock in new</t>
  </si>
  <si>
    <t>total accessible pool</t>
  </si>
  <si>
    <t>removals  unmet by original</t>
  </si>
  <si>
    <t>drops</t>
  </si>
  <si>
    <t>cumulative_vals</t>
  </si>
  <si>
    <t xml:space="preserve">c available from original conversion </t>
  </si>
  <si>
    <t>conversion away from new forest</t>
  </si>
  <si>
    <t>c_available_for_removals_mask_t0</t>
  </si>
  <si>
    <t>c_available_for_removals_mask_t1</t>
  </si>
  <si>
    <t>c_available_for_removals_mask_t2</t>
  </si>
  <si>
    <t>c_available_for_removals_mask_t3</t>
  </si>
  <si>
    <t>adjusted new forest sequestration factor from NPP</t>
  </si>
  <si>
    <t>adjusted_sequestration_factor_t0</t>
  </si>
  <si>
    <t>adjusted_sequestration_factor_t1</t>
  </si>
  <si>
    <t>adjusted_sequestration_factor_t2</t>
  </si>
  <si>
    <t>adjusted_sequestration_factor_t3</t>
  </si>
  <si>
    <t>t = 6</t>
  </si>
  <si>
    <t>adjustment factor</t>
  </si>
  <si>
    <t>calculate how much is available for removals when considering dead storage</t>
  </si>
  <si>
    <t>(percentage of forest stock available out of full stock not in dead storage ) carbon_stock_factor</t>
  </si>
  <si>
    <t>frac_removables_satisficable</t>
  </si>
  <si>
    <t xml:space="preserve">this is the fraciton of total wood removal deamands from forest that can be taken </t>
  </si>
  <si>
    <t xml:space="preserve">dead storage (minimum fraction of original stock that must remain on the land to allow it to remain that land use type). Note that sequestration factors dcline linearly below the </t>
  </si>
  <si>
    <t>sequestration adjustment threshold--below this carbon stock depletion level, sequestration factors will start to decline</t>
  </si>
  <si>
    <t>YOUNG FOREST/AFORESTATION</t>
  </si>
  <si>
    <t>STARTING FOREST</t>
  </si>
  <si>
    <t>if_untouched_c_stock</t>
  </si>
  <si>
    <t>average_stock_per_ha</t>
  </si>
  <si>
    <t>removals</t>
  </si>
  <si>
    <t>c_available_for_removals</t>
  </si>
  <si>
    <t>area from steady state after conversion away</t>
  </si>
  <si>
    <t>c_stock_total</t>
  </si>
  <si>
    <t>original_forest_protected</t>
  </si>
  <si>
    <t>land use conversion away from new forest without protection</t>
  </si>
  <si>
    <t>young forest</t>
  </si>
  <si>
    <t>removals from young</t>
  </si>
  <si>
    <t>total c available for removals</t>
  </si>
  <si>
    <t>NxN arrays</t>
  </si>
  <si>
    <t>c_stock_removal_allocation_t0</t>
  </si>
  <si>
    <t>c_stock_removal_allocation_t1</t>
  </si>
  <si>
    <t>c_stock_removal_allocation_t2</t>
  </si>
  <si>
    <t>c_stock_removal_allocation_t3</t>
  </si>
  <si>
    <t>arr_young_sf_base</t>
  </si>
  <si>
    <t xml:space="preserve">stock in new forest if no removals (includes changes to area of new forest)
arr_young_stock_if_no_removals
</t>
  </si>
  <si>
    <t>Auxiliary Variables and Notes</t>
  </si>
  <si>
    <t>Variable</t>
  </si>
  <si>
    <t>Python Variable</t>
  </si>
  <si>
    <t>arr_area_remaining_from_orig</t>
  </si>
  <si>
    <t>arr_area</t>
  </si>
  <si>
    <t>arr_conversion_away_total</t>
  </si>
  <si>
    <t>arr_conversion_away_new_forest_no_protection</t>
  </si>
  <si>
    <t>arr_conversion_away_new_forest</t>
  </si>
  <si>
    <t>arr_conversion_into</t>
  </si>
  <si>
    <t>arr_area_remaining_from_orig_after_conversion_away</t>
  </si>
  <si>
    <t>frac_biomass_from_conversion_available_for_use</t>
  </si>
  <si>
    <t>frac_biomass_dead_storage</t>
  </si>
  <si>
    <t>frac_biomass_buffer</t>
  </si>
  <si>
    <t>frac_biomass_adjustment_threshold</t>
  </si>
  <si>
    <t>arr_biomass_factor_stst_storage</t>
  </si>
  <si>
    <t>arr_biomass_factor_min_reqd</t>
  </si>
  <si>
    <t>arr_biomass_factor_healthy_available</t>
  </si>
  <si>
    <t>arr_area_protected_total</t>
  </si>
  <si>
    <t>arr_area_protected_young</t>
  </si>
  <si>
    <t>arr_area_protected_original</t>
  </si>
  <si>
    <t>Classification (input/output)</t>
  </si>
  <si>
    <t>input</t>
  </si>
  <si>
    <t>input/output (starting condition input)</t>
  </si>
  <si>
    <t>output</t>
  </si>
  <si>
    <t>adjustment_factor_sf</t>
  </si>
  <si>
    <t>total removals from original</t>
  </si>
  <si>
    <t>c converted</t>
  </si>
  <si>
    <t>ag c lost from conversion</t>
  </si>
  <si>
    <t>bg c lost from conversion</t>
  </si>
  <si>
    <t>arr_annual_sf_nominal</t>
  </si>
  <si>
    <t>vec_total_removals_demanded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</si>
</sst>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0" fillId="3" borderId="0" xfId="0" applyFill="1"/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3" borderId="0" xfId="0" applyFill="1" applyAlignment="1">
      <alignment horizontal="right" wrapText="1"/>
    </xf>
    <xf numFmtId="0" fontId="3" fillId="5" borderId="0" xfId="0" applyFont="1" applyFill="1" applyAlignment="1">
      <alignment horizontal="right" wrapText="1"/>
    </xf>
    <xf numFmtId="0" fontId="0" fillId="5" borderId="0" xfId="0" applyFill="1" applyAlignment="1">
      <alignment horizontal="center" vertical="center"/>
    </xf>
    <xf numFmtId="0" fontId="3" fillId="3" borderId="0" xfId="0" applyFont="1" applyFill="1" applyAlignment="1">
      <alignment horizontal="right" wrapText="1"/>
    </xf>
    <xf numFmtId="0" fontId="4" fillId="3" borderId="0" xfId="0" applyFont="1" applyFill="1" applyAlignment="1">
      <alignment horizontal="right" wrapText="1"/>
    </xf>
    <xf numFmtId="0" fontId="2" fillId="4" borderId="0" xfId="0" applyFont="1" applyFill="1" applyAlignment="1">
      <alignment horizontal="right" wrapText="1"/>
    </xf>
    <xf numFmtId="0" fontId="2" fillId="3" borderId="0" xfId="0" applyFont="1" applyFill="1" applyAlignment="1">
      <alignment vertical="center"/>
    </xf>
    <xf numFmtId="0" fontId="0" fillId="3" borderId="0" xfId="0" applyFill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0" fillId="2" borderId="0" xfId="0" applyFill="1"/>
    <xf numFmtId="0" fontId="2" fillId="4" borderId="0" xfId="0" applyFont="1" applyFill="1" applyAlignment="1">
      <alignment horizontal="center" vertical="center"/>
    </xf>
    <xf numFmtId="0" fontId="2" fillId="4" borderId="0" xfId="0" applyFont="1" applyFill="1"/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/>
    </xf>
    <xf numFmtId="0" fontId="0" fillId="3" borderId="0" xfId="0" applyFill="1" applyAlignment="1"/>
    <xf numFmtId="0" fontId="3" fillId="6" borderId="0" xfId="0" applyFont="1" applyFill="1" applyAlignment="1">
      <alignment horizontal="right"/>
    </xf>
    <xf numFmtId="0" fontId="3" fillId="6" borderId="0" xfId="0" applyFont="1" applyFill="1" applyAlignment="1">
      <alignment horizontal="right" vertical="center"/>
    </xf>
    <xf numFmtId="0" fontId="3" fillId="7" borderId="0" xfId="0" applyFont="1" applyFill="1" applyAlignment="1">
      <alignment horizontal="right" vertical="center"/>
    </xf>
    <xf numFmtId="0" fontId="3" fillId="8" borderId="0" xfId="0" applyFont="1" applyFill="1" applyAlignment="1">
      <alignment horizontal="right" vertical="center"/>
    </xf>
    <xf numFmtId="0" fontId="0" fillId="3" borderId="0" xfId="0" applyFill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C682B-8E9E-524B-A713-F464F2F373DE}">
  <dimension ref="A1:L22"/>
  <sheetViews>
    <sheetView workbookViewId="0">
      <selection activeCell="F11" sqref="F11"/>
    </sheetView>
  </sheetViews>
  <sheetFormatPr baseColWidth="10" defaultRowHeight="16" x14ac:dyDescent="0.2"/>
  <cols>
    <col min="1" max="1" width="31.33203125" customWidth="1"/>
    <col min="2" max="2" width="17.6640625" bestFit="1" customWidth="1"/>
    <col min="3" max="3" width="19.83203125" bestFit="1" customWidth="1"/>
    <col min="4" max="4" width="15.6640625" bestFit="1" customWidth="1"/>
    <col min="5" max="5" width="19.83203125" bestFit="1" customWidth="1"/>
    <col min="6" max="6" width="20" bestFit="1" customWidth="1"/>
    <col min="7" max="7" width="22.33203125" bestFit="1" customWidth="1"/>
    <col min="8" max="8" width="20.5" bestFit="1" customWidth="1"/>
    <col min="9" max="9" width="22.83203125" bestFit="1" customWidth="1"/>
    <col min="10" max="10" width="14.6640625" customWidth="1"/>
  </cols>
  <sheetData>
    <row r="1" spans="1:12" x14ac:dyDescent="0.2">
      <c r="L1" t="s">
        <v>6</v>
      </c>
    </row>
    <row r="3" spans="1:12" x14ac:dyDescent="0.2">
      <c r="B3">
        <v>0</v>
      </c>
    </row>
    <row r="4" spans="1:12" x14ac:dyDescent="0.2">
      <c r="A4" t="s">
        <v>0</v>
      </c>
      <c r="B4">
        <v>100</v>
      </c>
    </row>
    <row r="5" spans="1:12" x14ac:dyDescent="0.2">
      <c r="A5" t="s">
        <v>1</v>
      </c>
      <c r="B5">
        <v>35</v>
      </c>
    </row>
    <row r="6" spans="1:12" x14ac:dyDescent="0.2">
      <c r="A6" t="s">
        <v>8</v>
      </c>
      <c r="B6">
        <v>100000</v>
      </c>
    </row>
    <row r="7" spans="1:12" x14ac:dyDescent="0.2">
      <c r="A7" t="s">
        <v>9</v>
      </c>
      <c r="B7">
        <v>400000</v>
      </c>
    </row>
    <row r="8" spans="1:12" x14ac:dyDescent="0.2">
      <c r="A8" t="s">
        <v>2</v>
      </c>
      <c r="B8">
        <v>0.1</v>
      </c>
      <c r="F8" t="s">
        <v>16</v>
      </c>
    </row>
    <row r="9" spans="1:12" x14ac:dyDescent="0.2">
      <c r="A9" t="s">
        <v>3</v>
      </c>
      <c r="B9">
        <v>0.5</v>
      </c>
      <c r="F9" t="s">
        <v>17</v>
      </c>
    </row>
    <row r="10" spans="1:12" x14ac:dyDescent="0.2">
      <c r="A10" t="s">
        <v>4</v>
      </c>
      <c r="B10">
        <v>10</v>
      </c>
      <c r="F10" t="s">
        <v>18</v>
      </c>
    </row>
    <row r="11" spans="1:12" x14ac:dyDescent="0.2">
      <c r="A11" t="s">
        <v>5</v>
      </c>
      <c r="B11">
        <v>6</v>
      </c>
    </row>
    <row r="12" spans="1:12" x14ac:dyDescent="0.2">
      <c r="A12" t="s">
        <v>7</v>
      </c>
      <c r="B12">
        <v>4000</v>
      </c>
    </row>
    <row r="13" spans="1:12" x14ac:dyDescent="0.2">
      <c r="A13" t="s">
        <v>10</v>
      </c>
      <c r="B13">
        <v>0.5</v>
      </c>
    </row>
    <row r="17" spans="1:2" x14ac:dyDescent="0.2">
      <c r="A17" t="s">
        <v>11</v>
      </c>
      <c r="B17">
        <f>B10*B4</f>
        <v>1000</v>
      </c>
    </row>
    <row r="18" spans="1:2" x14ac:dyDescent="0.2">
      <c r="A18" t="s">
        <v>12</v>
      </c>
      <c r="B18">
        <f>B11*B5</f>
        <v>210</v>
      </c>
    </row>
    <row r="19" spans="1:2" x14ac:dyDescent="0.2">
      <c r="A19" t="s">
        <v>13</v>
      </c>
      <c r="B19">
        <f>B13*(B17+B18)</f>
        <v>605</v>
      </c>
    </row>
    <row r="20" spans="1:2" x14ac:dyDescent="0.2">
      <c r="A20" t="s">
        <v>14</v>
      </c>
      <c r="B20">
        <f>B4*(B6-B10)+B5*(B7-B11)</f>
        <v>23998790</v>
      </c>
    </row>
    <row r="22" spans="1:2" x14ac:dyDescent="0.2">
      <c r="A22" t="s">
        <v>15</v>
      </c>
      <c r="B22">
        <v>0.7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3B73C-8C04-4845-96FD-F75302BA5D7D}">
  <dimension ref="A1:AX31"/>
  <sheetViews>
    <sheetView topLeftCell="M1" workbookViewId="0">
      <selection activeCell="W5" sqref="W5"/>
    </sheetView>
  </sheetViews>
  <sheetFormatPr baseColWidth="10" defaultRowHeight="16" x14ac:dyDescent="0.2"/>
  <cols>
    <col min="1" max="1" width="7.33203125" style="3" bestFit="1" customWidth="1"/>
    <col min="2" max="2" width="9.5" style="3" bestFit="1" customWidth="1"/>
    <col min="3" max="3" width="7.33203125" style="2" bestFit="1" customWidth="1"/>
    <col min="4" max="4" width="9.5" style="2" bestFit="1" customWidth="1"/>
    <col min="5" max="5" width="13.33203125" style="2" customWidth="1"/>
    <col min="6" max="6" width="7.33203125" style="3" bestFit="1" customWidth="1"/>
    <col min="7" max="7" width="9.5" style="3" bestFit="1" customWidth="1"/>
    <col min="8" max="8" width="17.6640625" style="2" customWidth="1"/>
    <col min="9" max="9" width="12.83203125" style="2" customWidth="1"/>
    <col min="10" max="10" width="14.1640625" style="3" customWidth="1"/>
    <col min="11" max="11" width="10.83203125" style="3"/>
    <col min="12" max="13" width="13.1640625" style="4" customWidth="1"/>
    <col min="14" max="14" width="14.33203125" style="5" bestFit="1" customWidth="1"/>
    <col min="15" max="15" width="10.6640625" style="5" bestFit="1" customWidth="1"/>
    <col min="16" max="16" width="8.1640625" style="5" customWidth="1"/>
    <col min="17" max="17" width="9.5" style="5" bestFit="1" customWidth="1"/>
    <col min="18" max="20" width="12.1640625" style="4" customWidth="1"/>
    <col min="21" max="22" width="12.1640625" style="8" customWidth="1"/>
    <col min="23" max="24" width="12.1640625" style="4" customWidth="1"/>
    <col min="25" max="25" width="15.83203125" style="4" customWidth="1"/>
    <col min="26" max="27" width="15.83203125" style="5" customWidth="1"/>
    <col min="28" max="28" width="12.1640625" style="4" customWidth="1"/>
    <col min="29" max="33" width="10.83203125" style="3"/>
    <col min="34" max="34" width="15.1640625" style="3" customWidth="1"/>
    <col min="35" max="39" width="10.83203125" style="3"/>
    <col min="40" max="40" width="23.5" style="3" customWidth="1"/>
    <col min="41" max="41" width="4.33203125" customWidth="1"/>
    <col min="48" max="48" width="4.1640625" customWidth="1"/>
    <col min="50" max="50" width="9.1640625" customWidth="1"/>
    <col min="51" max="51" width="3.33203125" customWidth="1"/>
  </cols>
  <sheetData>
    <row r="1" spans="1:50" x14ac:dyDescent="0.2">
      <c r="A1" s="23" t="s">
        <v>23</v>
      </c>
      <c r="B1" s="23"/>
      <c r="C1" s="24" t="s">
        <v>26</v>
      </c>
      <c r="D1" s="24"/>
      <c r="E1" s="24"/>
      <c r="F1" s="23" t="s">
        <v>30</v>
      </c>
      <c r="G1" s="23"/>
      <c r="H1" s="24" t="s">
        <v>27</v>
      </c>
      <c r="I1" s="24"/>
      <c r="J1" s="23" t="s">
        <v>28</v>
      </c>
      <c r="K1" s="23"/>
      <c r="L1" s="25" t="s">
        <v>29</v>
      </c>
      <c r="M1" s="25"/>
      <c r="N1" s="27" t="s">
        <v>31</v>
      </c>
      <c r="O1" s="27"/>
      <c r="P1" s="27"/>
      <c r="Q1" s="27"/>
      <c r="R1" s="25" t="s">
        <v>48</v>
      </c>
      <c r="S1" s="25"/>
      <c r="T1" s="25"/>
      <c r="U1" s="26" t="s">
        <v>44</v>
      </c>
      <c r="V1" s="26"/>
      <c r="W1" s="4" t="s">
        <v>46</v>
      </c>
      <c r="X1" s="4" t="s">
        <v>47</v>
      </c>
      <c r="AC1" s="23" t="s">
        <v>36</v>
      </c>
      <c r="AD1" s="23"/>
      <c r="AE1" s="23"/>
      <c r="AF1" s="23"/>
      <c r="AG1" s="23"/>
      <c r="AH1" s="23"/>
      <c r="AI1" s="7" t="s">
        <v>37</v>
      </c>
      <c r="AJ1" s="1"/>
      <c r="AK1" s="1"/>
      <c r="AL1" s="1"/>
      <c r="AM1" s="1"/>
      <c r="AN1"/>
      <c r="AP1" t="s">
        <v>33</v>
      </c>
      <c r="AQ1" t="s">
        <v>38</v>
      </c>
      <c r="AR1" t="s">
        <v>41</v>
      </c>
    </row>
    <row r="2" spans="1:50" x14ac:dyDescent="0.2">
      <c r="A2" s="3" t="s">
        <v>24</v>
      </c>
      <c r="B2" s="3" t="s">
        <v>25</v>
      </c>
      <c r="C2" s="2" t="s">
        <v>24</v>
      </c>
      <c r="D2" s="2" t="s">
        <v>25</v>
      </c>
      <c r="E2" s="2" t="s">
        <v>42</v>
      </c>
      <c r="F2" s="3" t="s">
        <v>24</v>
      </c>
      <c r="G2" s="3" t="s">
        <v>25</v>
      </c>
      <c r="H2" s="2" t="s">
        <v>24</v>
      </c>
      <c r="I2" s="2" t="s">
        <v>25</v>
      </c>
      <c r="J2" s="3" t="s">
        <v>24</v>
      </c>
      <c r="K2" s="3" t="s">
        <v>25</v>
      </c>
      <c r="L2" s="4" t="s">
        <v>24</v>
      </c>
      <c r="M2" s="4" t="s">
        <v>25</v>
      </c>
      <c r="N2" s="5" t="s">
        <v>32</v>
      </c>
      <c r="O2" s="5" t="s">
        <v>50</v>
      </c>
      <c r="P2" s="5" t="s">
        <v>24</v>
      </c>
      <c r="Q2" s="5" t="s">
        <v>25</v>
      </c>
      <c r="R2" s="4" t="s">
        <v>24</v>
      </c>
      <c r="S2" s="4" t="s">
        <v>25</v>
      </c>
      <c r="T2" s="4" t="s">
        <v>45</v>
      </c>
      <c r="U2" s="8" t="s">
        <v>43</v>
      </c>
      <c r="V2" s="8" t="s">
        <v>39</v>
      </c>
      <c r="X2" s="4" t="s">
        <v>24</v>
      </c>
      <c r="Y2" s="4" t="s">
        <v>25</v>
      </c>
      <c r="AA2" s="5" t="s">
        <v>49</v>
      </c>
      <c r="AB2" s="4" t="s">
        <v>40</v>
      </c>
      <c r="AC2" s="3" t="s">
        <v>19</v>
      </c>
      <c r="AD2" s="3" t="s">
        <v>20</v>
      </c>
      <c r="AE2" s="3" t="s">
        <v>21</v>
      </c>
      <c r="AF2" s="3" t="s">
        <v>34</v>
      </c>
      <c r="AG2" s="3" t="s">
        <v>35</v>
      </c>
      <c r="AH2" s="3" t="s">
        <v>22</v>
      </c>
      <c r="AI2" s="3" t="s">
        <v>19</v>
      </c>
      <c r="AJ2" s="3" t="s">
        <v>20</v>
      </c>
      <c r="AK2" s="3" t="s">
        <v>21</v>
      </c>
      <c r="AL2" s="3" t="s">
        <v>34</v>
      </c>
      <c r="AM2" s="3" t="s">
        <v>35</v>
      </c>
      <c r="AN2" s="3" t="s">
        <v>22</v>
      </c>
      <c r="AP2">
        <v>0</v>
      </c>
      <c r="AQ2">
        <f>SUM(AP$2:AP2)</f>
        <v>0</v>
      </c>
      <c r="AR2">
        <v>20</v>
      </c>
    </row>
    <row r="3" spans="1:50" x14ac:dyDescent="0.2">
      <c r="A3" s="3">
        <v>10000</v>
      </c>
      <c r="B3" s="3">
        <v>250000</v>
      </c>
      <c r="C3" s="2">
        <v>50</v>
      </c>
      <c r="D3" s="2">
        <v>100</v>
      </c>
      <c r="E3" s="2">
        <v>0.7</v>
      </c>
      <c r="F3" s="3">
        <v>150</v>
      </c>
      <c r="G3" s="3">
        <v>100</v>
      </c>
      <c r="H3" s="2">
        <v>5000</v>
      </c>
      <c r="I3" s="2">
        <v>50000</v>
      </c>
      <c r="J3" s="3">
        <v>1</v>
      </c>
      <c r="K3" s="3">
        <v>3</v>
      </c>
      <c r="L3" s="4">
        <f>A3</f>
        <v>10000</v>
      </c>
      <c r="M3" s="4">
        <f>B3</f>
        <v>250000</v>
      </c>
      <c r="N3" s="5">
        <v>1000000</v>
      </c>
      <c r="O3" s="5">
        <f>INT(Z3&gt;T3)*MIN(N3,W3)</f>
        <v>1000000</v>
      </c>
      <c r="P3" s="5">
        <f>$O3*R3/($R3+$S3)</f>
        <v>36144.578313253012</v>
      </c>
      <c r="Q3" s="5">
        <f>$O3*S3/($R3+$S3)</f>
        <v>963855.42168674699</v>
      </c>
      <c r="R3" s="2">
        <f>MAX(L3-H3,0)*F$3</f>
        <v>750000</v>
      </c>
      <c r="S3" s="2">
        <f>MAX(M3-I3, 0)*G$3</f>
        <v>20000000</v>
      </c>
      <c r="T3" s="2">
        <v>0.3</v>
      </c>
      <c r="U3" s="9">
        <f>(C3*F3 + D3*G3)*E3</f>
        <v>12250</v>
      </c>
      <c r="V3" s="9">
        <f>IF(AB3&gt;$AR$2,AI3)+IF(AB3&gt;$AR$2+1,AJ3)+IF(AB3&gt;$AR$2+2,AK3)+IF(AB3&gt;$AR$2+3,AL3)+IF(AB3&gt;$AR$2+4,AM3)</f>
        <v>0</v>
      </c>
      <c r="W3" s="2">
        <f>(X3+Y3)*(1-T3)+U3</f>
        <v>14537250</v>
      </c>
      <c r="X3" s="2">
        <f>R3</f>
        <v>750000</v>
      </c>
      <c r="Y3" s="2">
        <f>S3</f>
        <v>20000000</v>
      </c>
      <c r="Z3" s="3">
        <v>1</v>
      </c>
      <c r="AA3" s="3">
        <v>1</v>
      </c>
      <c r="AB3" s="2">
        <v>0</v>
      </c>
      <c r="AC3" s="3">
        <v>0</v>
      </c>
      <c r="AD3" s="3">
        <v>0</v>
      </c>
      <c r="AE3" s="3">
        <v>0</v>
      </c>
      <c r="AF3" s="3">
        <v>0</v>
      </c>
      <c r="AG3" s="3">
        <v>0</v>
      </c>
      <c r="AI3" s="3">
        <f t="shared" ref="AI3:AN3" si="0">AC3*$AQ2</f>
        <v>0</v>
      </c>
      <c r="AJ3" s="3">
        <f t="shared" si="0"/>
        <v>0</v>
      </c>
      <c r="AK3" s="3">
        <f t="shared" si="0"/>
        <v>0</v>
      </c>
      <c r="AL3" s="3">
        <f t="shared" si="0"/>
        <v>0</v>
      </c>
      <c r="AM3" s="3">
        <f t="shared" si="0"/>
        <v>0</v>
      </c>
      <c r="AN3" s="3">
        <f t="shared" si="0"/>
        <v>0</v>
      </c>
      <c r="AP3">
        <v>0.01</v>
      </c>
      <c r="AQ3">
        <f>SUM(AP$2:AP3)</f>
        <v>0.01</v>
      </c>
      <c r="AR3">
        <v>20</v>
      </c>
      <c r="AW3" s="5">
        <v>4000000</v>
      </c>
      <c r="AX3">
        <f>ROUND(AW3/4,0)</f>
        <v>1000000</v>
      </c>
    </row>
    <row r="4" spans="1:50" x14ac:dyDescent="0.2">
      <c r="C4" s="2">
        <v>50</v>
      </c>
      <c r="D4" s="2">
        <v>100</v>
      </c>
      <c r="E4" s="2">
        <v>0.7</v>
      </c>
      <c r="F4" s="3">
        <f>F$3*Z4</f>
        <v>146.22331751247413</v>
      </c>
      <c r="G4" s="3">
        <f>G$3*AA4</f>
        <v>98.978712247690112</v>
      </c>
      <c r="H4" s="2">
        <v>5000</v>
      </c>
      <c r="I4" s="2">
        <v>50000</v>
      </c>
      <c r="J4" s="3">
        <f>J$3*Z4</f>
        <v>0.97482211674982755</v>
      </c>
      <c r="K4" s="3">
        <f>K$3*AA4</f>
        <v>2.9693613674307033</v>
      </c>
      <c r="L4" s="4">
        <f>MAX(L3-C3,H3)</f>
        <v>9950</v>
      </c>
      <c r="M4" s="4">
        <f>MAX(M3-D3,I3)</f>
        <v>249900</v>
      </c>
      <c r="N4" s="5">
        <v>1025000</v>
      </c>
      <c r="O4" s="5">
        <f>INT(Z4&gt;T4)*MIN(N4,W4)</f>
        <v>1025000</v>
      </c>
      <c r="P4" s="5">
        <f t="shared" ref="P4:P5" si="1">$O4*R4/($R4+$S4)</f>
        <v>36708.669962619075</v>
      </c>
      <c r="Q4" s="5">
        <f t="shared" ref="Q4:Q7" si="2">$O4*S4/($R4+$S4)</f>
        <v>988291.33003738092</v>
      </c>
      <c r="R4" s="2">
        <f>MAX(L4-H4,0)*F$3</f>
        <v>742500</v>
      </c>
      <c r="S4" s="2">
        <f>MAX(M4-I4, 0)*G$3</f>
        <v>19990000</v>
      </c>
      <c r="T4" s="2">
        <v>0.3</v>
      </c>
      <c r="U4" s="9">
        <f t="shared" ref="U4:U30" si="3">(C4*F4 + D4*G4)*E4</f>
        <v>12046.325970274902</v>
      </c>
      <c r="V4" s="9">
        <f t="shared" ref="V4:V30" si="4">IF(AB4&gt;$AR$2,AI4)+IF(AB4&gt;$AR$2+1,AJ4)+IF(AB4&gt;$AR$2+2,AK4)+IF(AB4&gt;$AR$2+3,AL4)+IF(AB4&gt;$AR$2+4,AM4)</f>
        <v>0</v>
      </c>
      <c r="W4" s="2">
        <f>(X4+Y4)*(1-T4)+U4</f>
        <v>14368801.325970275</v>
      </c>
      <c r="X4" s="2">
        <f>X3-P3+L4*J3</f>
        <v>723805.42168674699</v>
      </c>
      <c r="Y4" s="2">
        <f>Y3-Q3+M4*K3</f>
        <v>19785844.578313254</v>
      </c>
      <c r="Z4" s="3">
        <f>X4/R4</f>
        <v>0.97482211674982755</v>
      </c>
      <c r="AA4" s="3">
        <f>Y4/S4</f>
        <v>0.98978712247690115</v>
      </c>
      <c r="AB4" s="2">
        <v>1</v>
      </c>
      <c r="AC4" s="3">
        <v>100</v>
      </c>
      <c r="AD4" s="3">
        <v>0</v>
      </c>
      <c r="AE4" s="3">
        <v>0</v>
      </c>
      <c r="AF4" s="3">
        <v>0</v>
      </c>
      <c r="AG4" s="3">
        <v>0</v>
      </c>
      <c r="AI4" s="3">
        <f>AC4*$AQ2</f>
        <v>0</v>
      </c>
      <c r="AJ4" s="3">
        <f t="shared" ref="AJ4:AM4" si="5">AD4*$AQ2</f>
        <v>0</v>
      </c>
      <c r="AK4" s="3">
        <f t="shared" si="5"/>
        <v>0</v>
      </c>
      <c r="AL4" s="3">
        <f t="shared" si="5"/>
        <v>0</v>
      </c>
      <c r="AM4" s="3">
        <f t="shared" si="5"/>
        <v>0</v>
      </c>
      <c r="AN4" s="3">
        <f>AH4*$AQ2</f>
        <v>0</v>
      </c>
      <c r="AP4">
        <v>0.05</v>
      </c>
      <c r="AQ4">
        <f>SUM(AP$2:AP4)</f>
        <v>6.0000000000000005E-2</v>
      </c>
      <c r="AR4">
        <v>20</v>
      </c>
      <c r="AW4" s="5">
        <v>4100000</v>
      </c>
      <c r="AX4">
        <f t="shared" ref="AX4:AX30" si="6">ROUND(AW4/4,0)</f>
        <v>1025000</v>
      </c>
    </row>
    <row r="5" spans="1:50" x14ac:dyDescent="0.2">
      <c r="C5" s="2">
        <v>40</v>
      </c>
      <c r="D5" s="2">
        <v>120</v>
      </c>
      <c r="E5" s="2">
        <v>0.7</v>
      </c>
      <c r="F5" s="3">
        <f>F$3*Z5</f>
        <v>142.193365444888</v>
      </c>
      <c r="G5" s="3">
        <f t="shared" ref="G5:G30" si="7">G$3*AA5</f>
        <v>97.794292882182489</v>
      </c>
      <c r="H5" s="2">
        <v>5000</v>
      </c>
      <c r="I5" s="2">
        <v>50000</v>
      </c>
      <c r="J5" s="3">
        <f t="shared" ref="J5:J30" si="8">J$3*Z5</f>
        <v>0.94795576963258665</v>
      </c>
      <c r="K5" s="3">
        <f t="shared" ref="K5:K30" si="9">K$3*AA5</f>
        <v>2.9338287864654746</v>
      </c>
      <c r="L5" s="4">
        <f>MAX(L4-C4,H4)</f>
        <v>9900</v>
      </c>
      <c r="M5" s="4">
        <f t="shared" ref="M5:M30" si="10">MAX(M4-D4,I4)</f>
        <v>249800</v>
      </c>
      <c r="N5" s="5">
        <v>1062500</v>
      </c>
      <c r="O5" s="5">
        <f t="shared" ref="O5:O30" si="11">INT(Z5&gt;T5)*MIN(N5,W5)</f>
        <v>1062500</v>
      </c>
      <c r="P5" s="5">
        <f t="shared" si="1"/>
        <v>37699.131064446054</v>
      </c>
      <c r="Q5" s="5">
        <f t="shared" si="2"/>
        <v>1024800.8689355539</v>
      </c>
      <c r="R5" s="2">
        <f t="shared" ref="R5:R30" si="12">MAX(L5-H5,0)*F$3</f>
        <v>735000</v>
      </c>
      <c r="S5" s="2">
        <f t="shared" ref="S5:S30" si="13">MAX(M5-I5, 0)*G$3</f>
        <v>19980000</v>
      </c>
      <c r="T5" s="2">
        <v>0.3</v>
      </c>
      <c r="U5" s="9">
        <f t="shared" si="3"/>
        <v>12196.134834560195</v>
      </c>
      <c r="V5" s="9">
        <f t="shared" si="4"/>
        <v>0</v>
      </c>
      <c r="W5" s="2">
        <f>(X5+Y5)*(1-T5)+U5</f>
        <v>14177429.180812567</v>
      </c>
      <c r="X5" s="2">
        <f>X4-P4+L5*J4</f>
        <v>696747.49067995115</v>
      </c>
      <c r="Y5" s="2">
        <f>Y4-Q4+M5*K4</f>
        <v>19539299.717860062</v>
      </c>
      <c r="Z5" s="3">
        <f>X5/R5</f>
        <v>0.94795576963258665</v>
      </c>
      <c r="AA5" s="3">
        <f>Y5/S5</f>
        <v>0.97794292882182488</v>
      </c>
      <c r="AB5" s="2">
        <v>2</v>
      </c>
      <c r="AC5" s="3">
        <v>100</v>
      </c>
      <c r="AD5" s="3">
        <v>100</v>
      </c>
      <c r="AE5" s="3">
        <v>0</v>
      </c>
      <c r="AF5" s="3">
        <v>0</v>
      </c>
      <c r="AG5" s="3">
        <v>0</v>
      </c>
      <c r="AI5" s="3">
        <f>AC5*$AQ3</f>
        <v>1</v>
      </c>
      <c r="AJ5" s="3">
        <f t="shared" ref="AJ5:AJ30" si="14">AD5*$AQ3</f>
        <v>1</v>
      </c>
      <c r="AK5" s="3">
        <f t="shared" ref="AK5:AK30" si="15">AE5*$AQ3</f>
        <v>0</v>
      </c>
      <c r="AL5" s="3">
        <f t="shared" ref="AL5:AL30" si="16">AF5*$AQ3</f>
        <v>0</v>
      </c>
      <c r="AM5" s="3">
        <f t="shared" ref="AM5:AM30" si="17">AG5*$AQ3</f>
        <v>0</v>
      </c>
      <c r="AN5" s="3">
        <f>AH5*$AQ3</f>
        <v>0</v>
      </c>
      <c r="AP5">
        <v>0.2</v>
      </c>
      <c r="AQ5">
        <f>SUM(AP$2:AP5)</f>
        <v>0.26</v>
      </c>
      <c r="AR5">
        <v>20</v>
      </c>
      <c r="AW5" s="5">
        <v>4250000</v>
      </c>
      <c r="AX5">
        <f t="shared" si="6"/>
        <v>1062500</v>
      </c>
    </row>
    <row r="6" spans="1:50" x14ac:dyDescent="0.2">
      <c r="C6" s="2">
        <v>45</v>
      </c>
      <c r="D6" s="2">
        <v>120</v>
      </c>
      <c r="E6" s="2">
        <v>0.7</v>
      </c>
      <c r="F6" s="3">
        <f t="shared" ref="F6:F30" si="18">F$3*Z6</f>
        <v>137.52987726421449</v>
      </c>
      <c r="G6" s="3">
        <f t="shared" si="7"/>
        <v>96.389308996039688</v>
      </c>
      <c r="H6" s="2">
        <v>5000</v>
      </c>
      <c r="I6" s="2">
        <v>50000</v>
      </c>
      <c r="J6" s="3">
        <f t="shared" si="8"/>
        <v>0.9168658484280966</v>
      </c>
      <c r="K6" s="3">
        <f t="shared" si="9"/>
        <v>2.8916792698811906</v>
      </c>
      <c r="L6" s="4">
        <f t="shared" ref="L6:L30" si="19">MAX(L5-C5,H5)</f>
        <v>9860</v>
      </c>
      <c r="M6" s="4">
        <f t="shared" si="10"/>
        <v>249680</v>
      </c>
      <c r="N6" s="5">
        <v>1100000</v>
      </c>
      <c r="O6" s="5">
        <f t="shared" si="11"/>
        <v>1100000</v>
      </c>
      <c r="P6" s="5">
        <f>$O6*R6/($R6+$S6)</f>
        <v>38744.745615306565</v>
      </c>
      <c r="Q6" s="5">
        <f>$O6*S6/($R6+$S6)</f>
        <v>1061255.2543846935</v>
      </c>
      <c r="R6" s="2">
        <f>MAX(L6-H6,0)*F$3</f>
        <v>729000</v>
      </c>
      <c r="S6" s="2">
        <f t="shared" si="13"/>
        <v>19968000</v>
      </c>
      <c r="T6" s="2">
        <v>0.3</v>
      </c>
      <c r="U6" s="9">
        <f t="shared" si="3"/>
        <v>12428.89308949009</v>
      </c>
      <c r="V6" s="9">
        <f t="shared" si="4"/>
        <v>0</v>
      </c>
      <c r="W6" s="2">
        <f t="shared" ref="W6:W30" si="20">(R6+S6)*(1-T6)+U6</f>
        <v>14500328.89308949</v>
      </c>
      <c r="X6" s="2">
        <f t="shared" ref="X6:X30" si="21">X5-P5+L6*J5</f>
        <v>668395.2035040824</v>
      </c>
      <c r="Y6" s="2">
        <f t="shared" ref="Y6:Y30" si="22">Y5-Q5+M6*K5</f>
        <v>19247017.220329206</v>
      </c>
      <c r="Z6" s="3">
        <f t="shared" ref="Z6:Z30" si="23">X6/R6</f>
        <v>0.9168658484280966</v>
      </c>
      <c r="AA6" s="3">
        <f t="shared" ref="AA6:AA30" si="24">Y6/S6</f>
        <v>0.96389308996039691</v>
      </c>
      <c r="AB6" s="2">
        <v>3</v>
      </c>
      <c r="AC6" s="3">
        <v>100</v>
      </c>
      <c r="AD6" s="3">
        <v>100</v>
      </c>
      <c r="AE6" s="6">
        <v>130</v>
      </c>
      <c r="AF6" s="3">
        <v>0</v>
      </c>
      <c r="AG6" s="3">
        <v>0</v>
      </c>
      <c r="AI6" s="3">
        <f t="shared" ref="AI6:AI30" si="25">AC6*$AQ4</f>
        <v>6.0000000000000009</v>
      </c>
      <c r="AJ6" s="3">
        <f t="shared" si="14"/>
        <v>6.0000000000000009</v>
      </c>
      <c r="AK6" s="3">
        <f t="shared" si="15"/>
        <v>7.8000000000000007</v>
      </c>
      <c r="AL6" s="3">
        <f t="shared" si="16"/>
        <v>0</v>
      </c>
      <c r="AM6" s="3">
        <f t="shared" si="17"/>
        <v>0</v>
      </c>
      <c r="AN6" s="3">
        <f t="shared" ref="AN6:AN30" si="26">AH6*$AQ4</f>
        <v>0</v>
      </c>
      <c r="AP6">
        <v>0.6</v>
      </c>
      <c r="AQ6">
        <f>SUM(AP$2:AP6)</f>
        <v>0.86</v>
      </c>
      <c r="AR6">
        <v>20</v>
      </c>
      <c r="AW6" s="5">
        <v>4400000</v>
      </c>
      <c r="AX6">
        <f t="shared" si="6"/>
        <v>1100000</v>
      </c>
    </row>
    <row r="7" spans="1:50" x14ac:dyDescent="0.2">
      <c r="C7" s="2">
        <v>45</v>
      </c>
      <c r="D7" s="2">
        <v>120</v>
      </c>
      <c r="E7" s="2">
        <v>0.7</v>
      </c>
      <c r="F7" s="3">
        <f t="shared" si="18"/>
        <v>132.6374862286807</v>
      </c>
      <c r="G7" s="3">
        <f t="shared" si="7"/>
        <v>94.745487294728719</v>
      </c>
      <c r="H7" s="2">
        <v>5000</v>
      </c>
      <c r="I7" s="2">
        <v>50000</v>
      </c>
      <c r="J7" s="3">
        <f t="shared" si="8"/>
        <v>0.88424990819120475</v>
      </c>
      <c r="K7" s="3">
        <f t="shared" si="9"/>
        <v>2.8423646188418616</v>
      </c>
      <c r="L7" s="4">
        <f t="shared" si="19"/>
        <v>9815</v>
      </c>
      <c r="M7" s="4">
        <f t="shared" si="10"/>
        <v>249560</v>
      </c>
      <c r="N7" s="5">
        <v>1105000</v>
      </c>
      <c r="O7" s="5">
        <f>INT(Z7&gt;T7)*MIN(N7,W7)</f>
        <v>1105000</v>
      </c>
      <c r="P7" s="5">
        <f>$O7*R7/($R7+$S7)</f>
        <v>38595.444488774439</v>
      </c>
      <c r="Q7" s="5">
        <f t="shared" si="2"/>
        <v>1066404.5555112255</v>
      </c>
      <c r="R7" s="2">
        <f t="shared" si="12"/>
        <v>722250</v>
      </c>
      <c r="S7" s="2">
        <f t="shared" si="13"/>
        <v>19956000</v>
      </c>
      <c r="T7" s="2">
        <v>0.3</v>
      </c>
      <c r="U7" s="9">
        <f t="shared" si="3"/>
        <v>12136.701748960653</v>
      </c>
      <c r="V7" s="9">
        <f t="shared" si="4"/>
        <v>0</v>
      </c>
      <c r="W7" s="2">
        <f>(R7+S7)*(1-T7)+U7</f>
        <v>14486911.701748962</v>
      </c>
      <c r="X7" s="2">
        <f>X6-P6+L7*J6</f>
        <v>638649.49619109766</v>
      </c>
      <c r="Y7" s="2">
        <f t="shared" si="22"/>
        <v>18907409.444536064</v>
      </c>
      <c r="Z7" s="3">
        <f t="shared" si="23"/>
        <v>0.88424990819120475</v>
      </c>
      <c r="AA7" s="3">
        <f t="shared" si="24"/>
        <v>0.94745487294728725</v>
      </c>
      <c r="AB7" s="4">
        <v>4</v>
      </c>
      <c r="AC7" s="3">
        <v>100</v>
      </c>
      <c r="AD7" s="3">
        <v>100</v>
      </c>
      <c r="AE7" s="6">
        <v>130</v>
      </c>
      <c r="AF7" s="3">
        <v>200</v>
      </c>
      <c r="AG7" s="3">
        <v>0</v>
      </c>
      <c r="AI7" s="3">
        <f t="shared" si="25"/>
        <v>26</v>
      </c>
      <c r="AJ7" s="3">
        <f t="shared" si="14"/>
        <v>26</v>
      </c>
      <c r="AK7" s="3">
        <f t="shared" si="15"/>
        <v>33.800000000000004</v>
      </c>
      <c r="AL7" s="3">
        <f t="shared" si="16"/>
        <v>52</v>
      </c>
      <c r="AM7" s="3">
        <f t="shared" si="17"/>
        <v>0</v>
      </c>
      <c r="AN7" s="3">
        <f t="shared" si="26"/>
        <v>0</v>
      </c>
      <c r="AP7">
        <v>1.8</v>
      </c>
      <c r="AQ7">
        <f>SUM(AP$2:AP7)</f>
        <v>2.66</v>
      </c>
      <c r="AR7">
        <v>20</v>
      </c>
      <c r="AW7" s="5">
        <v>4420000</v>
      </c>
      <c r="AX7">
        <f t="shared" si="6"/>
        <v>1105000</v>
      </c>
    </row>
    <row r="8" spans="1:50" x14ac:dyDescent="0.2">
      <c r="C8" s="2">
        <v>40</v>
      </c>
      <c r="D8" s="2">
        <v>120</v>
      </c>
      <c r="E8" s="2">
        <v>0.7</v>
      </c>
      <c r="F8" s="3">
        <f t="shared" si="18"/>
        <v>127.60863172019944</v>
      </c>
      <c r="G8" s="3">
        <f t="shared" si="7"/>
        <v>93.01045086015219</v>
      </c>
      <c r="H8" s="2">
        <v>5000</v>
      </c>
      <c r="I8" s="2">
        <v>50000</v>
      </c>
      <c r="J8" s="3">
        <f t="shared" si="8"/>
        <v>0.85072421146799626</v>
      </c>
      <c r="K8" s="3">
        <f t="shared" si="9"/>
        <v>2.7903135258045655</v>
      </c>
      <c r="L8" s="4">
        <f t="shared" si="19"/>
        <v>9770</v>
      </c>
      <c r="M8" s="4">
        <f t="shared" si="10"/>
        <v>249440</v>
      </c>
      <c r="N8" s="5">
        <v>1127100</v>
      </c>
      <c r="O8" s="5">
        <f>INT(Z8&gt;T8)*MIN(N8,W8)</f>
        <v>1127100</v>
      </c>
      <c r="P8" s="5">
        <f t="shared" ref="P8:P30" si="27">$O8*R8/($R8+$S8)</f>
        <v>39034.829013286864</v>
      </c>
      <c r="Q8" s="5">
        <f t="shared" ref="Q8:Q30" si="28">$O8*S8/($R8+$S8)</f>
        <v>1088065.1709867131</v>
      </c>
      <c r="R8" s="2">
        <f t="shared" si="12"/>
        <v>715500</v>
      </c>
      <c r="S8" s="2">
        <f t="shared" si="13"/>
        <v>19944000</v>
      </c>
      <c r="T8" s="2">
        <v>0.3</v>
      </c>
      <c r="U8" s="9">
        <f>(C8*F8 + D8*G8)*E8</f>
        <v>11385.919560418368</v>
      </c>
      <c r="V8" s="9">
        <f t="shared" si="4"/>
        <v>0</v>
      </c>
      <c r="W8" s="2">
        <f t="shared" si="20"/>
        <v>14473035.919560418</v>
      </c>
      <c r="X8" s="2">
        <f>X7-P7+L8*J7</f>
        <v>608693.17330535129</v>
      </c>
      <c r="Y8" s="2">
        <f t="shared" si="22"/>
        <v>18550004.319548752</v>
      </c>
      <c r="Z8" s="3">
        <f t="shared" si="23"/>
        <v>0.85072421146799626</v>
      </c>
      <c r="AA8" s="3">
        <f t="shared" si="24"/>
        <v>0.93010450860152183</v>
      </c>
      <c r="AB8" s="4">
        <v>5</v>
      </c>
      <c r="AC8" s="3">
        <v>100</v>
      </c>
      <c r="AD8" s="3">
        <v>100</v>
      </c>
      <c r="AE8" s="6">
        <v>130</v>
      </c>
      <c r="AF8" s="3">
        <v>200</v>
      </c>
      <c r="AG8" s="3">
        <v>200</v>
      </c>
      <c r="AI8" s="3">
        <f t="shared" si="25"/>
        <v>86</v>
      </c>
      <c r="AJ8" s="3">
        <f t="shared" si="14"/>
        <v>86</v>
      </c>
      <c r="AK8" s="3">
        <f t="shared" si="15"/>
        <v>111.8</v>
      </c>
      <c r="AL8" s="3">
        <f t="shared" si="16"/>
        <v>172</v>
      </c>
      <c r="AM8" s="3">
        <f t="shared" si="17"/>
        <v>172</v>
      </c>
      <c r="AN8" s="3">
        <f t="shared" si="26"/>
        <v>0</v>
      </c>
      <c r="AP8">
        <v>3</v>
      </c>
      <c r="AQ8">
        <f>SUM(AP$2:AP8)</f>
        <v>5.66</v>
      </c>
      <c r="AR8">
        <v>20</v>
      </c>
      <c r="AW8" s="5">
        <v>4508400</v>
      </c>
      <c r="AX8">
        <f t="shared" si="6"/>
        <v>1127100</v>
      </c>
    </row>
    <row r="9" spans="1:50" x14ac:dyDescent="0.2">
      <c r="C9" s="2">
        <v>50</v>
      </c>
      <c r="D9" s="2">
        <v>120</v>
      </c>
      <c r="E9" s="2">
        <v>0.7</v>
      </c>
      <c r="F9" s="3">
        <f t="shared" si="18"/>
        <v>122.18517777370995</v>
      </c>
      <c r="G9" s="3">
        <f t="shared" si="7"/>
        <v>91.097833217016017</v>
      </c>
      <c r="H9" s="2">
        <v>5000</v>
      </c>
      <c r="I9" s="2">
        <v>50000</v>
      </c>
      <c r="J9" s="3">
        <f t="shared" si="8"/>
        <v>0.81456785182473301</v>
      </c>
      <c r="K9" s="3">
        <f t="shared" si="9"/>
        <v>2.7329349965104806</v>
      </c>
      <c r="L9" s="4">
        <f t="shared" si="19"/>
        <v>9730</v>
      </c>
      <c r="M9" s="4">
        <f t="shared" si="10"/>
        <v>249320</v>
      </c>
      <c r="N9" s="5">
        <v>1149643</v>
      </c>
      <c r="O9" s="5">
        <f t="shared" si="11"/>
        <v>1149643</v>
      </c>
      <c r="P9" s="5">
        <f t="shared" si="27"/>
        <v>39516.10631494804</v>
      </c>
      <c r="Q9" s="5">
        <f t="shared" si="28"/>
        <v>1110126.8936850519</v>
      </c>
      <c r="R9" s="2">
        <f t="shared" si="12"/>
        <v>709500</v>
      </c>
      <c r="S9" s="2">
        <f t="shared" si="13"/>
        <v>19932000</v>
      </c>
      <c r="T9" s="2">
        <v>0.3</v>
      </c>
      <c r="U9" s="9">
        <f t="shared" si="3"/>
        <v>11928.699212309191</v>
      </c>
      <c r="V9" s="9">
        <f t="shared" si="4"/>
        <v>0</v>
      </c>
      <c r="W9" s="2">
        <f t="shared" si="20"/>
        <v>14460978.699212309</v>
      </c>
      <c r="X9" s="2">
        <f t="shared" si="21"/>
        <v>577935.89086964808</v>
      </c>
      <c r="Y9" s="2">
        <f t="shared" si="22"/>
        <v>18157620.116815634</v>
      </c>
      <c r="Z9" s="3">
        <f t="shared" si="23"/>
        <v>0.81456785182473301</v>
      </c>
      <c r="AA9" s="3">
        <f t="shared" si="24"/>
        <v>0.91097833217016022</v>
      </c>
      <c r="AB9" s="2">
        <v>6</v>
      </c>
      <c r="AC9" s="3">
        <v>100</v>
      </c>
      <c r="AD9" s="3">
        <v>100</v>
      </c>
      <c r="AE9" s="6">
        <v>130</v>
      </c>
      <c r="AF9" s="3">
        <v>200</v>
      </c>
      <c r="AG9" s="3">
        <v>200</v>
      </c>
      <c r="AH9" s="3">
        <v>200</v>
      </c>
      <c r="AI9" s="3">
        <f t="shared" si="25"/>
        <v>266</v>
      </c>
      <c r="AJ9" s="3">
        <f t="shared" si="14"/>
        <v>266</v>
      </c>
      <c r="AK9" s="3">
        <f t="shared" si="15"/>
        <v>345.8</v>
      </c>
      <c r="AL9" s="3">
        <f t="shared" si="16"/>
        <v>532</v>
      </c>
      <c r="AM9" s="3">
        <f t="shared" si="17"/>
        <v>532</v>
      </c>
      <c r="AN9" s="3">
        <f t="shared" si="26"/>
        <v>532</v>
      </c>
      <c r="AP9">
        <v>6</v>
      </c>
      <c r="AQ9">
        <f>SUM(AP$2:AP9)</f>
        <v>11.66</v>
      </c>
      <c r="AR9">
        <v>20</v>
      </c>
      <c r="AW9" s="5">
        <v>4598570</v>
      </c>
      <c r="AX9">
        <f t="shared" si="6"/>
        <v>1149643</v>
      </c>
    </row>
    <row r="10" spans="1:50" x14ac:dyDescent="0.2">
      <c r="C10" s="2">
        <v>60</v>
      </c>
      <c r="D10" s="2">
        <v>120</v>
      </c>
      <c r="E10" s="2">
        <v>0.7</v>
      </c>
      <c r="F10" s="3">
        <f t="shared" si="18"/>
        <v>116.73179516247083</v>
      </c>
      <c r="G10" s="3">
        <f t="shared" si="7"/>
        <v>88.9986979129568</v>
      </c>
      <c r="H10" s="2">
        <v>5000</v>
      </c>
      <c r="I10" s="2">
        <v>50000</v>
      </c>
      <c r="J10" s="3">
        <f t="shared" si="8"/>
        <v>0.7782119677498055</v>
      </c>
      <c r="K10" s="3">
        <f t="shared" si="9"/>
        <v>2.6699609373887041</v>
      </c>
      <c r="L10" s="4">
        <f t="shared" si="19"/>
        <v>9680</v>
      </c>
      <c r="M10" s="4">
        <f t="shared" si="10"/>
        <v>249200</v>
      </c>
      <c r="N10" s="5">
        <v>1172635</v>
      </c>
      <c r="O10" s="5">
        <f t="shared" si="11"/>
        <v>1172635</v>
      </c>
      <c r="P10" s="5">
        <f t="shared" si="27"/>
        <v>39918.037532732036</v>
      </c>
      <c r="Q10" s="5">
        <f t="shared" si="28"/>
        <v>1132716.9624672679</v>
      </c>
      <c r="R10" s="2">
        <f t="shared" si="12"/>
        <v>702000</v>
      </c>
      <c r="S10" s="2">
        <f t="shared" si="13"/>
        <v>19920000</v>
      </c>
      <c r="T10" s="2">
        <v>0.3</v>
      </c>
      <c r="U10" s="9">
        <f t="shared" si="3"/>
        <v>12378.626021512144</v>
      </c>
      <c r="V10" s="9">
        <f t="shared" si="4"/>
        <v>0</v>
      </c>
      <c r="W10" s="2">
        <f t="shared" si="20"/>
        <v>14447778.626021512</v>
      </c>
      <c r="X10" s="2">
        <f t="shared" si="21"/>
        <v>546304.80136036349</v>
      </c>
      <c r="Y10" s="2">
        <f t="shared" si="22"/>
        <v>17728540.624260996</v>
      </c>
      <c r="Z10" s="3">
        <f t="shared" si="23"/>
        <v>0.7782119677498055</v>
      </c>
      <c r="AA10" s="3">
        <f t="shared" si="24"/>
        <v>0.88998697912956803</v>
      </c>
      <c r="AB10" s="4">
        <v>7</v>
      </c>
      <c r="AC10" s="3">
        <v>100</v>
      </c>
      <c r="AD10" s="3">
        <v>100</v>
      </c>
      <c r="AE10" s="6">
        <v>130</v>
      </c>
      <c r="AF10" s="3">
        <v>200</v>
      </c>
      <c r="AG10" s="3">
        <v>200</v>
      </c>
      <c r="AH10" s="3">
        <v>200</v>
      </c>
      <c r="AI10" s="3">
        <f t="shared" si="25"/>
        <v>566</v>
      </c>
      <c r="AJ10" s="3">
        <f t="shared" si="14"/>
        <v>566</v>
      </c>
      <c r="AK10" s="3">
        <f t="shared" si="15"/>
        <v>735.80000000000007</v>
      </c>
      <c r="AL10" s="3">
        <f t="shared" si="16"/>
        <v>1132</v>
      </c>
      <c r="AM10" s="3">
        <f t="shared" si="17"/>
        <v>1132</v>
      </c>
      <c r="AN10" s="3">
        <f t="shared" si="26"/>
        <v>1132</v>
      </c>
      <c r="AP10">
        <v>10</v>
      </c>
      <c r="AQ10">
        <f>SUM(AP$2:AP10)</f>
        <v>21.66</v>
      </c>
      <c r="AR10">
        <v>20</v>
      </c>
      <c r="AW10" s="5">
        <v>4690540</v>
      </c>
      <c r="AX10">
        <f t="shared" si="6"/>
        <v>1172635</v>
      </c>
    </row>
    <row r="11" spans="1:50" x14ac:dyDescent="0.2">
      <c r="C11" s="2">
        <v>100</v>
      </c>
      <c r="D11" s="2">
        <v>120</v>
      </c>
      <c r="E11" s="2">
        <v>0.7</v>
      </c>
      <c r="F11" s="3">
        <f t="shared" si="18"/>
        <v>111.22795735008324</v>
      </c>
      <c r="G11" s="3">
        <f t="shared" si="7"/>
        <v>86.703122021692309</v>
      </c>
      <c r="H11" s="2">
        <v>5000</v>
      </c>
      <c r="I11" s="2">
        <v>50000</v>
      </c>
      <c r="J11" s="3">
        <f t="shared" si="8"/>
        <v>0.74151971566722163</v>
      </c>
      <c r="K11" s="3">
        <f t="shared" si="9"/>
        <v>2.6010936606507693</v>
      </c>
      <c r="L11" s="4">
        <f t="shared" si="19"/>
        <v>9620</v>
      </c>
      <c r="M11" s="4">
        <f t="shared" si="10"/>
        <v>249080</v>
      </c>
      <c r="N11" s="5">
        <v>1196088</v>
      </c>
      <c r="O11" s="5">
        <f t="shared" si="11"/>
        <v>1196088</v>
      </c>
      <c r="P11" s="5">
        <f t="shared" si="27"/>
        <v>40235.376146788993</v>
      </c>
      <c r="Q11" s="5">
        <f t="shared" si="28"/>
        <v>1155852.6238532111</v>
      </c>
      <c r="R11" s="2">
        <f t="shared" si="12"/>
        <v>693000</v>
      </c>
      <c r="S11" s="2">
        <f t="shared" si="13"/>
        <v>19908000</v>
      </c>
      <c r="T11" s="2">
        <v>0.3</v>
      </c>
      <c r="U11" s="9">
        <f t="shared" si="3"/>
        <v>15069.019264327979</v>
      </c>
      <c r="V11" s="9">
        <f t="shared" si="4"/>
        <v>0</v>
      </c>
      <c r="W11" s="2">
        <f t="shared" si="20"/>
        <v>14435769.019264327</v>
      </c>
      <c r="X11" s="2">
        <f t="shared" si="21"/>
        <v>513873.1629573846</v>
      </c>
      <c r="Y11" s="2">
        <f t="shared" si="22"/>
        <v>17260857.532078505</v>
      </c>
      <c r="Z11" s="3">
        <f t="shared" si="23"/>
        <v>0.74151971566722163</v>
      </c>
      <c r="AA11" s="3">
        <f t="shared" si="24"/>
        <v>0.86703122021692303</v>
      </c>
      <c r="AB11" s="4">
        <v>8</v>
      </c>
      <c r="AC11" s="3">
        <v>100</v>
      </c>
      <c r="AD11" s="3">
        <v>100</v>
      </c>
      <c r="AE11" s="6">
        <v>130</v>
      </c>
      <c r="AF11" s="3">
        <v>200</v>
      </c>
      <c r="AG11" s="3">
        <v>200</v>
      </c>
      <c r="AH11" s="3">
        <v>200</v>
      </c>
      <c r="AI11" s="3">
        <f t="shared" si="25"/>
        <v>1166</v>
      </c>
      <c r="AJ11" s="3">
        <f t="shared" si="14"/>
        <v>1166</v>
      </c>
      <c r="AK11" s="3">
        <f t="shared" si="15"/>
        <v>1515.8</v>
      </c>
      <c r="AL11" s="3">
        <f t="shared" si="16"/>
        <v>2332</v>
      </c>
      <c r="AM11" s="3">
        <f t="shared" si="17"/>
        <v>2332</v>
      </c>
      <c r="AN11" s="3">
        <f t="shared" si="26"/>
        <v>2332</v>
      </c>
      <c r="AP11">
        <v>12</v>
      </c>
      <c r="AQ11">
        <f>SUM(AP$2:AP11)</f>
        <v>33.659999999999997</v>
      </c>
      <c r="AR11">
        <v>20</v>
      </c>
      <c r="AW11" s="5">
        <v>4784350</v>
      </c>
      <c r="AX11">
        <f t="shared" si="6"/>
        <v>1196088</v>
      </c>
    </row>
    <row r="12" spans="1:50" x14ac:dyDescent="0.2">
      <c r="C12" s="2">
        <v>100</v>
      </c>
      <c r="D12" s="2">
        <v>120</v>
      </c>
      <c r="E12" s="2">
        <v>0.7</v>
      </c>
      <c r="F12" s="3">
        <f t="shared" si="18"/>
        <v>106.34890586366096</v>
      </c>
      <c r="G12" s="3">
        <f t="shared" si="7"/>
        <v>84.200709619928176</v>
      </c>
      <c r="H12" s="2">
        <v>5000</v>
      </c>
      <c r="I12" s="2">
        <v>50000</v>
      </c>
      <c r="J12" s="3">
        <f t="shared" si="8"/>
        <v>0.70899270575773976</v>
      </c>
      <c r="K12" s="3">
        <f t="shared" si="9"/>
        <v>2.5260212885978452</v>
      </c>
      <c r="L12" s="4">
        <f t="shared" si="19"/>
        <v>9520</v>
      </c>
      <c r="M12" s="4">
        <f t="shared" si="10"/>
        <v>248960</v>
      </c>
      <c r="N12" s="5">
        <v>1220010</v>
      </c>
      <c r="O12" s="5">
        <f t="shared" si="11"/>
        <v>1220010</v>
      </c>
      <c r="P12" s="5">
        <f t="shared" si="27"/>
        <v>40204.470691163602</v>
      </c>
      <c r="Q12" s="5">
        <f t="shared" si="28"/>
        <v>1179805.5293088364</v>
      </c>
      <c r="R12" s="2">
        <f t="shared" si="12"/>
        <v>678000</v>
      </c>
      <c r="S12" s="2">
        <f t="shared" si="13"/>
        <v>19896000</v>
      </c>
      <c r="T12" s="2">
        <v>0.3</v>
      </c>
      <c r="U12" s="9">
        <f t="shared" si="3"/>
        <v>14517.283018530235</v>
      </c>
      <c r="V12" s="9">
        <f t="shared" si="4"/>
        <v>0</v>
      </c>
      <c r="W12" s="2">
        <f t="shared" si="20"/>
        <v>14416317.283018529</v>
      </c>
      <c r="X12" s="2">
        <f t="shared" si="21"/>
        <v>480697.05450374755</v>
      </c>
      <c r="Y12" s="2">
        <f>Y11-Q11+M12*K11</f>
        <v>16752573.18598091</v>
      </c>
      <c r="Z12" s="3">
        <f t="shared" si="23"/>
        <v>0.70899270575773976</v>
      </c>
      <c r="AA12" s="3">
        <f t="shared" si="24"/>
        <v>0.84200709619928182</v>
      </c>
      <c r="AB12" s="2">
        <v>9</v>
      </c>
      <c r="AC12" s="3">
        <v>100</v>
      </c>
      <c r="AD12" s="3">
        <v>100</v>
      </c>
      <c r="AE12" s="6">
        <v>130</v>
      </c>
      <c r="AF12" s="3">
        <v>200</v>
      </c>
      <c r="AG12" s="3">
        <v>200</v>
      </c>
      <c r="AH12" s="3">
        <v>200</v>
      </c>
      <c r="AI12" s="3">
        <f t="shared" si="25"/>
        <v>2166</v>
      </c>
      <c r="AJ12" s="3">
        <f t="shared" si="14"/>
        <v>2166</v>
      </c>
      <c r="AK12" s="3">
        <f t="shared" si="15"/>
        <v>2815.8</v>
      </c>
      <c r="AL12" s="3">
        <f t="shared" si="16"/>
        <v>4332</v>
      </c>
      <c r="AM12" s="3">
        <f t="shared" si="17"/>
        <v>4332</v>
      </c>
      <c r="AN12" s="3">
        <f t="shared" si="26"/>
        <v>4332</v>
      </c>
      <c r="AP12">
        <v>13.5</v>
      </c>
      <c r="AQ12">
        <f>SUM(AP$2:AP12)</f>
        <v>47.16</v>
      </c>
      <c r="AR12">
        <v>20</v>
      </c>
      <c r="AW12" s="5">
        <v>4880040</v>
      </c>
      <c r="AX12">
        <f t="shared" si="6"/>
        <v>1220010</v>
      </c>
    </row>
    <row r="13" spans="1:50" x14ac:dyDescent="0.2">
      <c r="C13" s="2">
        <v>100</v>
      </c>
      <c r="D13" s="2">
        <v>120</v>
      </c>
      <c r="E13" s="2">
        <v>0.7</v>
      </c>
      <c r="F13" s="3">
        <f t="shared" si="18"/>
        <v>101.16997626715425</v>
      </c>
      <c r="G13" s="3">
        <f t="shared" si="7"/>
        <v>81.479293875109448</v>
      </c>
      <c r="H13" s="2">
        <v>5000</v>
      </c>
      <c r="I13" s="2">
        <v>50000</v>
      </c>
      <c r="J13" s="3">
        <f t="shared" si="8"/>
        <v>0.67446650844769507</v>
      </c>
      <c r="K13" s="3">
        <f t="shared" si="9"/>
        <v>2.4443788162532836</v>
      </c>
      <c r="L13" s="4">
        <f t="shared" si="19"/>
        <v>9420</v>
      </c>
      <c r="M13" s="4">
        <f t="shared" si="10"/>
        <v>248840</v>
      </c>
      <c r="N13" s="5">
        <v>1244410</v>
      </c>
      <c r="O13" s="5">
        <f t="shared" si="11"/>
        <v>1244410</v>
      </c>
      <c r="P13" s="5">
        <f t="shared" si="27"/>
        <v>40153.980143086585</v>
      </c>
      <c r="Q13" s="5">
        <f t="shared" si="28"/>
        <v>1204256.0198569135</v>
      </c>
      <c r="R13" s="2">
        <f t="shared" si="12"/>
        <v>663000</v>
      </c>
      <c r="S13" s="2">
        <f t="shared" si="13"/>
        <v>19884000</v>
      </c>
      <c r="T13" s="2">
        <v>0.3</v>
      </c>
      <c r="U13" s="9">
        <f t="shared" si="3"/>
        <v>13926.15902420999</v>
      </c>
      <c r="V13" s="9">
        <f t="shared" si="4"/>
        <v>0</v>
      </c>
      <c r="W13" s="2">
        <f t="shared" si="20"/>
        <v>14396826.159024211</v>
      </c>
      <c r="X13" s="2">
        <f t="shared" si="21"/>
        <v>447171.29510082182</v>
      </c>
      <c r="Y13" s="2">
        <f t="shared" si="22"/>
        <v>16201342.794126762</v>
      </c>
      <c r="Z13" s="3">
        <f t="shared" si="23"/>
        <v>0.67446650844769507</v>
      </c>
      <c r="AA13" s="3">
        <f t="shared" si="24"/>
        <v>0.81479293875109449</v>
      </c>
      <c r="AB13" s="4">
        <v>10</v>
      </c>
      <c r="AC13" s="3">
        <v>100</v>
      </c>
      <c r="AD13" s="3">
        <v>100</v>
      </c>
      <c r="AE13" s="6">
        <v>130</v>
      </c>
      <c r="AF13" s="3">
        <v>200</v>
      </c>
      <c r="AG13" s="3">
        <v>200</v>
      </c>
      <c r="AH13" s="3">
        <v>200</v>
      </c>
      <c r="AI13" s="3">
        <f t="shared" si="25"/>
        <v>3365.9999999999995</v>
      </c>
      <c r="AJ13" s="3">
        <f t="shared" si="14"/>
        <v>3365.9999999999995</v>
      </c>
      <c r="AK13" s="3">
        <f t="shared" si="15"/>
        <v>4375.7999999999993</v>
      </c>
      <c r="AL13" s="3">
        <f t="shared" si="16"/>
        <v>6731.9999999999991</v>
      </c>
      <c r="AM13" s="3">
        <f t="shared" si="17"/>
        <v>6731.9999999999991</v>
      </c>
      <c r="AN13" s="3">
        <f t="shared" si="26"/>
        <v>6731.9999999999991</v>
      </c>
      <c r="AP13">
        <v>12</v>
      </c>
      <c r="AQ13">
        <f>SUM(AP$2:AP13)</f>
        <v>59.16</v>
      </c>
      <c r="AR13">
        <v>20</v>
      </c>
      <c r="AW13" s="5">
        <v>4977640</v>
      </c>
      <c r="AX13">
        <f t="shared" si="6"/>
        <v>1244410</v>
      </c>
    </row>
    <row r="14" spans="1:50" x14ac:dyDescent="0.2">
      <c r="C14" s="2">
        <v>80</v>
      </c>
      <c r="D14" s="2">
        <v>120</v>
      </c>
      <c r="E14" s="2">
        <v>0.7</v>
      </c>
      <c r="F14" s="3">
        <f t="shared" si="18"/>
        <v>95.672070096404568</v>
      </c>
      <c r="G14" s="3">
        <f t="shared" si="7"/>
        <v>78.527841553182185</v>
      </c>
      <c r="H14" s="2">
        <v>5000</v>
      </c>
      <c r="I14" s="2">
        <v>50000</v>
      </c>
      <c r="J14" s="3">
        <f t="shared" si="8"/>
        <v>0.6378138006426971</v>
      </c>
      <c r="K14" s="3">
        <f t="shared" si="9"/>
        <v>2.3558352465954657</v>
      </c>
      <c r="L14" s="4">
        <f t="shared" si="19"/>
        <v>9320</v>
      </c>
      <c r="M14" s="4">
        <f t="shared" si="10"/>
        <v>248720</v>
      </c>
      <c r="N14" s="5">
        <v>1269298</v>
      </c>
      <c r="O14" s="5">
        <f t="shared" si="11"/>
        <v>1269298</v>
      </c>
      <c r="P14" s="5">
        <f t="shared" si="27"/>
        <v>40083.094736842104</v>
      </c>
      <c r="Q14" s="5">
        <f t="shared" si="28"/>
        <v>1229214.9052631578</v>
      </c>
      <c r="R14" s="2">
        <f t="shared" si="12"/>
        <v>648000</v>
      </c>
      <c r="S14" s="2">
        <f t="shared" si="13"/>
        <v>19872000</v>
      </c>
      <c r="T14" s="2">
        <v>0.3</v>
      </c>
      <c r="U14" s="9">
        <f t="shared" si="3"/>
        <v>11953.974615865958</v>
      </c>
      <c r="V14" s="9">
        <f t="shared" si="4"/>
        <v>0</v>
      </c>
      <c r="W14" s="2">
        <f t="shared" si="20"/>
        <v>14375953.974615866</v>
      </c>
      <c r="X14" s="2">
        <f t="shared" si="21"/>
        <v>413303.34281646775</v>
      </c>
      <c r="Y14" s="2">
        <f t="shared" si="22"/>
        <v>15605052.673448365</v>
      </c>
      <c r="Z14" s="3">
        <f t="shared" si="23"/>
        <v>0.6378138006426971</v>
      </c>
      <c r="AA14" s="3">
        <f t="shared" si="24"/>
        <v>0.78527841553182187</v>
      </c>
      <c r="AB14" s="4">
        <v>11</v>
      </c>
      <c r="AC14" s="3">
        <v>100</v>
      </c>
      <c r="AD14" s="3">
        <v>100</v>
      </c>
      <c r="AE14" s="6">
        <v>130</v>
      </c>
      <c r="AF14" s="3">
        <v>200</v>
      </c>
      <c r="AG14" s="3">
        <v>200</v>
      </c>
      <c r="AH14" s="3">
        <v>200</v>
      </c>
      <c r="AI14" s="3">
        <f t="shared" si="25"/>
        <v>4716</v>
      </c>
      <c r="AJ14" s="3">
        <f t="shared" si="14"/>
        <v>4716</v>
      </c>
      <c r="AK14" s="3">
        <f t="shared" si="15"/>
        <v>6130.7999999999993</v>
      </c>
      <c r="AL14" s="3">
        <f t="shared" si="16"/>
        <v>9432</v>
      </c>
      <c r="AM14" s="3">
        <f t="shared" si="17"/>
        <v>9432</v>
      </c>
      <c r="AN14" s="3">
        <f t="shared" si="26"/>
        <v>9432</v>
      </c>
      <c r="AP14">
        <v>10</v>
      </c>
      <c r="AQ14">
        <f>SUM(AP$2:AP14)</f>
        <v>69.16</v>
      </c>
      <c r="AR14">
        <v>20</v>
      </c>
      <c r="AW14" s="5">
        <v>5077190</v>
      </c>
      <c r="AX14">
        <f t="shared" si="6"/>
        <v>1269298</v>
      </c>
    </row>
    <row r="15" spans="1:50" x14ac:dyDescent="0.2">
      <c r="C15" s="2">
        <v>75</v>
      </c>
      <c r="D15" s="2">
        <v>120</v>
      </c>
      <c r="E15" s="2">
        <v>0.7</v>
      </c>
      <c r="F15" s="3">
        <f t="shared" si="18"/>
        <v>89.413596131500981</v>
      </c>
      <c r="G15" s="3">
        <f t="shared" si="7"/>
        <v>75.334835903770596</v>
      </c>
      <c r="H15" s="2">
        <v>5000</v>
      </c>
      <c r="I15" s="2">
        <v>50000</v>
      </c>
      <c r="J15" s="3">
        <f t="shared" si="8"/>
        <v>0.59609064087667318</v>
      </c>
      <c r="K15" s="3">
        <f t="shared" si="9"/>
        <v>2.2600450771131175</v>
      </c>
      <c r="L15" s="4">
        <f t="shared" si="19"/>
        <v>9240</v>
      </c>
      <c r="M15" s="4">
        <f t="shared" si="10"/>
        <v>248600</v>
      </c>
      <c r="N15" s="5">
        <v>1294683</v>
      </c>
      <c r="O15" s="5">
        <f t="shared" si="11"/>
        <v>1294683</v>
      </c>
      <c r="P15" s="5">
        <f t="shared" si="27"/>
        <v>40174.589578454332</v>
      </c>
      <c r="Q15" s="5">
        <f t="shared" si="28"/>
        <v>1254508.4104215456</v>
      </c>
      <c r="R15" s="2">
        <f t="shared" si="12"/>
        <v>636000</v>
      </c>
      <c r="S15" s="2">
        <f t="shared" si="13"/>
        <v>19860000</v>
      </c>
      <c r="T15" s="2">
        <v>0.3</v>
      </c>
      <c r="U15" s="9">
        <f t="shared" si="3"/>
        <v>11022.34001282053</v>
      </c>
      <c r="V15" s="9">
        <f t="shared" si="4"/>
        <v>0</v>
      </c>
      <c r="W15" s="2">
        <f t="shared" si="20"/>
        <v>14358222.34001282</v>
      </c>
      <c r="X15" s="2">
        <f t="shared" si="21"/>
        <v>379113.64759756415</v>
      </c>
      <c r="Y15" s="2">
        <f t="shared" si="22"/>
        <v>14961498.41048884</v>
      </c>
      <c r="Z15" s="3">
        <f t="shared" si="23"/>
        <v>0.59609064087667318</v>
      </c>
      <c r="AA15" s="3">
        <f t="shared" si="24"/>
        <v>0.75334835903770592</v>
      </c>
      <c r="AB15" s="2">
        <v>12</v>
      </c>
      <c r="AC15" s="3">
        <v>100</v>
      </c>
      <c r="AD15" s="3">
        <v>100</v>
      </c>
      <c r="AE15" s="6">
        <v>130</v>
      </c>
      <c r="AF15" s="3">
        <v>200</v>
      </c>
      <c r="AG15" s="3">
        <v>200</v>
      </c>
      <c r="AH15" s="3">
        <v>200</v>
      </c>
      <c r="AI15" s="3">
        <f t="shared" si="25"/>
        <v>5916</v>
      </c>
      <c r="AJ15" s="3">
        <f t="shared" si="14"/>
        <v>5916</v>
      </c>
      <c r="AK15" s="3">
        <f t="shared" si="15"/>
        <v>7690.7999999999993</v>
      </c>
      <c r="AL15" s="3">
        <f t="shared" si="16"/>
        <v>11832</v>
      </c>
      <c r="AM15" s="3">
        <f t="shared" si="17"/>
        <v>11832</v>
      </c>
      <c r="AN15" s="3">
        <f t="shared" si="26"/>
        <v>11832</v>
      </c>
      <c r="AP15">
        <v>6</v>
      </c>
      <c r="AQ15">
        <f>SUM(AP$2:AP15)</f>
        <v>75.16</v>
      </c>
      <c r="AR15">
        <v>20</v>
      </c>
      <c r="AW15" s="5">
        <v>5178730</v>
      </c>
      <c r="AX15">
        <f t="shared" si="6"/>
        <v>1294683</v>
      </c>
    </row>
    <row r="16" spans="1:50" x14ac:dyDescent="0.2">
      <c r="C16" s="2">
        <v>60</v>
      </c>
      <c r="D16" s="2">
        <v>120</v>
      </c>
      <c r="E16" s="2">
        <v>0.7</v>
      </c>
      <c r="F16" s="3">
        <f t="shared" si="18"/>
        <v>82.689610742555715</v>
      </c>
      <c r="G16" s="3">
        <f t="shared" si="7"/>
        <v>71.88918783166244</v>
      </c>
      <c r="H16" s="2">
        <v>5000</v>
      </c>
      <c r="I16" s="2">
        <v>50000</v>
      </c>
      <c r="J16" s="3">
        <f t="shared" si="8"/>
        <v>0.55126407161703805</v>
      </c>
      <c r="K16" s="3">
        <f t="shared" si="9"/>
        <v>2.156675634949873</v>
      </c>
      <c r="L16" s="4">
        <f t="shared" si="19"/>
        <v>9165</v>
      </c>
      <c r="M16" s="4">
        <f t="shared" si="10"/>
        <v>248480</v>
      </c>
      <c r="N16" s="5">
        <v>1320575</v>
      </c>
      <c r="O16" s="5">
        <f t="shared" si="11"/>
        <v>1320575</v>
      </c>
      <c r="P16" s="5">
        <f t="shared" si="27"/>
        <v>40298.896398871671</v>
      </c>
      <c r="Q16" s="5">
        <f t="shared" si="28"/>
        <v>1280276.1036011283</v>
      </c>
      <c r="R16" s="2">
        <f t="shared" si="12"/>
        <v>624750</v>
      </c>
      <c r="S16" s="2">
        <f t="shared" si="13"/>
        <v>19848000</v>
      </c>
      <c r="T16" s="2">
        <v>0.3</v>
      </c>
      <c r="U16" s="9">
        <f t="shared" si="3"/>
        <v>9511.655429046983</v>
      </c>
      <c r="V16" s="9">
        <f t="shared" si="4"/>
        <v>0</v>
      </c>
      <c r="W16" s="2">
        <f t="shared" si="20"/>
        <v>14340436.655429047</v>
      </c>
      <c r="X16" s="2">
        <f t="shared" si="21"/>
        <v>344402.22874274454</v>
      </c>
      <c r="Y16" s="2">
        <f t="shared" si="22"/>
        <v>14268566.000828361</v>
      </c>
      <c r="Z16" s="3">
        <f t="shared" si="23"/>
        <v>0.55126407161703805</v>
      </c>
      <c r="AA16" s="3">
        <f t="shared" si="24"/>
        <v>0.71889187831662438</v>
      </c>
      <c r="AB16" s="4">
        <v>13</v>
      </c>
      <c r="AC16" s="3">
        <v>100</v>
      </c>
      <c r="AD16" s="3">
        <v>100</v>
      </c>
      <c r="AE16" s="6">
        <v>130</v>
      </c>
      <c r="AF16" s="3">
        <v>200</v>
      </c>
      <c r="AG16" s="3">
        <v>200</v>
      </c>
      <c r="AH16" s="3">
        <v>200</v>
      </c>
      <c r="AI16" s="3">
        <f t="shared" si="25"/>
        <v>6916</v>
      </c>
      <c r="AJ16" s="3">
        <f t="shared" si="14"/>
        <v>6916</v>
      </c>
      <c r="AK16" s="3">
        <f t="shared" si="15"/>
        <v>8990.7999999999993</v>
      </c>
      <c r="AL16" s="3">
        <f t="shared" si="16"/>
        <v>13832</v>
      </c>
      <c r="AM16" s="3">
        <f t="shared" si="17"/>
        <v>13832</v>
      </c>
      <c r="AN16" s="3">
        <f t="shared" si="26"/>
        <v>13832</v>
      </c>
      <c r="AP16">
        <v>3</v>
      </c>
      <c r="AQ16">
        <f>SUM(AP$2:AP16)</f>
        <v>78.16</v>
      </c>
      <c r="AR16">
        <v>20</v>
      </c>
      <c r="AW16" s="5">
        <v>5282300</v>
      </c>
      <c r="AX16">
        <f t="shared" si="6"/>
        <v>1320575</v>
      </c>
    </row>
    <row r="17" spans="3:50" x14ac:dyDescent="0.2">
      <c r="C17" s="2">
        <v>40</v>
      </c>
      <c r="D17" s="2">
        <v>120</v>
      </c>
      <c r="E17" s="2">
        <v>0.7</v>
      </c>
      <c r="F17" s="3">
        <f t="shared" si="18"/>
        <v>75.303920028245059</v>
      </c>
      <c r="G17" s="3">
        <f t="shared" si="7"/>
        <v>68.17867441985976</v>
      </c>
      <c r="H17" s="2">
        <v>5000</v>
      </c>
      <c r="I17" s="2">
        <v>50000</v>
      </c>
      <c r="J17" s="3">
        <f t="shared" si="8"/>
        <v>0.50202613352163372</v>
      </c>
      <c r="K17" s="3">
        <f t="shared" si="9"/>
        <v>2.0453602325957929</v>
      </c>
      <c r="L17" s="4">
        <f t="shared" si="19"/>
        <v>9105</v>
      </c>
      <c r="M17" s="4">
        <f t="shared" si="10"/>
        <v>248360</v>
      </c>
      <c r="N17" s="5">
        <v>1346988</v>
      </c>
      <c r="O17" s="5">
        <f t="shared" si="11"/>
        <v>1346988</v>
      </c>
      <c r="P17" s="5">
        <f t="shared" si="27"/>
        <v>40554.371190729398</v>
      </c>
      <c r="Q17" s="5">
        <f t="shared" si="28"/>
        <v>1306433.6288092707</v>
      </c>
      <c r="R17" s="2">
        <f t="shared" si="12"/>
        <v>615750</v>
      </c>
      <c r="S17" s="2">
        <f t="shared" si="13"/>
        <v>19836000</v>
      </c>
      <c r="T17" s="2">
        <v>0.3</v>
      </c>
      <c r="U17" s="9">
        <f t="shared" si="3"/>
        <v>7835.5184120590802</v>
      </c>
      <c r="V17" s="9">
        <f t="shared" si="4"/>
        <v>0</v>
      </c>
      <c r="W17" s="2">
        <f t="shared" si="20"/>
        <v>14324060.518412059</v>
      </c>
      <c r="X17" s="2">
        <f t="shared" si="21"/>
        <v>309122.59171594598</v>
      </c>
      <c r="Y17" s="2">
        <f t="shared" si="22"/>
        <v>13523921.857923383</v>
      </c>
      <c r="Z17" s="3">
        <f t="shared" si="23"/>
        <v>0.50202613352163372</v>
      </c>
      <c r="AA17" s="3">
        <f t="shared" si="24"/>
        <v>0.68178674419859764</v>
      </c>
      <c r="AB17" s="4">
        <v>14</v>
      </c>
      <c r="AC17" s="3">
        <v>100</v>
      </c>
      <c r="AD17" s="3">
        <v>100</v>
      </c>
      <c r="AE17" s="6">
        <v>130</v>
      </c>
      <c r="AF17" s="3">
        <v>200</v>
      </c>
      <c r="AG17" s="3">
        <v>200</v>
      </c>
      <c r="AH17" s="3">
        <v>200</v>
      </c>
      <c r="AI17" s="3">
        <f t="shared" si="25"/>
        <v>7516</v>
      </c>
      <c r="AJ17" s="3">
        <f t="shared" si="14"/>
        <v>7516</v>
      </c>
      <c r="AK17" s="3">
        <f t="shared" si="15"/>
        <v>9770.7999999999993</v>
      </c>
      <c r="AL17" s="3">
        <f t="shared" si="16"/>
        <v>15032</v>
      </c>
      <c r="AM17" s="3">
        <f t="shared" si="17"/>
        <v>15032</v>
      </c>
      <c r="AN17" s="3">
        <f t="shared" si="26"/>
        <v>15032</v>
      </c>
      <c r="AP17">
        <v>1.8</v>
      </c>
      <c r="AQ17">
        <f>SUM(AP$2:AP17)</f>
        <v>79.959999999999994</v>
      </c>
      <c r="AR17">
        <v>20</v>
      </c>
      <c r="AW17" s="5">
        <v>5387950</v>
      </c>
      <c r="AX17">
        <f t="shared" si="6"/>
        <v>1346988</v>
      </c>
    </row>
    <row r="18" spans="3:50" x14ac:dyDescent="0.2">
      <c r="C18" s="2">
        <v>20</v>
      </c>
      <c r="D18" s="2">
        <v>120</v>
      </c>
      <c r="E18" s="2">
        <v>0.7</v>
      </c>
      <c r="F18" s="3">
        <f t="shared" si="18"/>
        <v>67.187967386369053</v>
      </c>
      <c r="G18" s="3">
        <f t="shared" si="7"/>
        <v>64.191023271053737</v>
      </c>
      <c r="H18" s="2">
        <v>5000</v>
      </c>
      <c r="I18" s="2">
        <v>50000</v>
      </c>
      <c r="J18" s="3">
        <f t="shared" si="8"/>
        <v>0.44791978257579368</v>
      </c>
      <c r="K18" s="3">
        <f t="shared" si="9"/>
        <v>1.9257306981316122</v>
      </c>
      <c r="L18" s="4">
        <f t="shared" si="19"/>
        <v>9065</v>
      </c>
      <c r="M18" s="4">
        <f t="shared" si="10"/>
        <v>248240</v>
      </c>
      <c r="N18" s="5">
        <v>1373928</v>
      </c>
      <c r="O18" s="5">
        <f t="shared" si="11"/>
        <v>1373928</v>
      </c>
      <c r="P18" s="5">
        <f t="shared" si="27"/>
        <v>40998.475463387775</v>
      </c>
      <c r="Q18" s="5">
        <f t="shared" si="28"/>
        <v>1332929.5245366122</v>
      </c>
      <c r="R18" s="2">
        <f t="shared" si="12"/>
        <v>609750</v>
      </c>
      <c r="S18" s="2">
        <f t="shared" si="13"/>
        <v>19824000</v>
      </c>
      <c r="T18" s="2">
        <v>0.3</v>
      </c>
      <c r="U18" s="9">
        <f t="shared" si="3"/>
        <v>6332.6774981776807</v>
      </c>
      <c r="V18" s="9">
        <f t="shared" si="4"/>
        <v>0</v>
      </c>
      <c r="W18" s="2">
        <f t="shared" si="20"/>
        <v>14309957.677498179</v>
      </c>
      <c r="X18" s="2">
        <f t="shared" si="21"/>
        <v>273119.0874255902</v>
      </c>
      <c r="Y18" s="2">
        <f t="shared" si="22"/>
        <v>12725228.453253692</v>
      </c>
      <c r="Z18" s="3">
        <f t="shared" si="23"/>
        <v>0.44791978257579368</v>
      </c>
      <c r="AA18" s="3">
        <f t="shared" si="24"/>
        <v>0.64191023271053738</v>
      </c>
      <c r="AB18" s="2">
        <v>15</v>
      </c>
      <c r="AC18" s="3">
        <v>100</v>
      </c>
      <c r="AD18" s="3">
        <v>100</v>
      </c>
      <c r="AE18" s="6">
        <v>130</v>
      </c>
      <c r="AF18" s="3">
        <v>200</v>
      </c>
      <c r="AG18" s="3">
        <v>200</v>
      </c>
      <c r="AH18" s="3">
        <v>200</v>
      </c>
      <c r="AI18" s="3">
        <f t="shared" si="25"/>
        <v>7816</v>
      </c>
      <c r="AJ18" s="3">
        <f t="shared" si="14"/>
        <v>7816</v>
      </c>
      <c r="AK18" s="3">
        <f t="shared" si="15"/>
        <v>10160.799999999999</v>
      </c>
      <c r="AL18" s="3">
        <f t="shared" si="16"/>
        <v>15632</v>
      </c>
      <c r="AM18" s="3">
        <f t="shared" si="17"/>
        <v>15632</v>
      </c>
      <c r="AN18" s="3">
        <f t="shared" si="26"/>
        <v>15632</v>
      </c>
      <c r="AP18">
        <v>1.1000000000000001</v>
      </c>
      <c r="AQ18">
        <f>SUM(AP$2:AP18)</f>
        <v>81.059999999999988</v>
      </c>
      <c r="AR18">
        <v>20</v>
      </c>
      <c r="AW18" s="5">
        <v>5495710</v>
      </c>
      <c r="AX18">
        <f t="shared" si="6"/>
        <v>1373928</v>
      </c>
    </row>
    <row r="19" spans="3:50" x14ac:dyDescent="0.2">
      <c r="C19" s="2">
        <v>20</v>
      </c>
      <c r="D19" s="2">
        <v>120</v>
      </c>
      <c r="E19" s="2">
        <v>0.7</v>
      </c>
      <c r="F19" s="3">
        <f t="shared" si="18"/>
        <v>58.386167217700972</v>
      </c>
      <c r="G19" s="3">
        <f t="shared" si="7"/>
        <v>59.913745354015226</v>
      </c>
      <c r="H19" s="2">
        <v>5000</v>
      </c>
      <c r="I19" s="2">
        <v>50000</v>
      </c>
      <c r="J19" s="3">
        <f t="shared" si="8"/>
        <v>0.38924111478467316</v>
      </c>
      <c r="K19" s="3">
        <f t="shared" si="9"/>
        <v>1.7974123606204566</v>
      </c>
      <c r="L19" s="4">
        <f t="shared" si="19"/>
        <v>9045</v>
      </c>
      <c r="M19" s="4">
        <f t="shared" si="10"/>
        <v>248120</v>
      </c>
      <c r="N19" s="5">
        <v>1401405</v>
      </c>
      <c r="O19" s="5">
        <f t="shared" si="11"/>
        <v>1401405</v>
      </c>
      <c r="P19" s="5">
        <f t="shared" si="27"/>
        <v>41643.219283746555</v>
      </c>
      <c r="Q19" s="5">
        <f t="shared" si="28"/>
        <v>1359761.7807162534</v>
      </c>
      <c r="R19" s="2">
        <f t="shared" si="12"/>
        <v>606750</v>
      </c>
      <c r="S19" s="2">
        <f t="shared" si="13"/>
        <v>19812000</v>
      </c>
      <c r="T19" s="2">
        <v>0.3</v>
      </c>
      <c r="U19" s="9">
        <f t="shared" si="3"/>
        <v>5850.1609507850926</v>
      </c>
      <c r="V19" s="9">
        <f t="shared" si="4"/>
        <v>0</v>
      </c>
      <c r="W19" s="2">
        <f t="shared" si="20"/>
        <v>14298975.160950786</v>
      </c>
      <c r="X19" s="2">
        <f t="shared" si="21"/>
        <v>236172.04639560045</v>
      </c>
      <c r="Y19" s="2">
        <f t="shared" si="22"/>
        <v>11870111.229537496</v>
      </c>
      <c r="Z19" s="3">
        <f t="shared" si="23"/>
        <v>0.38924111478467316</v>
      </c>
      <c r="AA19" s="3">
        <f t="shared" si="24"/>
        <v>0.59913745354015224</v>
      </c>
      <c r="AB19" s="4">
        <v>16</v>
      </c>
      <c r="AC19" s="3">
        <v>100</v>
      </c>
      <c r="AD19" s="3">
        <v>100</v>
      </c>
      <c r="AE19" s="6">
        <v>130</v>
      </c>
      <c r="AF19" s="3">
        <v>200</v>
      </c>
      <c r="AG19" s="3">
        <v>200</v>
      </c>
      <c r="AH19" s="3">
        <v>200</v>
      </c>
      <c r="AI19" s="3">
        <f t="shared" si="25"/>
        <v>7995.9999999999991</v>
      </c>
      <c r="AJ19" s="3">
        <f t="shared" si="14"/>
        <v>7995.9999999999991</v>
      </c>
      <c r="AK19" s="3">
        <f t="shared" si="15"/>
        <v>10394.799999999999</v>
      </c>
      <c r="AL19" s="3">
        <f t="shared" si="16"/>
        <v>15991.999999999998</v>
      </c>
      <c r="AM19" s="3">
        <f t="shared" si="17"/>
        <v>15991.999999999998</v>
      </c>
      <c r="AN19" s="3">
        <f t="shared" si="26"/>
        <v>15991.999999999998</v>
      </c>
      <c r="AP19">
        <v>0.5</v>
      </c>
      <c r="AQ19">
        <f>SUM(AP$2:AP19)</f>
        <v>81.559999999999988</v>
      </c>
      <c r="AR19">
        <v>20</v>
      </c>
      <c r="AW19" s="5">
        <v>5605620</v>
      </c>
      <c r="AX19">
        <f t="shared" si="6"/>
        <v>1401405</v>
      </c>
    </row>
    <row r="20" spans="3:50" x14ac:dyDescent="0.2">
      <c r="C20" s="2">
        <v>20</v>
      </c>
      <c r="D20" s="2">
        <v>120</v>
      </c>
      <c r="E20" s="2">
        <v>0.7</v>
      </c>
      <c r="F20" s="3">
        <f t="shared" si="18"/>
        <v>49.202913831747971</v>
      </c>
      <c r="G20" s="3">
        <f t="shared" si="7"/>
        <v>55.333877344722815</v>
      </c>
      <c r="H20" s="2">
        <v>5000</v>
      </c>
      <c r="I20" s="2">
        <v>50000</v>
      </c>
      <c r="J20" s="3">
        <f t="shared" si="8"/>
        <v>0.32801942554498648</v>
      </c>
      <c r="K20" s="3">
        <f t="shared" si="9"/>
        <v>1.6600163203416844</v>
      </c>
      <c r="L20" s="4">
        <f t="shared" si="19"/>
        <v>9025</v>
      </c>
      <c r="M20" s="4">
        <f t="shared" si="10"/>
        <v>248000</v>
      </c>
      <c r="N20" s="5">
        <v>1429433</v>
      </c>
      <c r="O20" s="5">
        <f>INT(Z20&gt;T20)*MIN(N20,W20)</f>
        <v>1429433</v>
      </c>
      <c r="P20" s="5">
        <f t="shared" si="27"/>
        <v>42297.135269251972</v>
      </c>
      <c r="Q20" s="5">
        <f t="shared" si="28"/>
        <v>1387135.8647307481</v>
      </c>
      <c r="R20" s="2">
        <f t="shared" si="12"/>
        <v>603750</v>
      </c>
      <c r="S20" s="2">
        <f t="shared" si="13"/>
        <v>19800000</v>
      </c>
      <c r="T20" s="2">
        <v>0.3</v>
      </c>
      <c r="U20" s="9">
        <f t="shared" si="3"/>
        <v>5336.8864906011868</v>
      </c>
      <c r="V20" s="9">
        <f t="shared" si="4"/>
        <v>0</v>
      </c>
      <c r="W20" s="2">
        <f t="shared" si="20"/>
        <v>14287961.886490602</v>
      </c>
      <c r="X20" s="2">
        <f t="shared" si="21"/>
        <v>198041.72817278557</v>
      </c>
      <c r="Y20" s="2">
        <f t="shared" si="22"/>
        <v>10956107.714255117</v>
      </c>
      <c r="Z20" s="3">
        <f t="shared" si="23"/>
        <v>0.32801942554498648</v>
      </c>
      <c r="AA20" s="3">
        <f t="shared" si="24"/>
        <v>0.55333877344722815</v>
      </c>
      <c r="AB20" s="4">
        <v>17</v>
      </c>
      <c r="AC20" s="3">
        <v>100</v>
      </c>
      <c r="AD20" s="3">
        <v>100</v>
      </c>
      <c r="AE20" s="6">
        <v>130</v>
      </c>
      <c r="AF20" s="3">
        <v>200</v>
      </c>
      <c r="AG20" s="3">
        <v>200</v>
      </c>
      <c r="AH20" s="3">
        <v>200</v>
      </c>
      <c r="AI20" s="3">
        <f t="shared" si="25"/>
        <v>8105.9999999999991</v>
      </c>
      <c r="AJ20" s="3">
        <f t="shared" si="14"/>
        <v>8105.9999999999991</v>
      </c>
      <c r="AK20" s="3">
        <f t="shared" si="15"/>
        <v>10537.8</v>
      </c>
      <c r="AL20" s="3">
        <f t="shared" si="16"/>
        <v>16211.999999999998</v>
      </c>
      <c r="AM20" s="3">
        <f t="shared" si="17"/>
        <v>16211.999999999998</v>
      </c>
      <c r="AN20" s="3">
        <f t="shared" si="26"/>
        <v>16211.999999999998</v>
      </c>
      <c r="AP20">
        <v>0.3</v>
      </c>
      <c r="AQ20">
        <f>SUM(AP$2:AP20)</f>
        <v>81.859999999999985</v>
      </c>
      <c r="AR20">
        <v>20</v>
      </c>
      <c r="AW20" s="5">
        <v>5717730</v>
      </c>
      <c r="AX20">
        <f t="shared" si="6"/>
        <v>1429433</v>
      </c>
    </row>
    <row r="21" spans="3:50" x14ac:dyDescent="0.2">
      <c r="C21" s="2">
        <v>20</v>
      </c>
      <c r="D21" s="2">
        <v>120</v>
      </c>
      <c r="E21" s="2">
        <v>0.7</v>
      </c>
      <c r="F21" s="3">
        <f t="shared" si="18"/>
        <v>39.625070619367335</v>
      </c>
      <c r="G21" s="3">
        <f t="shared" si="7"/>
        <v>50.436914771632637</v>
      </c>
      <c r="H21" s="2">
        <v>5000</v>
      </c>
      <c r="I21" s="2">
        <v>50000</v>
      </c>
      <c r="J21" s="3">
        <f t="shared" si="8"/>
        <v>0.26416713746244891</v>
      </c>
      <c r="K21" s="3">
        <f t="shared" si="9"/>
        <v>1.513107443148979</v>
      </c>
      <c r="L21" s="4">
        <f t="shared" si="19"/>
        <v>9005</v>
      </c>
      <c r="M21" s="4">
        <f t="shared" si="10"/>
        <v>247880</v>
      </c>
      <c r="N21" s="5">
        <v>1458020</v>
      </c>
      <c r="O21" s="5">
        <f t="shared" si="11"/>
        <v>0</v>
      </c>
      <c r="P21" s="5">
        <f t="shared" si="27"/>
        <v>0</v>
      </c>
      <c r="Q21" s="5">
        <f t="shared" si="28"/>
        <v>0</v>
      </c>
      <c r="R21" s="2">
        <f t="shared" si="12"/>
        <v>600750</v>
      </c>
      <c r="S21" s="2">
        <f t="shared" si="13"/>
        <v>19788000</v>
      </c>
      <c r="T21" s="2">
        <v>0.3</v>
      </c>
      <c r="U21" s="9">
        <f t="shared" si="3"/>
        <v>4791.4518294882846</v>
      </c>
      <c r="V21" s="9">
        <f t="shared" si="4"/>
        <v>0</v>
      </c>
      <c r="W21" s="2">
        <f t="shared" si="20"/>
        <v>14276916.451829487</v>
      </c>
      <c r="X21" s="2">
        <f t="shared" si="21"/>
        <v>158698.4078305662</v>
      </c>
      <c r="Y21" s="2">
        <f t="shared" si="22"/>
        <v>9980456.6950106658</v>
      </c>
      <c r="Z21" s="3">
        <f t="shared" si="23"/>
        <v>0.26416713746244891</v>
      </c>
      <c r="AA21" s="3">
        <f t="shared" si="24"/>
        <v>0.50436914771632635</v>
      </c>
      <c r="AB21" s="2">
        <v>18</v>
      </c>
      <c r="AC21" s="3">
        <v>100</v>
      </c>
      <c r="AD21" s="3">
        <v>100</v>
      </c>
      <c r="AE21" s="6">
        <v>130</v>
      </c>
      <c r="AF21" s="3">
        <v>200</v>
      </c>
      <c r="AG21" s="3">
        <v>200</v>
      </c>
      <c r="AH21" s="3">
        <v>200</v>
      </c>
      <c r="AI21" s="3">
        <f t="shared" si="25"/>
        <v>8155.9999999999991</v>
      </c>
      <c r="AJ21" s="3">
        <f t="shared" si="14"/>
        <v>8155.9999999999991</v>
      </c>
      <c r="AK21" s="3">
        <f t="shared" si="15"/>
        <v>10602.8</v>
      </c>
      <c r="AL21" s="3">
        <f t="shared" si="16"/>
        <v>16311.999999999998</v>
      </c>
      <c r="AM21" s="3">
        <f t="shared" si="17"/>
        <v>16311.999999999998</v>
      </c>
      <c r="AN21" s="3">
        <f t="shared" si="26"/>
        <v>16311.999999999998</v>
      </c>
      <c r="AP21">
        <v>0.2</v>
      </c>
      <c r="AQ21">
        <f>SUM(AP$2:AP21)</f>
        <v>82.059999999999988</v>
      </c>
      <c r="AR21">
        <v>20</v>
      </c>
      <c r="AW21" s="5">
        <v>5832080</v>
      </c>
      <c r="AX21">
        <f t="shared" si="6"/>
        <v>1458020</v>
      </c>
    </row>
    <row r="22" spans="3:50" x14ac:dyDescent="0.2">
      <c r="C22" s="2">
        <v>20</v>
      </c>
      <c r="D22" s="2">
        <v>120</v>
      </c>
      <c r="E22" s="2">
        <v>0.7</v>
      </c>
      <c r="F22" s="3">
        <f t="shared" si="18"/>
        <v>40.419560742952648</v>
      </c>
      <c r="G22" s="3">
        <f t="shared" si="7"/>
        <v>52.363188688942444</v>
      </c>
      <c r="H22" s="2">
        <v>5000</v>
      </c>
      <c r="I22" s="2">
        <v>50000</v>
      </c>
      <c r="J22" s="3">
        <f t="shared" si="8"/>
        <v>0.26946373828635101</v>
      </c>
      <c r="K22" s="3">
        <f t="shared" si="9"/>
        <v>1.5708956606682731</v>
      </c>
      <c r="L22" s="4">
        <f t="shared" si="19"/>
        <v>8985</v>
      </c>
      <c r="M22" s="4">
        <f t="shared" si="10"/>
        <v>247760</v>
      </c>
      <c r="N22" s="5">
        <v>1487180</v>
      </c>
      <c r="O22" s="5">
        <f t="shared" si="11"/>
        <v>0</v>
      </c>
      <c r="P22" s="5">
        <f t="shared" si="27"/>
        <v>0</v>
      </c>
      <c r="Q22" s="5">
        <f t="shared" si="28"/>
        <v>0</v>
      </c>
      <c r="R22" s="2">
        <f t="shared" si="12"/>
        <v>597750</v>
      </c>
      <c r="S22" s="2">
        <f t="shared" si="13"/>
        <v>19776000</v>
      </c>
      <c r="T22" s="2">
        <v>0.3</v>
      </c>
      <c r="U22" s="9">
        <f t="shared" si="3"/>
        <v>4964.3817002725018</v>
      </c>
      <c r="V22" s="9">
        <f t="shared" si="4"/>
        <v>0</v>
      </c>
      <c r="W22" s="2">
        <f t="shared" si="20"/>
        <v>14266589.381700272</v>
      </c>
      <c r="X22" s="2">
        <f t="shared" si="21"/>
        <v>161071.94956066631</v>
      </c>
      <c r="Y22" s="2">
        <f t="shared" si="22"/>
        <v>10355344.195125258</v>
      </c>
      <c r="Z22" s="3">
        <f t="shared" si="23"/>
        <v>0.26946373828635101</v>
      </c>
      <c r="AA22" s="3">
        <f t="shared" si="24"/>
        <v>0.52363188688942441</v>
      </c>
      <c r="AB22" s="4">
        <v>19</v>
      </c>
      <c r="AC22" s="3">
        <v>100</v>
      </c>
      <c r="AD22" s="3">
        <v>100</v>
      </c>
      <c r="AE22" s="6">
        <v>130</v>
      </c>
      <c r="AF22" s="3">
        <v>200</v>
      </c>
      <c r="AG22" s="3">
        <v>200</v>
      </c>
      <c r="AH22" s="3">
        <v>200</v>
      </c>
      <c r="AI22" s="3">
        <f t="shared" si="25"/>
        <v>8185.9999999999982</v>
      </c>
      <c r="AJ22" s="3">
        <f t="shared" si="14"/>
        <v>8185.9999999999982</v>
      </c>
      <c r="AK22" s="3">
        <f t="shared" si="15"/>
        <v>10641.799999999997</v>
      </c>
      <c r="AL22" s="3">
        <f t="shared" si="16"/>
        <v>16371.999999999996</v>
      </c>
      <c r="AM22" s="3">
        <f t="shared" si="17"/>
        <v>16371.999999999996</v>
      </c>
      <c r="AN22" s="3">
        <f t="shared" si="26"/>
        <v>16371.999999999996</v>
      </c>
      <c r="AP22">
        <v>0.18</v>
      </c>
      <c r="AQ22">
        <f>SUM(AP$2:AP22)</f>
        <v>82.24</v>
      </c>
      <c r="AR22">
        <v>20</v>
      </c>
      <c r="AW22" s="5">
        <v>5948720</v>
      </c>
      <c r="AX22">
        <f t="shared" si="6"/>
        <v>1487180</v>
      </c>
    </row>
    <row r="23" spans="3:50" x14ac:dyDescent="0.2">
      <c r="C23" s="2">
        <v>20</v>
      </c>
      <c r="D23" s="2">
        <v>120</v>
      </c>
      <c r="E23" s="2">
        <v>0.7</v>
      </c>
      <c r="F23" s="3">
        <f t="shared" si="18"/>
        <v>41.23270919909293</v>
      </c>
      <c r="G23" s="3">
        <f t="shared" si="7"/>
        <v>54.36329081427418</v>
      </c>
      <c r="H23" s="2">
        <v>5000</v>
      </c>
      <c r="I23" s="2">
        <v>50000</v>
      </c>
      <c r="J23" s="3">
        <f t="shared" si="8"/>
        <v>0.27488472799395286</v>
      </c>
      <c r="K23" s="3">
        <f t="shared" si="9"/>
        <v>1.6308987244282254</v>
      </c>
      <c r="L23" s="4">
        <f t="shared" si="19"/>
        <v>8965</v>
      </c>
      <c r="M23" s="4">
        <f t="shared" si="10"/>
        <v>247640</v>
      </c>
      <c r="N23" s="5">
        <v>1516923</v>
      </c>
      <c r="O23" s="5">
        <f t="shared" si="11"/>
        <v>0</v>
      </c>
      <c r="P23" s="5">
        <f t="shared" si="27"/>
        <v>0</v>
      </c>
      <c r="Q23" s="5">
        <f t="shared" si="28"/>
        <v>0</v>
      </c>
      <c r="R23" s="2">
        <f t="shared" si="12"/>
        <v>594750</v>
      </c>
      <c r="S23" s="2">
        <f t="shared" si="13"/>
        <v>19764000</v>
      </c>
      <c r="T23" s="2">
        <v>0.3</v>
      </c>
      <c r="U23" s="9">
        <f t="shared" si="3"/>
        <v>5143.7743571863321</v>
      </c>
      <c r="V23" s="9">
        <f t="shared" si="4"/>
        <v>0</v>
      </c>
      <c r="W23" s="2">
        <f t="shared" si="20"/>
        <v>14256268.774357187</v>
      </c>
      <c r="X23" s="2">
        <f t="shared" si="21"/>
        <v>163487.69197440345</v>
      </c>
      <c r="Y23" s="2">
        <f t="shared" si="22"/>
        <v>10744360.796533149</v>
      </c>
      <c r="Z23" s="3">
        <f t="shared" si="23"/>
        <v>0.27488472799395286</v>
      </c>
      <c r="AA23" s="3">
        <f t="shared" si="24"/>
        <v>0.54363290814274179</v>
      </c>
      <c r="AB23" s="4">
        <v>20</v>
      </c>
      <c r="AC23" s="3">
        <v>100</v>
      </c>
      <c r="AD23" s="3">
        <v>100</v>
      </c>
      <c r="AE23" s="6">
        <v>130</v>
      </c>
      <c r="AF23" s="3">
        <v>200</v>
      </c>
      <c r="AG23" s="3">
        <v>200</v>
      </c>
      <c r="AH23" s="3">
        <v>200</v>
      </c>
      <c r="AI23" s="3">
        <f t="shared" si="25"/>
        <v>8205.9999999999982</v>
      </c>
      <c r="AJ23" s="3">
        <f t="shared" si="14"/>
        <v>8205.9999999999982</v>
      </c>
      <c r="AK23" s="3">
        <f t="shared" si="15"/>
        <v>10667.8</v>
      </c>
      <c r="AL23" s="3">
        <f t="shared" si="16"/>
        <v>16411.999999999996</v>
      </c>
      <c r="AM23" s="3">
        <f t="shared" si="17"/>
        <v>16411.999999999996</v>
      </c>
      <c r="AN23" s="3">
        <f t="shared" si="26"/>
        <v>16411.999999999996</v>
      </c>
      <c r="AP23">
        <v>0.17</v>
      </c>
      <c r="AQ23">
        <f>SUM(AP$2:AP23)</f>
        <v>82.41</v>
      </c>
      <c r="AR23">
        <v>20</v>
      </c>
      <c r="AW23" s="5">
        <v>6067690</v>
      </c>
      <c r="AX23">
        <f t="shared" si="6"/>
        <v>1516923</v>
      </c>
    </row>
    <row r="24" spans="3:50" x14ac:dyDescent="0.2">
      <c r="C24" s="2">
        <v>20</v>
      </c>
      <c r="D24" s="2">
        <v>120</v>
      </c>
      <c r="E24" s="2">
        <v>0.7</v>
      </c>
      <c r="F24" s="3">
        <f t="shared" si="18"/>
        <v>42.065028102993502</v>
      </c>
      <c r="G24" s="3">
        <f t="shared" si="7"/>
        <v>56.440061000423356</v>
      </c>
      <c r="H24" s="2">
        <v>5000</v>
      </c>
      <c r="I24" s="2">
        <v>50000</v>
      </c>
      <c r="J24" s="3">
        <f t="shared" si="8"/>
        <v>0.28043352068662336</v>
      </c>
      <c r="K24" s="3">
        <f t="shared" si="9"/>
        <v>1.6932018300127007</v>
      </c>
      <c r="L24" s="4">
        <f t="shared" si="19"/>
        <v>8945</v>
      </c>
      <c r="M24" s="4">
        <f t="shared" si="10"/>
        <v>247520</v>
      </c>
      <c r="N24" s="5">
        <v>1547260</v>
      </c>
      <c r="O24" s="5">
        <f t="shared" si="11"/>
        <v>0</v>
      </c>
      <c r="P24" s="5">
        <f t="shared" si="27"/>
        <v>0</v>
      </c>
      <c r="Q24" s="5">
        <f t="shared" si="28"/>
        <v>0</v>
      </c>
      <c r="R24" s="2">
        <f t="shared" si="12"/>
        <v>591750</v>
      </c>
      <c r="S24" s="2">
        <f t="shared" si="13"/>
        <v>19752000</v>
      </c>
      <c r="T24" s="2">
        <v>0.3</v>
      </c>
      <c r="U24" s="9">
        <f t="shared" si="3"/>
        <v>5329.8755174774706</v>
      </c>
      <c r="V24" s="9">
        <f t="shared" si="4"/>
        <v>8224</v>
      </c>
      <c r="W24" s="2">
        <f t="shared" si="20"/>
        <v>14245954.875517478</v>
      </c>
      <c r="X24" s="2">
        <f t="shared" si="21"/>
        <v>165946.53586630936</v>
      </c>
      <c r="Y24" s="2">
        <f t="shared" si="22"/>
        <v>11148040.848803623</v>
      </c>
      <c r="Z24" s="3">
        <f t="shared" si="23"/>
        <v>0.28043352068662336</v>
      </c>
      <c r="AA24" s="3">
        <f t="shared" si="24"/>
        <v>0.56440061000423358</v>
      </c>
      <c r="AB24" s="2">
        <v>21</v>
      </c>
      <c r="AC24" s="3">
        <v>100</v>
      </c>
      <c r="AD24" s="3">
        <v>100</v>
      </c>
      <c r="AE24" s="6">
        <v>130</v>
      </c>
      <c r="AF24" s="3">
        <v>200</v>
      </c>
      <c r="AG24" s="3">
        <v>200</v>
      </c>
      <c r="AH24" s="3">
        <v>200</v>
      </c>
      <c r="AI24" s="3">
        <f t="shared" si="25"/>
        <v>8224</v>
      </c>
      <c r="AJ24" s="3">
        <f t="shared" si="14"/>
        <v>8224</v>
      </c>
      <c r="AK24" s="3">
        <f t="shared" si="15"/>
        <v>10691.199999999999</v>
      </c>
      <c r="AL24" s="3">
        <f t="shared" si="16"/>
        <v>16448</v>
      </c>
      <c r="AM24" s="3">
        <f t="shared" si="17"/>
        <v>16448</v>
      </c>
      <c r="AN24" s="3">
        <f t="shared" si="26"/>
        <v>16448</v>
      </c>
      <c r="AP24">
        <v>0.16</v>
      </c>
      <c r="AQ24">
        <f>SUM(AP$2:AP24)</f>
        <v>82.57</v>
      </c>
      <c r="AR24">
        <v>20</v>
      </c>
      <c r="AW24" s="5">
        <v>6189040</v>
      </c>
      <c r="AX24">
        <f t="shared" si="6"/>
        <v>1547260</v>
      </c>
    </row>
    <row r="25" spans="3:50" x14ac:dyDescent="0.2">
      <c r="C25" s="2">
        <v>20</v>
      </c>
      <c r="D25" s="2">
        <v>120</v>
      </c>
      <c r="E25" s="2">
        <v>0.7</v>
      </c>
      <c r="F25" s="3">
        <f t="shared" si="18"/>
        <v>42.9170458696656</v>
      </c>
      <c r="G25" s="3">
        <f t="shared" si="7"/>
        <v>58.596448741381792</v>
      </c>
      <c r="H25" s="2">
        <v>5000</v>
      </c>
      <c r="I25" s="2">
        <v>50000</v>
      </c>
      <c r="J25" s="3">
        <f t="shared" si="8"/>
        <v>0.28611363913110399</v>
      </c>
      <c r="K25" s="3">
        <f t="shared" si="9"/>
        <v>1.7578934622414537</v>
      </c>
      <c r="L25" s="4">
        <f t="shared" si="19"/>
        <v>8925</v>
      </c>
      <c r="M25" s="4">
        <f t="shared" si="10"/>
        <v>247400</v>
      </c>
      <c r="N25" s="5">
        <v>1578205</v>
      </c>
      <c r="O25" s="5">
        <f t="shared" si="11"/>
        <v>0</v>
      </c>
      <c r="P25" s="5">
        <f t="shared" si="27"/>
        <v>0</v>
      </c>
      <c r="Q25" s="5">
        <f t="shared" si="28"/>
        <v>0</v>
      </c>
      <c r="R25" s="2">
        <f t="shared" si="12"/>
        <v>588750</v>
      </c>
      <c r="S25" s="2">
        <f t="shared" si="13"/>
        <v>19740000</v>
      </c>
      <c r="T25" s="2">
        <v>0.3</v>
      </c>
      <c r="U25" s="9">
        <f t="shared" si="3"/>
        <v>5522.9403364513892</v>
      </c>
      <c r="V25" s="9">
        <f t="shared" si="4"/>
        <v>16482</v>
      </c>
      <c r="W25" s="2">
        <f t="shared" si="20"/>
        <v>14235647.940336451</v>
      </c>
      <c r="X25" s="2">
        <f t="shared" si="21"/>
        <v>168449.40503843749</v>
      </c>
      <c r="Y25" s="2">
        <f t="shared" si="22"/>
        <v>11566938.981548766</v>
      </c>
      <c r="Z25" s="3">
        <f t="shared" si="23"/>
        <v>0.28611363913110399</v>
      </c>
      <c r="AA25" s="3">
        <f t="shared" si="24"/>
        <v>0.5859644874138179</v>
      </c>
      <c r="AB25" s="4">
        <v>22</v>
      </c>
      <c r="AC25" s="3">
        <v>100</v>
      </c>
      <c r="AD25" s="3">
        <v>100</v>
      </c>
      <c r="AE25" s="6">
        <v>130</v>
      </c>
      <c r="AF25" s="3">
        <v>200</v>
      </c>
      <c r="AG25" s="3">
        <v>200</v>
      </c>
      <c r="AH25" s="3">
        <v>200</v>
      </c>
      <c r="AI25" s="3">
        <f t="shared" si="25"/>
        <v>8241</v>
      </c>
      <c r="AJ25" s="3">
        <f t="shared" si="14"/>
        <v>8241</v>
      </c>
      <c r="AK25" s="3">
        <f t="shared" si="15"/>
        <v>10713.3</v>
      </c>
      <c r="AL25" s="3">
        <f t="shared" si="16"/>
        <v>16482</v>
      </c>
      <c r="AM25" s="3">
        <f t="shared" si="17"/>
        <v>16482</v>
      </c>
      <c r="AN25" s="3">
        <f t="shared" si="26"/>
        <v>16482</v>
      </c>
      <c r="AP25">
        <v>0.15</v>
      </c>
      <c r="AQ25">
        <f>SUM(AP$2:AP25)</f>
        <v>82.72</v>
      </c>
      <c r="AR25">
        <v>20</v>
      </c>
      <c r="AW25" s="5">
        <v>6312820</v>
      </c>
      <c r="AX25">
        <f t="shared" si="6"/>
        <v>1578205</v>
      </c>
    </row>
    <row r="26" spans="3:50" x14ac:dyDescent="0.2">
      <c r="C26" s="2">
        <v>20</v>
      </c>
      <c r="D26" s="2">
        <v>120</v>
      </c>
      <c r="E26" s="2">
        <v>0.7</v>
      </c>
      <c r="F26" s="3">
        <f t="shared" si="18"/>
        <v>43.789307809193332</v>
      </c>
      <c r="G26" s="3">
        <f t="shared" si="7"/>
        <v>60.835517421390072</v>
      </c>
      <c r="H26" s="2">
        <v>5000</v>
      </c>
      <c r="I26" s="2">
        <v>50000</v>
      </c>
      <c r="J26" s="3">
        <f t="shared" si="8"/>
        <v>0.29192871872795556</v>
      </c>
      <c r="K26" s="3">
        <f t="shared" si="9"/>
        <v>1.8250655226417023</v>
      </c>
      <c r="L26" s="4">
        <f t="shared" si="19"/>
        <v>8905</v>
      </c>
      <c r="M26" s="4">
        <f t="shared" si="10"/>
        <v>247280</v>
      </c>
      <c r="N26" s="5">
        <v>1609770</v>
      </c>
      <c r="O26" s="5">
        <f t="shared" si="11"/>
        <v>0</v>
      </c>
      <c r="P26" s="5">
        <f t="shared" si="27"/>
        <v>0</v>
      </c>
      <c r="Q26" s="5">
        <f t="shared" si="28"/>
        <v>0</v>
      </c>
      <c r="R26" s="2">
        <f t="shared" si="12"/>
        <v>585750</v>
      </c>
      <c r="S26" s="2">
        <f t="shared" si="13"/>
        <v>19728000</v>
      </c>
      <c r="T26" s="2">
        <v>0.3</v>
      </c>
      <c r="U26" s="9">
        <f t="shared" si="3"/>
        <v>5723.2337727254726</v>
      </c>
      <c r="V26" s="9">
        <f t="shared" si="4"/>
        <v>27248.1</v>
      </c>
      <c r="W26" s="2">
        <f t="shared" si="20"/>
        <v>14225348.233772725</v>
      </c>
      <c r="X26" s="2">
        <f t="shared" si="21"/>
        <v>170997.24699489996</v>
      </c>
      <c r="Y26" s="2">
        <f t="shared" si="22"/>
        <v>12001630.876891833</v>
      </c>
      <c r="Z26" s="3">
        <f t="shared" si="23"/>
        <v>0.29192871872795556</v>
      </c>
      <c r="AA26" s="3">
        <f t="shared" si="24"/>
        <v>0.60835517421390073</v>
      </c>
      <c r="AB26" s="4">
        <v>23</v>
      </c>
      <c r="AC26" s="3">
        <v>100</v>
      </c>
      <c r="AD26" s="3">
        <v>100</v>
      </c>
      <c r="AE26" s="6">
        <v>130</v>
      </c>
      <c r="AF26" s="3">
        <v>200</v>
      </c>
      <c r="AG26" s="3">
        <v>200</v>
      </c>
      <c r="AH26" s="3">
        <v>200</v>
      </c>
      <c r="AI26" s="3">
        <f t="shared" si="25"/>
        <v>8257</v>
      </c>
      <c r="AJ26" s="3">
        <f t="shared" si="14"/>
        <v>8257</v>
      </c>
      <c r="AK26" s="3">
        <f t="shared" si="15"/>
        <v>10734.099999999999</v>
      </c>
      <c r="AL26" s="3">
        <f t="shared" si="16"/>
        <v>16514</v>
      </c>
      <c r="AM26" s="3">
        <f t="shared" si="17"/>
        <v>16514</v>
      </c>
      <c r="AN26" s="3">
        <f t="shared" si="26"/>
        <v>16514</v>
      </c>
      <c r="AP26">
        <v>0.14000000000000001</v>
      </c>
      <c r="AQ26">
        <f>SUM(AP$2:AP26)</f>
        <v>82.86</v>
      </c>
      <c r="AR26">
        <v>20</v>
      </c>
      <c r="AW26" s="5">
        <v>6439080</v>
      </c>
      <c r="AX26">
        <f t="shared" si="6"/>
        <v>1609770</v>
      </c>
    </row>
    <row r="27" spans="3:50" x14ac:dyDescent="0.2">
      <c r="C27" s="2">
        <v>10</v>
      </c>
      <c r="D27" s="2">
        <v>120</v>
      </c>
      <c r="E27" s="2">
        <v>0.7</v>
      </c>
      <c r="F27" s="3">
        <f t="shared" si="18"/>
        <v>44.682376746666108</v>
      </c>
      <c r="G27" s="3">
        <f t="shared" si="7"/>
        <v>63.16044872929578</v>
      </c>
      <c r="H27" s="2">
        <v>5000</v>
      </c>
      <c r="I27" s="2">
        <v>50000</v>
      </c>
      <c r="J27" s="3">
        <f t="shared" si="8"/>
        <v>0.29788251164444074</v>
      </c>
      <c r="K27" s="3">
        <f t="shared" si="9"/>
        <v>1.8948134618788735</v>
      </c>
      <c r="L27" s="4">
        <f t="shared" si="19"/>
        <v>8885</v>
      </c>
      <c r="M27" s="4">
        <f t="shared" si="10"/>
        <v>247160</v>
      </c>
      <c r="N27" s="5">
        <v>1641965</v>
      </c>
      <c r="O27" s="5">
        <f t="shared" si="11"/>
        <v>0</v>
      </c>
      <c r="P27" s="5">
        <f t="shared" si="27"/>
        <v>0</v>
      </c>
      <c r="Q27" s="5">
        <f t="shared" si="28"/>
        <v>0</v>
      </c>
      <c r="R27" s="2">
        <f t="shared" si="12"/>
        <v>582750</v>
      </c>
      <c r="S27" s="2">
        <f t="shared" si="13"/>
        <v>19716000</v>
      </c>
      <c r="T27" s="2">
        <v>0.3</v>
      </c>
      <c r="U27" s="9">
        <f t="shared" si="3"/>
        <v>5618.2543304875071</v>
      </c>
      <c r="V27" s="9">
        <f t="shared" si="4"/>
        <v>43841.599999999999</v>
      </c>
      <c r="W27" s="2">
        <f t="shared" si="20"/>
        <v>14214743.254330488</v>
      </c>
      <c r="X27" s="2">
        <f t="shared" si="21"/>
        <v>173591.03366079784</v>
      </c>
      <c r="Y27" s="2">
        <f t="shared" si="22"/>
        <v>12452714.071467957</v>
      </c>
      <c r="Z27" s="3">
        <f t="shared" si="23"/>
        <v>0.29788251164444074</v>
      </c>
      <c r="AA27" s="3">
        <f t="shared" si="24"/>
        <v>0.63160448729295782</v>
      </c>
      <c r="AB27" s="2">
        <v>24</v>
      </c>
      <c r="AC27" s="3">
        <v>100</v>
      </c>
      <c r="AD27" s="3">
        <v>100</v>
      </c>
      <c r="AE27" s="6">
        <v>130</v>
      </c>
      <c r="AF27" s="3">
        <v>200</v>
      </c>
      <c r="AG27" s="3">
        <v>200</v>
      </c>
      <c r="AH27" s="3">
        <v>200</v>
      </c>
      <c r="AI27" s="3">
        <f t="shared" si="25"/>
        <v>8272</v>
      </c>
      <c r="AJ27" s="3">
        <f t="shared" si="14"/>
        <v>8272</v>
      </c>
      <c r="AK27" s="3">
        <f t="shared" si="15"/>
        <v>10753.6</v>
      </c>
      <c r="AL27" s="3">
        <f t="shared" si="16"/>
        <v>16544</v>
      </c>
      <c r="AM27" s="3">
        <f t="shared" si="17"/>
        <v>16544</v>
      </c>
      <c r="AN27" s="3">
        <f t="shared" si="26"/>
        <v>16544</v>
      </c>
      <c r="AP27">
        <v>0.13</v>
      </c>
      <c r="AQ27">
        <f>SUM(AP$2:AP27)</f>
        <v>82.99</v>
      </c>
      <c r="AR27">
        <v>20</v>
      </c>
      <c r="AW27" s="5">
        <v>6567860</v>
      </c>
      <c r="AX27">
        <f t="shared" si="6"/>
        <v>1641965</v>
      </c>
    </row>
    <row r="28" spans="3:50" x14ac:dyDescent="0.2">
      <c r="C28" s="2">
        <v>10</v>
      </c>
      <c r="D28" s="2">
        <v>120</v>
      </c>
      <c r="E28" s="2">
        <v>0.7</v>
      </c>
      <c r="F28" s="3">
        <f t="shared" si="18"/>
        <v>45.4799331488109</v>
      </c>
      <c r="G28" s="3">
        <f t="shared" si="7"/>
        <v>65.574547244673738</v>
      </c>
      <c r="H28" s="2">
        <v>5000</v>
      </c>
      <c r="I28" s="2">
        <v>50000</v>
      </c>
      <c r="J28" s="3">
        <f t="shared" si="8"/>
        <v>0.30319955432540602</v>
      </c>
      <c r="K28" s="3">
        <f t="shared" si="9"/>
        <v>1.9672364173402124</v>
      </c>
      <c r="L28" s="4">
        <f t="shared" si="19"/>
        <v>8875</v>
      </c>
      <c r="M28" s="4">
        <f t="shared" si="10"/>
        <v>247040</v>
      </c>
      <c r="N28" s="5">
        <v>1674805</v>
      </c>
      <c r="O28" s="5">
        <f t="shared" si="11"/>
        <v>1674805</v>
      </c>
      <c r="P28" s="5">
        <f t="shared" si="27"/>
        <v>47989.569083447335</v>
      </c>
      <c r="Q28" s="5">
        <f t="shared" si="28"/>
        <v>1626815.4309165527</v>
      </c>
      <c r="R28" s="2">
        <f t="shared" si="12"/>
        <v>581250</v>
      </c>
      <c r="S28" s="2">
        <f t="shared" si="13"/>
        <v>19704000</v>
      </c>
      <c r="T28" s="2">
        <v>0.3</v>
      </c>
      <c r="U28" s="9">
        <f t="shared" si="3"/>
        <v>5826.6215005942704</v>
      </c>
      <c r="V28" s="9">
        <f t="shared" si="4"/>
        <v>60487.8</v>
      </c>
      <c r="W28" s="2">
        <f t="shared" si="20"/>
        <v>14205501.621500595</v>
      </c>
      <c r="X28" s="2">
        <f t="shared" si="21"/>
        <v>176234.74095164225</v>
      </c>
      <c r="Y28" s="2">
        <f t="shared" si="22"/>
        <v>12920808.789090514</v>
      </c>
      <c r="Z28" s="3">
        <f t="shared" si="23"/>
        <v>0.30319955432540602</v>
      </c>
      <c r="AA28" s="3">
        <f t="shared" si="24"/>
        <v>0.65574547244673742</v>
      </c>
      <c r="AB28" s="4">
        <v>25</v>
      </c>
      <c r="AC28" s="3">
        <v>100</v>
      </c>
      <c r="AD28" s="3">
        <v>100</v>
      </c>
      <c r="AE28" s="6">
        <v>130</v>
      </c>
      <c r="AF28" s="3">
        <v>200</v>
      </c>
      <c r="AG28" s="3">
        <v>200</v>
      </c>
      <c r="AH28" s="3">
        <v>200</v>
      </c>
      <c r="AI28" s="3">
        <f t="shared" si="25"/>
        <v>8286</v>
      </c>
      <c r="AJ28" s="3">
        <f t="shared" si="14"/>
        <v>8286</v>
      </c>
      <c r="AK28" s="3">
        <f t="shared" si="15"/>
        <v>10771.8</v>
      </c>
      <c r="AL28" s="3">
        <f t="shared" si="16"/>
        <v>16572</v>
      </c>
      <c r="AM28" s="3">
        <f t="shared" si="17"/>
        <v>16572</v>
      </c>
      <c r="AN28" s="3">
        <f t="shared" si="26"/>
        <v>16572</v>
      </c>
      <c r="AP28">
        <v>0.125</v>
      </c>
      <c r="AQ28">
        <f>SUM(AP$2:AP28)</f>
        <v>83.114999999999995</v>
      </c>
      <c r="AR28">
        <v>20</v>
      </c>
      <c r="AW28" s="5">
        <v>6699220</v>
      </c>
      <c r="AX28">
        <f t="shared" si="6"/>
        <v>1674805</v>
      </c>
    </row>
    <row r="29" spans="3:50" x14ac:dyDescent="0.2">
      <c r="C29" s="2">
        <v>5</v>
      </c>
      <c r="D29" s="2">
        <v>120</v>
      </c>
      <c r="E29" s="2">
        <v>0.7</v>
      </c>
      <c r="F29" s="3">
        <f t="shared" si="18"/>
        <v>33.876594027759289</v>
      </c>
      <c r="G29" s="3">
        <f t="shared" si="7"/>
        <v>59.819944009463768</v>
      </c>
      <c r="H29" s="2">
        <v>5000</v>
      </c>
      <c r="I29" s="2">
        <v>50000</v>
      </c>
      <c r="J29" s="3">
        <f t="shared" si="8"/>
        <v>0.22584396018506192</v>
      </c>
      <c r="K29" s="3">
        <f t="shared" si="9"/>
        <v>1.7945983202839129</v>
      </c>
      <c r="L29" s="4">
        <f t="shared" si="19"/>
        <v>8865</v>
      </c>
      <c r="M29" s="4">
        <f t="shared" si="10"/>
        <v>246920</v>
      </c>
      <c r="N29" s="5">
        <v>1708300</v>
      </c>
      <c r="O29" s="5">
        <f t="shared" si="11"/>
        <v>0</v>
      </c>
      <c r="P29" s="5">
        <f t="shared" si="27"/>
        <v>0</v>
      </c>
      <c r="Q29" s="5">
        <f t="shared" si="28"/>
        <v>0</v>
      </c>
      <c r="R29" s="2">
        <f t="shared" si="12"/>
        <v>579750</v>
      </c>
      <c r="S29" s="2">
        <f t="shared" si="13"/>
        <v>19692000</v>
      </c>
      <c r="T29" s="2">
        <v>0.3</v>
      </c>
      <c r="U29" s="9">
        <f t="shared" si="3"/>
        <v>5143.4433758921132</v>
      </c>
      <c r="V29" s="9">
        <f t="shared" si="4"/>
        <v>60582.7</v>
      </c>
      <c r="W29" s="2">
        <f t="shared" si="20"/>
        <v>14195368.443375893</v>
      </c>
      <c r="X29" s="2">
        <f t="shared" si="21"/>
        <v>130933.03591728964</v>
      </c>
      <c r="Y29" s="2">
        <f t="shared" si="22"/>
        <v>11779743.374343606</v>
      </c>
      <c r="Z29" s="3">
        <f t="shared" si="23"/>
        <v>0.22584396018506192</v>
      </c>
      <c r="AA29" s="3">
        <f t="shared" si="24"/>
        <v>0.59819944009463766</v>
      </c>
      <c r="AB29" s="4">
        <v>26</v>
      </c>
      <c r="AC29" s="3">
        <v>100</v>
      </c>
      <c r="AD29" s="3">
        <v>100</v>
      </c>
      <c r="AE29" s="6">
        <v>130</v>
      </c>
      <c r="AF29" s="3">
        <v>200</v>
      </c>
      <c r="AG29" s="3">
        <v>200</v>
      </c>
      <c r="AH29" s="3">
        <v>200</v>
      </c>
      <c r="AI29" s="3">
        <f t="shared" si="25"/>
        <v>8299</v>
      </c>
      <c r="AJ29" s="3">
        <f t="shared" si="14"/>
        <v>8299</v>
      </c>
      <c r="AK29" s="3">
        <f t="shared" si="15"/>
        <v>10788.699999999999</v>
      </c>
      <c r="AL29" s="3">
        <f t="shared" si="16"/>
        <v>16598</v>
      </c>
      <c r="AM29" s="3">
        <f t="shared" si="17"/>
        <v>16598</v>
      </c>
      <c r="AN29" s="3">
        <f t="shared" si="26"/>
        <v>16598</v>
      </c>
      <c r="AP29">
        <v>0.1225</v>
      </c>
      <c r="AQ29">
        <f>SUM(AP$2:AP29)</f>
        <v>83.237499999999997</v>
      </c>
      <c r="AR29">
        <v>20</v>
      </c>
      <c r="AW29" s="5">
        <v>6833200</v>
      </c>
      <c r="AX29">
        <f t="shared" si="6"/>
        <v>1708300</v>
      </c>
    </row>
    <row r="30" spans="3:50" x14ac:dyDescent="0.2">
      <c r="C30" s="2">
        <v>5</v>
      </c>
      <c r="D30" s="2">
        <v>120</v>
      </c>
      <c r="E30" s="2">
        <v>0.7</v>
      </c>
      <c r="F30" s="3">
        <f t="shared" si="18"/>
        <v>34.438863576302921</v>
      </c>
      <c r="G30" s="3">
        <f t="shared" si="7"/>
        <v>62.106962600557289</v>
      </c>
      <c r="H30" s="2">
        <v>5000</v>
      </c>
      <c r="I30" s="2">
        <v>50000</v>
      </c>
      <c r="J30" s="3">
        <f t="shared" si="8"/>
        <v>0.22959242384201947</v>
      </c>
      <c r="K30" s="3">
        <f t="shared" si="9"/>
        <v>1.8632088780167186</v>
      </c>
      <c r="L30" s="4">
        <f t="shared" si="19"/>
        <v>8860</v>
      </c>
      <c r="M30" s="4">
        <f t="shared" si="10"/>
        <v>246800</v>
      </c>
      <c r="N30" s="5">
        <v>1742465</v>
      </c>
      <c r="O30" s="5">
        <f t="shared" si="11"/>
        <v>0</v>
      </c>
      <c r="P30" s="5">
        <f t="shared" si="27"/>
        <v>0</v>
      </c>
      <c r="Q30" s="5">
        <f t="shared" si="28"/>
        <v>0</v>
      </c>
      <c r="R30" s="2">
        <f t="shared" si="12"/>
        <v>579000</v>
      </c>
      <c r="S30" s="2">
        <f t="shared" si="13"/>
        <v>19680000</v>
      </c>
      <c r="T30" s="2">
        <v>0.3</v>
      </c>
      <c r="U30" s="9">
        <f t="shared" si="3"/>
        <v>5337.5208809638725</v>
      </c>
      <c r="V30" s="9">
        <f t="shared" si="4"/>
        <v>60673.95</v>
      </c>
      <c r="W30" s="2">
        <f t="shared" si="20"/>
        <v>14186637.520880964</v>
      </c>
      <c r="X30" s="2">
        <f t="shared" si="21"/>
        <v>132934.01340452928</v>
      </c>
      <c r="Y30" s="2">
        <f t="shared" si="22"/>
        <v>12222650.239789676</v>
      </c>
      <c r="Z30" s="3">
        <f t="shared" si="23"/>
        <v>0.22959242384201947</v>
      </c>
      <c r="AA30" s="3">
        <f t="shared" si="24"/>
        <v>0.62106962600557292</v>
      </c>
      <c r="AB30" s="2">
        <v>27</v>
      </c>
      <c r="AC30" s="3">
        <v>100</v>
      </c>
      <c r="AD30" s="3">
        <v>100</v>
      </c>
      <c r="AE30" s="6">
        <v>130</v>
      </c>
      <c r="AF30" s="3">
        <v>200</v>
      </c>
      <c r="AG30" s="3">
        <v>200</v>
      </c>
      <c r="AH30" s="3">
        <v>200</v>
      </c>
      <c r="AI30" s="3">
        <f t="shared" si="25"/>
        <v>8311.5</v>
      </c>
      <c r="AJ30" s="3">
        <f t="shared" si="14"/>
        <v>8311.5</v>
      </c>
      <c r="AK30" s="3">
        <f t="shared" si="15"/>
        <v>10804.949999999999</v>
      </c>
      <c r="AL30" s="3">
        <f t="shared" si="16"/>
        <v>16623</v>
      </c>
      <c r="AM30" s="3">
        <f t="shared" si="17"/>
        <v>16623</v>
      </c>
      <c r="AN30" s="3">
        <f t="shared" si="26"/>
        <v>16623</v>
      </c>
      <c r="AP30">
        <v>0.12239999999999999</v>
      </c>
      <c r="AQ30">
        <f>SUM(AP$2:AP30)</f>
        <v>83.359899999999996</v>
      </c>
      <c r="AR30">
        <v>20</v>
      </c>
      <c r="AW30" s="5">
        <v>6969860</v>
      </c>
      <c r="AX30">
        <f t="shared" si="6"/>
        <v>1742465</v>
      </c>
    </row>
    <row r="31" spans="3:50" x14ac:dyDescent="0.2">
      <c r="AP31">
        <v>0.12230000000000001</v>
      </c>
      <c r="AQ31">
        <f>SUM(AP$2:AP31)</f>
        <v>83.482199999999992</v>
      </c>
      <c r="AR31">
        <v>20</v>
      </c>
    </row>
  </sheetData>
  <mergeCells count="10">
    <mergeCell ref="A1:B1"/>
    <mergeCell ref="F1:G1"/>
    <mergeCell ref="H1:I1"/>
    <mergeCell ref="J1:K1"/>
    <mergeCell ref="N1:Q1"/>
    <mergeCell ref="AC1:AH1"/>
    <mergeCell ref="C1:E1"/>
    <mergeCell ref="L1:M1"/>
    <mergeCell ref="U1:V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F0562-A765-A442-B9DB-CF71D123E451}">
  <dimension ref="A1:AO139"/>
  <sheetViews>
    <sheetView tabSelected="1" topLeftCell="I10" zoomScaleNormal="95" workbookViewId="0">
      <selection activeCell="AA26" sqref="AA26"/>
    </sheetView>
  </sheetViews>
  <sheetFormatPr baseColWidth="10" defaultRowHeight="16" x14ac:dyDescent="0.2"/>
  <cols>
    <col min="1" max="1" width="46.6640625" style="33" customWidth="1"/>
    <col min="2" max="2" width="33.1640625" style="33" customWidth="1"/>
    <col min="3" max="3" width="4.1640625" style="32" customWidth="1"/>
    <col min="4" max="4" width="21.33203125" style="22" customWidth="1"/>
    <col min="5" max="5" width="44" style="10" customWidth="1"/>
    <col min="6" max="6" width="11" style="4" customWidth="1"/>
    <col min="7" max="7" width="15.1640625" style="4" customWidth="1"/>
    <col min="8" max="8" width="11.5" style="5" customWidth="1"/>
    <col min="9" max="10" width="13.33203125" style="4" customWidth="1"/>
    <col min="11" max="11" width="11.83203125" style="5" customWidth="1"/>
    <col min="12" max="13" width="13.33203125" style="4" customWidth="1"/>
    <col min="14" max="14" width="21.1640625" style="5" customWidth="1"/>
    <col min="15" max="15" width="21.1640625" style="4" customWidth="1"/>
    <col min="16" max="16" width="13.33203125" style="4" customWidth="1"/>
    <col min="17" max="17" width="22.6640625" style="5" customWidth="1"/>
    <col min="18" max="19" width="13.33203125" style="4" customWidth="1"/>
    <col min="20" max="20" width="23.6640625" style="5" customWidth="1"/>
    <col min="21" max="22" width="13.33203125" style="4" customWidth="1"/>
    <col min="23" max="23" width="23.6640625" style="5" customWidth="1"/>
    <col min="24" max="25" width="13.33203125" style="4" customWidth="1"/>
    <col min="26" max="28" width="14.6640625" customWidth="1"/>
    <col min="29" max="31" width="14.1640625" customWidth="1"/>
    <col min="32" max="32" width="4.1640625" customWidth="1"/>
    <col min="34" max="34" width="9.1640625" customWidth="1"/>
    <col min="35" max="35" width="3.33203125" customWidth="1"/>
  </cols>
  <sheetData>
    <row r="1" spans="1:34" s="7" customFormat="1" x14ac:dyDescent="0.2">
      <c r="A1" s="33"/>
      <c r="B1" s="33"/>
      <c r="C1" s="32"/>
      <c r="D1" s="22"/>
      <c r="E1" s="10"/>
      <c r="F1" s="5" t="s">
        <v>60</v>
      </c>
      <c r="G1" s="5" t="s">
        <v>62</v>
      </c>
      <c r="H1" s="5">
        <v>1</v>
      </c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 spans="1:34" s="7" customFormat="1" x14ac:dyDescent="0.2">
      <c r="A2" s="33"/>
      <c r="B2" s="33"/>
      <c r="C2" s="32"/>
      <c r="D2" s="22"/>
      <c r="E2" s="10"/>
      <c r="F2" s="5" t="s">
        <v>61</v>
      </c>
      <c r="G2" s="5" t="s">
        <v>63</v>
      </c>
      <c r="H2" s="27">
        <v>150</v>
      </c>
      <c r="I2" s="27"/>
      <c r="J2" s="5"/>
      <c r="K2" s="5"/>
      <c r="L2" s="5"/>
      <c r="M2" s="5"/>
      <c r="N2" s="5"/>
      <c r="O2" s="5"/>
      <c r="P2" s="4">
        <v>249700</v>
      </c>
      <c r="Q2" s="5"/>
      <c r="R2" s="5"/>
      <c r="S2" s="5"/>
      <c r="T2" s="5"/>
      <c r="U2" s="5"/>
      <c r="V2" s="5"/>
      <c r="W2" s="5"/>
      <c r="X2" s="5"/>
      <c r="Y2" s="5"/>
    </row>
    <row r="3" spans="1:34" s="7" customFormat="1" x14ac:dyDescent="0.2">
      <c r="A3" s="33"/>
      <c r="B3" s="33"/>
      <c r="C3" s="32"/>
      <c r="D3" s="22"/>
      <c r="E3" s="10"/>
      <c r="F3" s="5"/>
      <c r="G3" s="5" t="s">
        <v>64</v>
      </c>
      <c r="H3" s="27">
        <v>30</v>
      </c>
      <c r="I3" s="27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 spans="1:34" ht="60" customHeight="1" x14ac:dyDescent="0.2">
      <c r="F4" s="8">
        <v>0</v>
      </c>
      <c r="G4" s="8"/>
      <c r="H4" s="16"/>
      <c r="I4" s="20">
        <v>1</v>
      </c>
      <c r="J4" s="20"/>
      <c r="K4" s="18"/>
      <c r="L4" s="20">
        <v>2</v>
      </c>
      <c r="M4" s="20"/>
      <c r="N4" s="18"/>
      <c r="O4" s="20">
        <v>3</v>
      </c>
      <c r="P4" s="20"/>
      <c r="Q4" s="18"/>
      <c r="R4" s="20">
        <v>4</v>
      </c>
      <c r="S4" s="20"/>
      <c r="T4" s="18"/>
      <c r="U4" s="20">
        <v>5</v>
      </c>
      <c r="V4" s="20"/>
      <c r="W4" s="18"/>
      <c r="X4" s="20">
        <v>6</v>
      </c>
      <c r="Y4" s="20"/>
      <c r="AC4" s="30" t="s">
        <v>91</v>
      </c>
      <c r="AD4" s="30"/>
      <c r="AE4" s="30"/>
      <c r="AH4" t="s">
        <v>112</v>
      </c>
    </row>
    <row r="5" spans="1:34" ht="36" customHeight="1" x14ac:dyDescent="0.2">
      <c r="A5" s="33" t="s">
        <v>176</v>
      </c>
      <c r="B5" s="33" t="s">
        <v>194</v>
      </c>
      <c r="D5" s="31" t="s">
        <v>174</v>
      </c>
      <c r="E5" s="31" t="s">
        <v>175</v>
      </c>
      <c r="F5" s="29" t="s">
        <v>51</v>
      </c>
      <c r="G5" s="29"/>
      <c r="H5" s="17"/>
      <c r="I5" s="29" t="s">
        <v>65</v>
      </c>
      <c r="J5" s="29"/>
      <c r="L5" s="29" t="s">
        <v>66</v>
      </c>
      <c r="M5" s="29"/>
      <c r="O5" s="29" t="s">
        <v>79</v>
      </c>
      <c r="P5" s="29"/>
      <c r="R5" s="29" t="s">
        <v>84</v>
      </c>
      <c r="S5" s="29"/>
      <c r="U5" s="29" t="s">
        <v>85</v>
      </c>
      <c r="V5" s="29"/>
      <c r="X5" s="29" t="s">
        <v>146</v>
      </c>
      <c r="Y5" s="29"/>
      <c r="AC5" s="21" t="s">
        <v>33</v>
      </c>
      <c r="AD5" s="21" t="s">
        <v>38</v>
      </c>
      <c r="AE5" s="21" t="s">
        <v>41</v>
      </c>
      <c r="AH5" t="s">
        <v>113</v>
      </c>
    </row>
    <row r="6" spans="1:34" x14ac:dyDescent="0.2">
      <c r="F6" s="4" t="s">
        <v>24</v>
      </c>
      <c r="G6" s="4" t="s">
        <v>25</v>
      </c>
      <c r="I6" s="4" t="s">
        <v>24</v>
      </c>
      <c r="J6" s="4" t="s">
        <v>25</v>
      </c>
      <c r="L6" s="4" t="s">
        <v>24</v>
      </c>
      <c r="M6" s="4" t="s">
        <v>25</v>
      </c>
      <c r="O6" s="4" t="s">
        <v>24</v>
      </c>
      <c r="P6" s="4" t="s">
        <v>25</v>
      </c>
      <c r="R6" s="4" t="s">
        <v>24</v>
      </c>
      <c r="S6" s="4" t="s">
        <v>25</v>
      </c>
      <c r="U6" s="4" t="s">
        <v>24</v>
      </c>
      <c r="V6" s="4" t="s">
        <v>25</v>
      </c>
      <c r="X6" s="4" t="s">
        <v>24</v>
      </c>
      <c r="Y6" s="4" t="s">
        <v>25</v>
      </c>
      <c r="AC6" s="19">
        <v>0</v>
      </c>
      <c r="AD6" s="19">
        <f>SUM(AC$6:AC6)</f>
        <v>0</v>
      </c>
      <c r="AE6" s="19">
        <v>2</v>
      </c>
    </row>
    <row r="7" spans="1:34" ht="17" x14ac:dyDescent="0.2">
      <c r="A7" s="33" t="s">
        <v>177</v>
      </c>
      <c r="B7" s="33" t="s">
        <v>196</v>
      </c>
      <c r="E7" s="10" t="s">
        <v>68</v>
      </c>
      <c r="F7" s="4">
        <v>10000</v>
      </c>
      <c r="G7" s="4">
        <v>250000</v>
      </c>
      <c r="I7" s="4">
        <f>F13</f>
        <v>9950</v>
      </c>
      <c r="J7" s="4">
        <f>G13</f>
        <v>249900</v>
      </c>
      <c r="L7" s="4">
        <f>I13</f>
        <v>9888</v>
      </c>
      <c r="M7" s="4">
        <f>J13</f>
        <v>249790</v>
      </c>
      <c r="O7" s="4">
        <f>L13</f>
        <v>9830</v>
      </c>
      <c r="P7" s="4">
        <f>M13</f>
        <v>249696</v>
      </c>
      <c r="R7" s="4">
        <f>O13</f>
        <v>9760</v>
      </c>
      <c r="S7" s="4">
        <f>P13</f>
        <v>249504</v>
      </c>
      <c r="U7" s="4">
        <f>R13</f>
        <v>9660</v>
      </c>
      <c r="V7" s="4">
        <f>S13</f>
        <v>249465</v>
      </c>
      <c r="X7" s="4">
        <f>U7-U9</f>
        <v>9562</v>
      </c>
      <c r="Y7" s="4">
        <f>MAX(V7-V9,0)</f>
        <v>249360</v>
      </c>
      <c r="AC7" s="19">
        <v>0.01</v>
      </c>
      <c r="AD7" s="19">
        <f>SUM(AC$6:AC7)</f>
        <v>0.01</v>
      </c>
      <c r="AE7" s="19">
        <v>2</v>
      </c>
      <c r="AG7" s="5">
        <v>4000000</v>
      </c>
      <c r="AH7">
        <f>ROUND(AG7/4,0)</f>
        <v>1000000</v>
      </c>
    </row>
    <row r="8" spans="1:34" ht="17" x14ac:dyDescent="0.2">
      <c r="A8" s="33" t="s">
        <v>178</v>
      </c>
      <c r="B8" s="34" t="s">
        <v>195</v>
      </c>
      <c r="E8" s="10" t="s">
        <v>119</v>
      </c>
      <c r="F8" s="4">
        <f>F7</f>
        <v>10000</v>
      </c>
      <c r="G8" s="4">
        <f>G7</f>
        <v>250000</v>
      </c>
      <c r="I8" s="4">
        <f>I7</f>
        <v>9950</v>
      </c>
      <c r="J8" s="4">
        <f>G8-G9+G12</f>
        <v>249985</v>
      </c>
      <c r="L8" s="4">
        <f>L7</f>
        <v>9888</v>
      </c>
      <c r="M8" s="4">
        <f>J8-J9+J12</f>
        <v>249955</v>
      </c>
      <c r="O8" s="4">
        <f>O7</f>
        <v>9830</v>
      </c>
      <c r="P8" s="4">
        <f>M8-M9+M12</f>
        <v>249953</v>
      </c>
      <c r="R8" s="4">
        <f>R7</f>
        <v>9760</v>
      </c>
      <c r="S8" s="4">
        <f>P8-P9+P12</f>
        <v>249804</v>
      </c>
      <c r="U8" s="4">
        <f>U7</f>
        <v>9660</v>
      </c>
      <c r="V8" s="4">
        <f>S8-S9+S12</f>
        <v>249857</v>
      </c>
      <c r="X8" s="4">
        <f>X7</f>
        <v>9562</v>
      </c>
      <c r="Y8" s="4">
        <f>V8-V9+V12</f>
        <v>249795</v>
      </c>
      <c r="AC8" s="19">
        <v>0.05</v>
      </c>
      <c r="AD8" s="19">
        <f>SUM(AC$6:AC8)</f>
        <v>6.0000000000000005E-2</v>
      </c>
      <c r="AE8" s="19">
        <v>2</v>
      </c>
      <c r="AG8" s="5"/>
    </row>
    <row r="9" spans="1:34" ht="17" x14ac:dyDescent="0.2">
      <c r="A9" s="33" t="s">
        <v>179</v>
      </c>
      <c r="B9" s="34" t="s">
        <v>195</v>
      </c>
      <c r="E9" s="10" t="s">
        <v>55</v>
      </c>
      <c r="F9" s="4">
        <v>50</v>
      </c>
      <c r="G9" s="4">
        <v>100</v>
      </c>
      <c r="I9" s="4">
        <v>62</v>
      </c>
      <c r="J9" s="4">
        <v>110</v>
      </c>
      <c r="L9" s="4">
        <v>58</v>
      </c>
      <c r="M9" s="4">
        <v>94</v>
      </c>
      <c r="O9" s="4">
        <v>70</v>
      </c>
      <c r="P9" s="4">
        <v>192</v>
      </c>
      <c r="R9" s="4">
        <v>100</v>
      </c>
      <c r="S9" s="4">
        <v>39</v>
      </c>
      <c r="U9" s="4">
        <v>98</v>
      </c>
      <c r="V9" s="4">
        <v>105</v>
      </c>
      <c r="X9" s="4">
        <v>98</v>
      </c>
      <c r="Y9" s="4">
        <v>105</v>
      </c>
      <c r="AC9" s="19">
        <v>0.12</v>
      </c>
      <c r="AD9" s="19">
        <f>SUM(AC$6:AC9)</f>
        <v>0.18</v>
      </c>
      <c r="AE9" s="19">
        <v>2</v>
      </c>
      <c r="AG9" s="5">
        <v>4100000</v>
      </c>
      <c r="AH9">
        <f t="shared" ref="AH9:AH139" si="0">ROUND(AG9/4,0)</f>
        <v>1025000</v>
      </c>
    </row>
    <row r="10" spans="1:34" ht="34" x14ac:dyDescent="0.2">
      <c r="A10" s="33" t="s">
        <v>180</v>
      </c>
      <c r="B10" s="35" t="s">
        <v>197</v>
      </c>
      <c r="E10" s="10" t="s">
        <v>163</v>
      </c>
      <c r="G10" s="4">
        <f>-MIN(G7-G9,0)</f>
        <v>0</v>
      </c>
      <c r="J10" s="4">
        <f>-MIN(J7-J9,0)</f>
        <v>0</v>
      </c>
      <c r="M10" s="4">
        <f>-MIN(M7-M9,0)</f>
        <v>0</v>
      </c>
      <c r="P10" s="4">
        <f>-MIN(P7-P9,0)</f>
        <v>0</v>
      </c>
      <c r="S10" s="4">
        <f>-MIN(S7-S9,0)</f>
        <v>0</v>
      </c>
      <c r="V10" s="4">
        <f>-MIN(V7-V9,0)</f>
        <v>0</v>
      </c>
      <c r="Y10" s="4">
        <f>-MIN(Y7-Y9,0)</f>
        <v>0</v>
      </c>
      <c r="AC10" s="19">
        <v>0.2</v>
      </c>
      <c r="AD10" s="19">
        <f>SUM(AC$6:AC10)</f>
        <v>0.38</v>
      </c>
      <c r="AE10" s="19">
        <v>20</v>
      </c>
      <c r="AG10" s="5"/>
    </row>
    <row r="11" spans="1:34" ht="17" x14ac:dyDescent="0.2">
      <c r="A11" s="33" t="s">
        <v>181</v>
      </c>
      <c r="B11" s="35" t="s">
        <v>197</v>
      </c>
      <c r="E11" s="10" t="s">
        <v>118</v>
      </c>
      <c r="G11" s="4">
        <f>MAX(G10-G23,0)</f>
        <v>0</v>
      </c>
      <c r="J11" s="4">
        <f>MAX(J10-J23,0)</f>
        <v>0</v>
      </c>
      <c r="M11" s="4">
        <f>MAX(M10-M23,0)</f>
        <v>0</v>
      </c>
      <c r="P11" s="4">
        <f>MAX(P10-P23,0)</f>
        <v>0</v>
      </c>
      <c r="S11" s="4">
        <f>MAX(S10-S23,0)</f>
        <v>0</v>
      </c>
      <c r="V11" s="4">
        <f>MAX(V10-V23,0)</f>
        <v>0</v>
      </c>
      <c r="Y11" s="4">
        <f>MAX(Y10-Y23,0)</f>
        <v>0</v>
      </c>
      <c r="AC11" s="19">
        <v>0.2</v>
      </c>
      <c r="AD11" s="19">
        <f>SUM(AC$6:AC11)</f>
        <v>0.58000000000000007</v>
      </c>
      <c r="AE11" s="19">
        <v>20</v>
      </c>
      <c r="AG11" s="5"/>
    </row>
    <row r="12" spans="1:34" ht="17" x14ac:dyDescent="0.2">
      <c r="A12" s="33" t="s">
        <v>182</v>
      </c>
      <c r="B12" s="34" t="s">
        <v>195</v>
      </c>
      <c r="E12" s="10" t="s">
        <v>67</v>
      </c>
      <c r="G12" s="4">
        <v>85</v>
      </c>
      <c r="J12" s="4">
        <v>80</v>
      </c>
      <c r="M12" s="4">
        <v>92</v>
      </c>
      <c r="P12" s="4">
        <v>43</v>
      </c>
      <c r="S12" s="4">
        <v>92</v>
      </c>
      <c r="V12" s="4">
        <v>43</v>
      </c>
      <c r="Y12" s="4">
        <v>43</v>
      </c>
      <c r="AC12" s="19">
        <v>0.36</v>
      </c>
      <c r="AD12" s="19">
        <f>SUM(AC$6:AC12)</f>
        <v>0.94000000000000006</v>
      </c>
      <c r="AE12" s="19">
        <v>20</v>
      </c>
      <c r="AG12" s="5"/>
    </row>
    <row r="13" spans="1:34" ht="17" customHeight="1" x14ac:dyDescent="0.2">
      <c r="A13" s="33" t="s">
        <v>183</v>
      </c>
      <c r="B13" s="35" t="s">
        <v>197</v>
      </c>
      <c r="E13" s="10" t="s">
        <v>160</v>
      </c>
      <c r="F13" s="4">
        <f>MAX(F7-F9,0)</f>
        <v>9950</v>
      </c>
      <c r="G13" s="4">
        <f>MAX(G7-G9,0)</f>
        <v>249900</v>
      </c>
      <c r="I13" s="4">
        <f>MAX(I7-I9,0)</f>
        <v>9888</v>
      </c>
      <c r="J13" s="4">
        <f>MAX(J7-J9,0)</f>
        <v>249790</v>
      </c>
      <c r="L13" s="4">
        <f>MAX(L7-L9,0)</f>
        <v>9830</v>
      </c>
      <c r="M13" s="4">
        <f>MAX(M7-M9,0)</f>
        <v>249696</v>
      </c>
      <c r="O13" s="4">
        <f>MAX(O7-O9,0)</f>
        <v>9760</v>
      </c>
      <c r="P13" s="4">
        <f>MAX(P7-P9,0)</f>
        <v>249504</v>
      </c>
      <c r="R13" s="4">
        <f>MAX(R7-R9,0)</f>
        <v>9660</v>
      </c>
      <c r="S13" s="4">
        <f>MAX(S7-S9,0)</f>
        <v>249465</v>
      </c>
      <c r="U13" s="4">
        <f>MAX(U7-U9,0)</f>
        <v>9562</v>
      </c>
      <c r="V13" s="4">
        <f>MAX(V7-V9,0)</f>
        <v>249360</v>
      </c>
      <c r="X13" s="4">
        <f>MAX(X7-X9,0)</f>
        <v>9464</v>
      </c>
      <c r="Y13" s="4">
        <f>MAX(Y7-Y9,0)</f>
        <v>249255</v>
      </c>
      <c r="AC13" s="19"/>
      <c r="AD13" s="19"/>
      <c r="AE13" s="19"/>
      <c r="AG13" s="5"/>
    </row>
    <row r="14" spans="1:34" ht="32" customHeight="1" x14ac:dyDescent="0.2">
      <c r="A14" s="33" t="s">
        <v>184</v>
      </c>
      <c r="B14" s="34" t="s">
        <v>195</v>
      </c>
      <c r="E14" s="10" t="s">
        <v>54</v>
      </c>
      <c r="F14" s="4">
        <v>0.7</v>
      </c>
      <c r="I14" s="4">
        <v>0.7</v>
      </c>
      <c r="L14" s="4">
        <v>0.7</v>
      </c>
      <c r="O14" s="4">
        <v>0.7</v>
      </c>
      <c r="R14" s="4">
        <v>0.7</v>
      </c>
      <c r="U14" s="4">
        <v>0.7</v>
      </c>
      <c r="X14" s="4">
        <v>0.7</v>
      </c>
      <c r="AC14" s="19">
        <v>0.6</v>
      </c>
      <c r="AD14" s="19">
        <f>SUM(AC$6:AC14)</f>
        <v>1.54</v>
      </c>
      <c r="AE14" s="19">
        <v>20</v>
      </c>
      <c r="AG14" s="5"/>
    </row>
    <row r="15" spans="1:34" ht="85" x14ac:dyDescent="0.2">
      <c r="A15" s="33" t="s">
        <v>185</v>
      </c>
      <c r="B15" s="34" t="s">
        <v>195</v>
      </c>
      <c r="E15" s="10" t="s">
        <v>152</v>
      </c>
      <c r="F15" s="4">
        <v>1E-3</v>
      </c>
      <c r="I15" s="4">
        <v>0.3</v>
      </c>
      <c r="L15" s="4">
        <v>0.3</v>
      </c>
      <c r="O15" s="4">
        <v>0.3</v>
      </c>
      <c r="R15" s="4">
        <v>0.3</v>
      </c>
      <c r="U15" s="4">
        <v>0.3</v>
      </c>
      <c r="X15" s="4">
        <v>0.3</v>
      </c>
      <c r="AC15" s="19">
        <v>1.8</v>
      </c>
      <c r="AD15" s="19">
        <f>SUM(AC$6:AC15)</f>
        <v>3.34</v>
      </c>
      <c r="AE15" s="19">
        <v>20</v>
      </c>
      <c r="AG15" s="5">
        <v>4250000</v>
      </c>
      <c r="AH15">
        <f t="shared" si="0"/>
        <v>1062500</v>
      </c>
    </row>
    <row r="16" spans="1:34" ht="51" x14ac:dyDescent="0.2">
      <c r="A16" s="33" t="s">
        <v>186</v>
      </c>
      <c r="B16" s="34" t="s">
        <v>195</v>
      </c>
      <c r="D16" s="28" t="s">
        <v>123</v>
      </c>
      <c r="E16" s="10" t="s">
        <v>122</v>
      </c>
      <c r="F16" s="4">
        <v>0.2</v>
      </c>
      <c r="AC16" s="19">
        <v>3</v>
      </c>
      <c r="AD16" s="19">
        <f>SUM(AC$6:AC16)</f>
        <v>6.34</v>
      </c>
      <c r="AE16" s="19">
        <v>20</v>
      </c>
      <c r="AG16" s="5"/>
    </row>
    <row r="17" spans="1:41" ht="51" x14ac:dyDescent="0.2">
      <c r="A17" s="33" t="s">
        <v>187</v>
      </c>
      <c r="B17" s="34" t="s">
        <v>195</v>
      </c>
      <c r="D17" s="28"/>
      <c r="E17" s="10" t="s">
        <v>153</v>
      </c>
      <c r="F17" s="4">
        <v>0.67</v>
      </c>
      <c r="AC17" s="19">
        <v>6</v>
      </c>
      <c r="AD17" s="19">
        <f>SUM(AC$6:AC17)</f>
        <v>12.34</v>
      </c>
      <c r="AE17" s="19">
        <v>20</v>
      </c>
      <c r="AG17" s="5"/>
    </row>
    <row r="18" spans="1:41" ht="17" x14ac:dyDescent="0.2">
      <c r="A18" s="33" t="s">
        <v>188</v>
      </c>
      <c r="B18" s="34" t="s">
        <v>195</v>
      </c>
      <c r="E18" s="10" t="s">
        <v>121</v>
      </c>
      <c r="F18" s="4">
        <v>150</v>
      </c>
      <c r="G18" s="4">
        <v>100</v>
      </c>
      <c r="AC18" s="19">
        <v>10</v>
      </c>
      <c r="AD18" s="19">
        <f>SUM(AC$6:AC18)</f>
        <v>22.34</v>
      </c>
      <c r="AE18" s="19">
        <v>20</v>
      </c>
      <c r="AG18" s="5"/>
    </row>
    <row r="19" spans="1:41" ht="17" x14ac:dyDescent="0.2">
      <c r="A19" s="33" t="s">
        <v>189</v>
      </c>
      <c r="B19" s="34" t="s">
        <v>195</v>
      </c>
      <c r="E19" s="10" t="s">
        <v>120</v>
      </c>
      <c r="F19" s="4">
        <f>F$18*$F$15</f>
        <v>0.15</v>
      </c>
      <c r="G19" s="4">
        <f>G$18*$F$15</f>
        <v>0.1</v>
      </c>
      <c r="AC19" s="19">
        <v>12</v>
      </c>
      <c r="AD19" s="19">
        <f>SUM(AC$6:AC19)</f>
        <v>34.340000000000003</v>
      </c>
      <c r="AE19" s="19">
        <v>20</v>
      </c>
      <c r="AG19" s="5"/>
    </row>
    <row r="20" spans="1:41" ht="17" x14ac:dyDescent="0.2">
      <c r="A20" s="33" t="s">
        <v>190</v>
      </c>
      <c r="B20" s="35" t="s">
        <v>197</v>
      </c>
      <c r="E20" s="10" t="s">
        <v>124</v>
      </c>
      <c r="F20" s="4">
        <f>F18-F19</f>
        <v>149.85</v>
      </c>
      <c r="G20" s="4">
        <f>G18-G19</f>
        <v>99.9</v>
      </c>
      <c r="AC20" s="19">
        <v>13.5</v>
      </c>
      <c r="AD20" s="19">
        <f>SUM(AC$6:AC20)</f>
        <v>47.84</v>
      </c>
      <c r="AE20" s="19">
        <v>20</v>
      </c>
      <c r="AG20" s="5"/>
    </row>
    <row r="21" spans="1:41" x14ac:dyDescent="0.2">
      <c r="AC21" s="19">
        <v>12</v>
      </c>
      <c r="AD21" s="19">
        <f>SUM(AC$6:AC21)</f>
        <v>59.84</v>
      </c>
      <c r="AE21" s="19">
        <v>20</v>
      </c>
      <c r="AG21" s="5">
        <v>4400000</v>
      </c>
      <c r="AH21">
        <f t="shared" si="0"/>
        <v>1100000</v>
      </c>
    </row>
    <row r="22" spans="1:41" ht="17" x14ac:dyDescent="0.2">
      <c r="A22" s="33" t="s">
        <v>191</v>
      </c>
      <c r="B22" s="34" t="s">
        <v>195</v>
      </c>
      <c r="E22" s="10" t="s">
        <v>52</v>
      </c>
      <c r="F22" s="4">
        <v>5000</v>
      </c>
      <c r="G22" s="4">
        <v>50000</v>
      </c>
      <c r="I22" s="4">
        <v>5000</v>
      </c>
      <c r="J22" s="4">
        <v>50000</v>
      </c>
      <c r="L22" s="4">
        <v>6000</v>
      </c>
      <c r="M22" s="4">
        <v>50000</v>
      </c>
      <c r="O22" s="4">
        <v>6000</v>
      </c>
      <c r="P22" s="4">
        <v>50000</v>
      </c>
      <c r="R22" s="4">
        <v>6500</v>
      </c>
      <c r="S22" s="4">
        <v>49000</v>
      </c>
      <c r="U22" s="4">
        <v>7200</v>
      </c>
      <c r="V22" s="4">
        <v>49500</v>
      </c>
      <c r="X22" s="4">
        <v>7200</v>
      </c>
      <c r="Y22" s="4">
        <v>49500</v>
      </c>
      <c r="AC22" s="19">
        <v>10</v>
      </c>
      <c r="AD22" s="19">
        <f>SUM(AC$6:AC22)</f>
        <v>69.84</v>
      </c>
      <c r="AE22" s="19">
        <v>20</v>
      </c>
      <c r="AG22" s="5"/>
    </row>
    <row r="23" spans="1:41" ht="17" x14ac:dyDescent="0.2">
      <c r="A23" s="33" t="s">
        <v>192</v>
      </c>
      <c r="B23" s="35" t="s">
        <v>197</v>
      </c>
      <c r="E23" s="14" t="s">
        <v>111</v>
      </c>
      <c r="G23" s="4">
        <f>MAX(G$22-G$13, 0)</f>
        <v>0</v>
      </c>
      <c r="J23" s="4">
        <f>MAX(J$22-J$13, 0)</f>
        <v>0</v>
      </c>
      <c r="M23" s="4">
        <f>MAX(M$22-M$13, 0)</f>
        <v>0</v>
      </c>
      <c r="P23" s="4">
        <f>MAX(P$22-P$13, 0)</f>
        <v>0</v>
      </c>
      <c r="S23" s="4">
        <f>MAX(S$22-S$13, 0)</f>
        <v>0</v>
      </c>
      <c r="V23" s="4">
        <f>MAX(V$22-V$13, 0)</f>
        <v>0</v>
      </c>
      <c r="Y23" s="4">
        <f>MAX(Y$22-Y$13, 0)</f>
        <v>0</v>
      </c>
      <c r="AC23" s="19">
        <v>6</v>
      </c>
      <c r="AD23" s="19">
        <f>SUM(AC$6:AC23)</f>
        <v>75.84</v>
      </c>
      <c r="AE23" s="19">
        <v>20</v>
      </c>
      <c r="AG23" s="5"/>
    </row>
    <row r="24" spans="1:41" ht="17" x14ac:dyDescent="0.2">
      <c r="A24" s="33" t="s">
        <v>193</v>
      </c>
      <c r="B24" s="35" t="s">
        <v>197</v>
      </c>
      <c r="E24" s="14" t="s">
        <v>162</v>
      </c>
      <c r="F24" s="4">
        <f>MIN(F13,F22)</f>
        <v>5000</v>
      </c>
      <c r="G24" s="4">
        <f>MIN(G13,G22)-G23</f>
        <v>50000</v>
      </c>
      <c r="I24" s="4">
        <f>MIN(I13,I22)</f>
        <v>5000</v>
      </c>
      <c r="J24" s="4">
        <f>MIN(J13,J22)-J23</f>
        <v>50000</v>
      </c>
      <c r="L24" s="4">
        <f>MIN(L13,L22)</f>
        <v>6000</v>
      </c>
      <c r="M24" s="4">
        <f>MIN(M13,M22)-M23</f>
        <v>50000</v>
      </c>
      <c r="O24" s="4">
        <f>MIN(O13,O22)</f>
        <v>6000</v>
      </c>
      <c r="P24" s="4">
        <f>MIN(P13,P22)-P23</f>
        <v>50000</v>
      </c>
      <c r="R24" s="4">
        <f>MIN(R13,R22)</f>
        <v>6500</v>
      </c>
      <c r="S24" s="4">
        <f>MIN(S13,S22)-S23</f>
        <v>49000</v>
      </c>
      <c r="U24" s="4">
        <f>MIN(U13,U22)</f>
        <v>7200</v>
      </c>
      <c r="V24" s="4">
        <f>MIN(V13,V22)-V23</f>
        <v>49500</v>
      </c>
      <c r="X24" s="4">
        <f>MIN(X13,X22)</f>
        <v>7200</v>
      </c>
      <c r="Y24" s="4">
        <f>MIN(Y13,Y22)-Y23</f>
        <v>49500</v>
      </c>
      <c r="AC24" s="19">
        <v>3</v>
      </c>
      <c r="AD24" s="19">
        <f>SUM(AC$6:AC24)</f>
        <v>78.84</v>
      </c>
      <c r="AE24" s="19">
        <v>20</v>
      </c>
      <c r="AG24" s="5"/>
    </row>
    <row r="25" spans="1:41" ht="17" x14ac:dyDescent="0.2">
      <c r="E25" s="15" t="s">
        <v>59</v>
      </c>
      <c r="F25" s="8"/>
      <c r="G25" s="8"/>
      <c r="I25" s="8"/>
      <c r="J25" s="8"/>
      <c r="L25" s="8"/>
      <c r="M25" s="8"/>
      <c r="O25" s="8"/>
      <c r="P25" s="8"/>
      <c r="R25" s="8"/>
      <c r="S25" s="8"/>
      <c r="U25" s="8"/>
      <c r="V25" s="8"/>
      <c r="X25" s="8"/>
      <c r="Y25" s="8"/>
      <c r="AC25" s="19">
        <v>1.8</v>
      </c>
      <c r="AD25" s="19">
        <f>SUM(AC$6:AC25)</f>
        <v>80.64</v>
      </c>
      <c r="AE25" s="19">
        <v>20</v>
      </c>
      <c r="AG25" s="5">
        <v>4420000</v>
      </c>
      <c r="AH25">
        <f t="shared" si="0"/>
        <v>1105000</v>
      </c>
      <c r="AL25" t="s">
        <v>102</v>
      </c>
    </row>
    <row r="26" spans="1:41" ht="17" customHeight="1" x14ac:dyDescent="0.2">
      <c r="A26" s="33" t="s">
        <v>203</v>
      </c>
      <c r="B26" s="34" t="s">
        <v>195</v>
      </c>
      <c r="E26" s="36" t="s">
        <v>69</v>
      </c>
      <c r="F26" s="4">
        <v>0.3</v>
      </c>
      <c r="G26" s="4">
        <v>0.92</v>
      </c>
      <c r="AG26" s="5"/>
    </row>
    <row r="27" spans="1:41" x14ac:dyDescent="0.2">
      <c r="AG27" s="5"/>
    </row>
    <row r="28" spans="1:41" ht="17" x14ac:dyDescent="0.2">
      <c r="E28" s="15" t="s">
        <v>56</v>
      </c>
      <c r="F28" s="8"/>
      <c r="G28" s="8"/>
      <c r="I28" s="8"/>
      <c r="J28" s="8"/>
      <c r="L28" s="8"/>
      <c r="M28" s="8"/>
      <c r="O28" s="8"/>
      <c r="P28" s="8"/>
      <c r="R28" s="8"/>
      <c r="S28" s="8"/>
      <c r="U28" s="8"/>
      <c r="V28" s="8"/>
      <c r="X28" s="8"/>
      <c r="Y28" s="8"/>
      <c r="AG28" s="5"/>
      <c r="AL28" t="s">
        <v>96</v>
      </c>
      <c r="AM28" t="s">
        <v>98</v>
      </c>
      <c r="AN28" t="s">
        <v>100</v>
      </c>
      <c r="AO28" t="s">
        <v>103</v>
      </c>
    </row>
    <row r="29" spans="1:41" ht="17" x14ac:dyDescent="0.2">
      <c r="A29" s="33" t="s">
        <v>204</v>
      </c>
      <c r="B29" s="34" t="s">
        <v>195</v>
      </c>
      <c r="E29" s="10" t="s">
        <v>53</v>
      </c>
      <c r="F29" s="4">
        <v>2000000</v>
      </c>
      <c r="I29" s="4">
        <v>2050000</v>
      </c>
      <c r="L29" s="4">
        <v>2110000</v>
      </c>
      <c r="O29" s="4">
        <v>2210000</v>
      </c>
      <c r="R29" s="4">
        <v>2110000</v>
      </c>
      <c r="U29" s="4">
        <v>2210000</v>
      </c>
      <c r="X29" s="4">
        <v>2350000</v>
      </c>
      <c r="AG29" s="5"/>
      <c r="AL29" t="s">
        <v>96</v>
      </c>
      <c r="AM29" t="s">
        <v>98</v>
      </c>
      <c r="AN29" t="s">
        <v>101</v>
      </c>
      <c r="AO29" t="s">
        <v>104</v>
      </c>
    </row>
    <row r="30" spans="1:41" x14ac:dyDescent="0.2">
      <c r="AG30" s="5">
        <v>4508400</v>
      </c>
      <c r="AH30">
        <f t="shared" si="0"/>
        <v>1127100</v>
      </c>
      <c r="AL30" t="s">
        <v>96</v>
      </c>
      <c r="AM30" t="s">
        <v>99</v>
      </c>
      <c r="AN30" t="s">
        <v>100</v>
      </c>
      <c r="AO30" t="s">
        <v>105</v>
      </c>
    </row>
    <row r="31" spans="1:41" ht="17" x14ac:dyDescent="0.2">
      <c r="E31" s="11" t="s">
        <v>57</v>
      </c>
      <c r="F31" s="12"/>
      <c r="G31" s="12"/>
      <c r="I31" s="12"/>
      <c r="J31" s="12"/>
      <c r="L31" s="12"/>
      <c r="M31" s="12"/>
      <c r="O31" s="12"/>
      <c r="P31" s="12"/>
      <c r="R31" s="12"/>
      <c r="S31" s="12"/>
      <c r="U31" s="12"/>
      <c r="V31" s="12"/>
      <c r="X31" s="12"/>
      <c r="Y31" s="12"/>
      <c r="AG31" s="5">
        <v>4598570</v>
      </c>
      <c r="AH31">
        <f t="shared" si="0"/>
        <v>1149643</v>
      </c>
      <c r="AL31" t="s">
        <v>96</v>
      </c>
      <c r="AM31" t="s">
        <v>99</v>
      </c>
      <c r="AN31" t="s">
        <v>101</v>
      </c>
      <c r="AO31" t="s">
        <v>106</v>
      </c>
    </row>
    <row r="32" spans="1:41" ht="17" x14ac:dyDescent="0.2">
      <c r="E32" s="14" t="s">
        <v>90</v>
      </c>
      <c r="AG32" s="5">
        <v>4690540</v>
      </c>
      <c r="AH32">
        <f t="shared" si="0"/>
        <v>1172635</v>
      </c>
      <c r="AL32" t="s">
        <v>97</v>
      </c>
      <c r="AM32" t="s">
        <v>98</v>
      </c>
      <c r="AN32" t="s">
        <v>101</v>
      </c>
      <c r="AO32" t="s">
        <v>107</v>
      </c>
    </row>
    <row r="33" spans="5:41" x14ac:dyDescent="0.2">
      <c r="E33" s="14"/>
      <c r="AG33" s="5">
        <v>4784350</v>
      </c>
      <c r="AH33">
        <f t="shared" si="0"/>
        <v>1196088</v>
      </c>
      <c r="AL33" t="s">
        <v>97</v>
      </c>
      <c r="AM33" t="s">
        <v>99</v>
      </c>
      <c r="AN33" t="s">
        <v>101</v>
      </c>
      <c r="AO33" t="s">
        <v>108</v>
      </c>
    </row>
    <row r="34" spans="5:41" x14ac:dyDescent="0.2">
      <c r="AG34" s="5">
        <v>4880040</v>
      </c>
      <c r="AH34">
        <f t="shared" si="0"/>
        <v>1220010</v>
      </c>
    </row>
    <row r="35" spans="5:41" x14ac:dyDescent="0.2">
      <c r="E35" s="14"/>
      <c r="AG35" s="5">
        <v>4977640</v>
      </c>
      <c r="AH35">
        <f t="shared" si="0"/>
        <v>1244410</v>
      </c>
    </row>
    <row r="36" spans="5:41" x14ac:dyDescent="0.2">
      <c r="AG36" s="5">
        <v>5077190</v>
      </c>
      <c r="AH36">
        <f t="shared" si="0"/>
        <v>1269298</v>
      </c>
    </row>
    <row r="37" spans="5:41" x14ac:dyDescent="0.2">
      <c r="E37" s="14"/>
      <c r="AG37" s="5">
        <v>5178730</v>
      </c>
      <c r="AH37">
        <f t="shared" si="0"/>
        <v>1294683</v>
      </c>
    </row>
    <row r="38" spans="5:41" x14ac:dyDescent="0.2">
      <c r="E38" s="14"/>
      <c r="AG38" s="5">
        <v>5282300</v>
      </c>
      <c r="AH38">
        <f t="shared" si="0"/>
        <v>1320575</v>
      </c>
    </row>
    <row r="39" spans="5:41" ht="17" x14ac:dyDescent="0.2">
      <c r="E39" s="15" t="s">
        <v>154</v>
      </c>
      <c r="F39" s="8" t="s">
        <v>133</v>
      </c>
      <c r="G39" s="8"/>
      <c r="I39" s="4" t="s">
        <v>136</v>
      </c>
      <c r="L39" s="4" t="s">
        <v>136</v>
      </c>
      <c r="N39" s="5" t="s">
        <v>134</v>
      </c>
      <c r="O39" s="4" t="s">
        <v>136</v>
      </c>
      <c r="AG39" s="5">
        <v>5387950</v>
      </c>
      <c r="AH39">
        <f t="shared" si="0"/>
        <v>1346988</v>
      </c>
    </row>
    <row r="40" spans="5:41" ht="17" x14ac:dyDescent="0.2">
      <c r="E40" s="14" t="s">
        <v>89</v>
      </c>
      <c r="G40" s="4">
        <v>0</v>
      </c>
      <c r="H40" s="5">
        <f>SUM(J$40:J40)</f>
        <v>0</v>
      </c>
      <c r="J40" s="4">
        <v>0</v>
      </c>
      <c r="K40" s="5">
        <f>SUM(M$40:M40)</f>
        <v>0</v>
      </c>
      <c r="M40" s="4">
        <v>0</v>
      </c>
      <c r="N40" s="5">
        <f>SUM(P$40:P40)</f>
        <v>0</v>
      </c>
      <c r="P40" s="4">
        <v>0</v>
      </c>
      <c r="Q40" s="5">
        <f>SUM(S$40:S40)</f>
        <v>0</v>
      </c>
      <c r="S40" s="4">
        <v>0</v>
      </c>
      <c r="T40" s="5">
        <f>SUM(V$40:V40)</f>
        <v>0</v>
      </c>
      <c r="V40" s="4">
        <v>0</v>
      </c>
      <c r="W40" s="5">
        <f>SUM(Y$40:Y40)</f>
        <v>0</v>
      </c>
      <c r="Y40" s="4">
        <v>0</v>
      </c>
      <c r="AG40" s="5"/>
    </row>
    <row r="41" spans="5:41" ht="17" x14ac:dyDescent="0.2">
      <c r="E41" s="14" t="s">
        <v>88</v>
      </c>
      <c r="F41" s="4">
        <v>0</v>
      </c>
      <c r="G41" s="4">
        <f>G12</f>
        <v>85</v>
      </c>
      <c r="H41" s="5">
        <f>SUM(G$40:G41)</f>
        <v>85</v>
      </c>
      <c r="I41" s="4">
        <f>IF(H41&gt;=J$11, IF(H40&lt;J$11, J$11-H40, 0),G41)</f>
        <v>0</v>
      </c>
      <c r="J41" s="4">
        <f>G41-I41</f>
        <v>85</v>
      </c>
      <c r="K41" s="5">
        <f>SUM(J$40:J41)</f>
        <v>85</v>
      </c>
      <c r="L41" s="4">
        <f>IF(K41&gt;=M$11, IF(K40&lt;M$11, M$11-K40, 0),J41)</f>
        <v>0</v>
      </c>
      <c r="M41" s="4">
        <f>J41-L41</f>
        <v>85</v>
      </c>
      <c r="N41" s="5">
        <f>SUM(M$40:M41)</f>
        <v>85</v>
      </c>
      <c r="O41" s="4">
        <f>IF(N41&gt;=P$11, IF(N40&lt;P$11, P$11-N40, 0),M41)</f>
        <v>0</v>
      </c>
      <c r="P41" s="4">
        <f>M41-O41</f>
        <v>85</v>
      </c>
      <c r="Q41" s="5">
        <f>SUM(P$40:P41)</f>
        <v>85</v>
      </c>
      <c r="R41" s="4">
        <f>IF(Q41&gt;=S$11, IF(Q40&lt;S$11, S$11-Q40, 0),P41)</f>
        <v>0</v>
      </c>
      <c r="S41" s="4">
        <f>P41-R41</f>
        <v>85</v>
      </c>
      <c r="T41" s="5">
        <f>SUM(S$40:S41)</f>
        <v>85</v>
      </c>
      <c r="U41" s="4">
        <f>IF(T41&gt;=V$11, IF(T40&lt;V$11, V$11-T40, 0),S41)</f>
        <v>0</v>
      </c>
      <c r="V41" s="4">
        <f>S41-U41</f>
        <v>85</v>
      </c>
      <c r="W41" s="5">
        <f>SUM(V$40:V41)</f>
        <v>85</v>
      </c>
      <c r="X41" s="4">
        <f>IF(W41&gt;=Y$11, IF(W40&lt;Y$11, Y$11-W40, 0),V41)</f>
        <v>0</v>
      </c>
      <c r="Y41" s="4">
        <f>V41-X41</f>
        <v>85</v>
      </c>
      <c r="AG41" s="5"/>
    </row>
    <row r="42" spans="5:41" ht="17" x14ac:dyDescent="0.2">
      <c r="E42" s="14" t="s">
        <v>70</v>
      </c>
      <c r="F42" s="4">
        <v>0</v>
      </c>
      <c r="G42" s="4">
        <v>0</v>
      </c>
      <c r="H42" s="5">
        <f>SUM(G$40:G42)</f>
        <v>85</v>
      </c>
      <c r="I42" s="4">
        <f>IF(H42&gt;=J$11, IF(H41&lt;J$11, J$11-H41, 0),G42)</f>
        <v>0</v>
      </c>
      <c r="J42" s="4">
        <f>J12</f>
        <v>80</v>
      </c>
      <c r="K42" s="5">
        <f>SUM(J$40:J42)</f>
        <v>165</v>
      </c>
      <c r="L42" s="4">
        <f t="shared" ref="L42:L44" si="1">IF(K42&gt;=M$11, IF(K41&lt;M$11, M$11-K41, 0),J42)</f>
        <v>0</v>
      </c>
      <c r="M42" s="4">
        <f>J42-L42</f>
        <v>80</v>
      </c>
      <c r="N42" s="5">
        <f>SUM(M$40:M42)</f>
        <v>165</v>
      </c>
      <c r="O42" s="4">
        <f t="shared" ref="O42:O44" si="2">IF(N42&gt;=P$11, IF(N41&lt;P$11, P$11-N41, 0),M42)</f>
        <v>0</v>
      </c>
      <c r="P42" s="4">
        <f>M42-O42</f>
        <v>80</v>
      </c>
      <c r="Q42" s="5">
        <f>SUM(P$40:P42)</f>
        <v>165</v>
      </c>
      <c r="R42" s="4">
        <f t="shared" ref="R42:R44" si="3">IF(Q42&gt;=S$11, IF(Q41&lt;S$11, S$11-Q41, 0),P42)</f>
        <v>0</v>
      </c>
      <c r="S42" s="4">
        <f>P42-R42</f>
        <v>80</v>
      </c>
      <c r="T42" s="5">
        <f>SUM(S$40:S42)</f>
        <v>165</v>
      </c>
      <c r="U42" s="4">
        <f t="shared" ref="U42:U44" si="4">IF(T42&gt;=V$11, IF(T41&lt;V$11, V$11-T41, 0),S42)</f>
        <v>0</v>
      </c>
      <c r="V42" s="4">
        <f>S42-U42</f>
        <v>80</v>
      </c>
      <c r="W42" s="5">
        <f>SUM(V$40:V42)</f>
        <v>165</v>
      </c>
      <c r="X42" s="4">
        <f t="shared" ref="X42:X44" si="5">IF(W42&gt;=Y$11, IF(W41&lt;Y$11, Y$11-W41, 0),V42)</f>
        <v>0</v>
      </c>
      <c r="Y42" s="4">
        <f>V42-X42</f>
        <v>80</v>
      </c>
      <c r="AG42" s="5"/>
    </row>
    <row r="43" spans="5:41" ht="17" x14ac:dyDescent="0.2">
      <c r="E43" s="14" t="s">
        <v>80</v>
      </c>
      <c r="F43" s="4">
        <v>0</v>
      </c>
      <c r="G43" s="4">
        <v>0</v>
      </c>
      <c r="H43" s="5">
        <f>SUM(G$40:G43)</f>
        <v>85</v>
      </c>
      <c r="I43" s="4">
        <f t="shared" ref="I43:I44" si="6">IF(H43&gt;=J$11, IF(H42&lt;J$11, J$11-H42, 0),G43)</f>
        <v>0</v>
      </c>
      <c r="J43" s="4">
        <v>0</v>
      </c>
      <c r="K43" s="5">
        <f>SUM(J$40:J43)</f>
        <v>165</v>
      </c>
      <c r="L43" s="4">
        <f t="shared" si="1"/>
        <v>0</v>
      </c>
      <c r="M43" s="4">
        <f>M12</f>
        <v>92</v>
      </c>
      <c r="N43" s="5">
        <f>SUM(M$40:M43)</f>
        <v>257</v>
      </c>
      <c r="O43" s="4">
        <f t="shared" si="2"/>
        <v>0</v>
      </c>
      <c r="P43" s="4">
        <f>M43-O43</f>
        <v>92</v>
      </c>
      <c r="Q43" s="5">
        <f>SUM(P$40:P43)</f>
        <v>257</v>
      </c>
      <c r="R43" s="4">
        <f t="shared" si="3"/>
        <v>0</v>
      </c>
      <c r="S43" s="4">
        <f>P43-R43</f>
        <v>92</v>
      </c>
      <c r="T43" s="5">
        <f>SUM(S$40:S43)</f>
        <v>257</v>
      </c>
      <c r="U43" s="4">
        <f t="shared" si="4"/>
        <v>0</v>
      </c>
      <c r="V43" s="4">
        <f>S43-U43</f>
        <v>92</v>
      </c>
      <c r="W43" s="5">
        <f>SUM(V$40:V43)</f>
        <v>257</v>
      </c>
      <c r="X43" s="4">
        <f t="shared" si="5"/>
        <v>0</v>
      </c>
      <c r="Y43" s="4">
        <f>V43-X43</f>
        <v>92</v>
      </c>
      <c r="AG43" s="5"/>
    </row>
    <row r="44" spans="5:41" ht="17" x14ac:dyDescent="0.2">
      <c r="E44" s="14" t="s">
        <v>81</v>
      </c>
      <c r="F44" s="4">
        <v>0</v>
      </c>
      <c r="G44" s="4">
        <v>0</v>
      </c>
      <c r="H44" s="5">
        <f>SUM(G$40:G44)</f>
        <v>85</v>
      </c>
      <c r="I44" s="4">
        <f t="shared" si="6"/>
        <v>0</v>
      </c>
      <c r="J44" s="4">
        <v>0</v>
      </c>
      <c r="K44" s="5">
        <f>SUM(J$40:J44)</f>
        <v>165</v>
      </c>
      <c r="L44" s="4">
        <f t="shared" si="1"/>
        <v>0</v>
      </c>
      <c r="M44" s="4">
        <v>0</v>
      </c>
      <c r="N44" s="5">
        <f>SUM(M$40:M44)</f>
        <v>257</v>
      </c>
      <c r="O44" s="4">
        <f t="shared" si="2"/>
        <v>0</v>
      </c>
      <c r="P44" s="4">
        <f>P12</f>
        <v>43</v>
      </c>
      <c r="Q44" s="5">
        <f>SUM(P$40:P44)</f>
        <v>300</v>
      </c>
      <c r="R44" s="4">
        <f t="shared" si="3"/>
        <v>0</v>
      </c>
      <c r="S44" s="4">
        <f>P44-R44</f>
        <v>43</v>
      </c>
      <c r="T44" s="5">
        <f>SUM(S$40:S44)</f>
        <v>300</v>
      </c>
      <c r="U44" s="4">
        <f t="shared" si="4"/>
        <v>0</v>
      </c>
      <c r="V44" s="4">
        <f>S44-U44</f>
        <v>43</v>
      </c>
      <c r="W44" s="5">
        <f>SUM(V$40:V44)</f>
        <v>300</v>
      </c>
      <c r="X44" s="4">
        <f t="shared" si="5"/>
        <v>0</v>
      </c>
      <c r="Y44" s="4">
        <f>V44-X44</f>
        <v>43</v>
      </c>
      <c r="AG44" s="5"/>
    </row>
    <row r="45" spans="5:41" ht="17" x14ac:dyDescent="0.2">
      <c r="E45" s="14" t="s">
        <v>83</v>
      </c>
      <c r="Z45" t="s">
        <v>78</v>
      </c>
      <c r="AG45" s="5"/>
    </row>
    <row r="46" spans="5:41" x14ac:dyDescent="0.2">
      <c r="E46" s="14"/>
      <c r="AG46" s="5"/>
    </row>
    <row r="47" spans="5:41" ht="17" x14ac:dyDescent="0.2">
      <c r="E47" s="14" t="s">
        <v>92</v>
      </c>
      <c r="G47" s="4">
        <f>AC6</f>
        <v>0</v>
      </c>
      <c r="J47" s="4">
        <f>AC7</f>
        <v>0.01</v>
      </c>
      <c r="M47" s="4">
        <f>AC8</f>
        <v>0.05</v>
      </c>
      <c r="P47" s="4">
        <f>AC9</f>
        <v>0.12</v>
      </c>
      <c r="S47" s="4">
        <f>AC11</f>
        <v>0.2</v>
      </c>
      <c r="V47" s="4">
        <f>AC12</f>
        <v>0.36</v>
      </c>
      <c r="Y47" s="4">
        <f>AC14</f>
        <v>0.6</v>
      </c>
      <c r="AG47" s="5"/>
    </row>
    <row r="48" spans="5:41" ht="17" x14ac:dyDescent="0.2">
      <c r="E48" s="14" t="s">
        <v>93</v>
      </c>
      <c r="G48" s="4">
        <v>0</v>
      </c>
      <c r="J48" s="4">
        <v>0</v>
      </c>
      <c r="M48" s="4">
        <f>AC7</f>
        <v>0.01</v>
      </c>
      <c r="P48" s="4">
        <f>AC8</f>
        <v>0.05</v>
      </c>
      <c r="S48" s="4">
        <f>AC9</f>
        <v>0.12</v>
      </c>
      <c r="V48" s="4">
        <f>AC11</f>
        <v>0.2</v>
      </c>
      <c r="Y48" s="4">
        <f>AC12</f>
        <v>0.36</v>
      </c>
      <c r="AG48" s="5"/>
    </row>
    <row r="49" spans="4:33" ht="17" x14ac:dyDescent="0.2">
      <c r="E49" s="14" t="s">
        <v>94</v>
      </c>
      <c r="G49" s="4">
        <v>0</v>
      </c>
      <c r="J49" s="4">
        <v>0</v>
      </c>
      <c r="M49" s="4">
        <v>0</v>
      </c>
      <c r="P49" s="4">
        <f>AC7</f>
        <v>0.01</v>
      </c>
      <c r="S49" s="4">
        <f>AC8</f>
        <v>0.05</v>
      </c>
      <c r="V49" s="4">
        <f>AC9</f>
        <v>0.12</v>
      </c>
      <c r="Y49" s="4">
        <f>AC11</f>
        <v>0.2</v>
      </c>
      <c r="AG49" s="5"/>
    </row>
    <row r="50" spans="4:33" ht="17" x14ac:dyDescent="0.2">
      <c r="E50" s="14" t="s">
        <v>95</v>
      </c>
      <c r="G50" s="4">
        <v>0</v>
      </c>
      <c r="J50" s="4">
        <v>0</v>
      </c>
      <c r="M50" s="4">
        <v>0</v>
      </c>
      <c r="P50" s="4">
        <v>0</v>
      </c>
      <c r="S50" s="4">
        <f>AC7</f>
        <v>0.01</v>
      </c>
      <c r="V50" s="4">
        <f>AC8</f>
        <v>0.05</v>
      </c>
      <c r="Y50" s="4">
        <f>AC9</f>
        <v>0.12</v>
      </c>
      <c r="AG50" s="5"/>
    </row>
    <row r="51" spans="4:33" ht="17" x14ac:dyDescent="0.2">
      <c r="E51" s="14" t="s">
        <v>49</v>
      </c>
      <c r="AG51" s="5"/>
    </row>
    <row r="52" spans="4:33" x14ac:dyDescent="0.2">
      <c r="E52" s="14"/>
      <c r="AG52" s="5"/>
    </row>
    <row r="53" spans="4:33" ht="17" x14ac:dyDescent="0.2">
      <c r="E53" s="14" t="s">
        <v>114</v>
      </c>
      <c r="G53" s="4">
        <f>G41*G47</f>
        <v>0</v>
      </c>
      <c r="J53" s="4">
        <f>J41*J47</f>
        <v>0.85</v>
      </c>
      <c r="M53" s="4">
        <f>J53+M41*M47</f>
        <v>5.0999999999999996</v>
      </c>
      <c r="P53" s="4">
        <f>M53+P41*P47</f>
        <v>15.299999999999999</v>
      </c>
      <c r="S53" s="4">
        <f>P53+S41*S47</f>
        <v>32.299999999999997</v>
      </c>
      <c r="V53" s="4">
        <f>V41*V47</f>
        <v>30.599999999999998</v>
      </c>
      <c r="Y53" s="4">
        <f>Y41*Y47</f>
        <v>51</v>
      </c>
      <c r="AG53" s="5"/>
    </row>
    <row r="54" spans="4:33" ht="17" x14ac:dyDescent="0.2">
      <c r="D54" s="22" t="s">
        <v>167</v>
      </c>
      <c r="E54" s="14" t="s">
        <v>115</v>
      </c>
      <c r="J54" s="4">
        <f>J42*J48</f>
        <v>0</v>
      </c>
      <c r="M54" s="4">
        <f t="shared" ref="M54:M55" si="7">J54+M42*M48</f>
        <v>0.8</v>
      </c>
      <c r="P54" s="4">
        <f t="shared" ref="P54:P55" si="8">M54+P42*P48</f>
        <v>4.8</v>
      </c>
      <c r="S54" s="4">
        <f t="shared" ref="S54" si="9">P54+S42*S48</f>
        <v>14.399999999999999</v>
      </c>
      <c r="V54" s="4">
        <f>V42*V48</f>
        <v>16</v>
      </c>
      <c r="Y54" s="4">
        <f>Y42*Y48</f>
        <v>28.799999999999997</v>
      </c>
      <c r="AG54" s="5"/>
    </row>
    <row r="55" spans="4:33" ht="17" x14ac:dyDescent="0.2">
      <c r="D55" s="28" t="s">
        <v>172</v>
      </c>
      <c r="E55" s="14" t="s">
        <v>116</v>
      </c>
      <c r="M55" s="4">
        <f t="shared" si="7"/>
        <v>0</v>
      </c>
      <c r="P55" s="4">
        <f t="shared" si="8"/>
        <v>0.92</v>
      </c>
      <c r="S55" s="4">
        <f>P55+S43*S49</f>
        <v>5.5200000000000005</v>
      </c>
      <c r="V55" s="4">
        <f>V43*V49</f>
        <v>11.04</v>
      </c>
      <c r="Y55" s="4">
        <f>Y43*Y49</f>
        <v>18.400000000000002</v>
      </c>
      <c r="AG55" s="5"/>
    </row>
    <row r="56" spans="4:33" ht="17" x14ac:dyDescent="0.2">
      <c r="D56" s="28"/>
      <c r="E56" s="14" t="s">
        <v>117</v>
      </c>
      <c r="M56" s="4">
        <f>J56+M44*M50</f>
        <v>0</v>
      </c>
      <c r="P56" s="4">
        <f>M56+P44*P50</f>
        <v>0</v>
      </c>
      <c r="S56" s="4">
        <f>P56+S44*S50</f>
        <v>0.43</v>
      </c>
      <c r="V56" s="4">
        <f>V44*V50</f>
        <v>2.15</v>
      </c>
      <c r="Y56" s="4">
        <f>Y44*Y50</f>
        <v>5.16</v>
      </c>
      <c r="AG56" s="5"/>
    </row>
    <row r="57" spans="4:33" ht="17" x14ac:dyDescent="0.2">
      <c r="D57" s="28"/>
      <c r="E57" s="14" t="s">
        <v>83</v>
      </c>
      <c r="AG57" s="5"/>
    </row>
    <row r="58" spans="4:33" x14ac:dyDescent="0.2">
      <c r="D58" s="28"/>
      <c r="E58" s="14"/>
      <c r="AG58" s="5"/>
    </row>
    <row r="59" spans="4:33" ht="17" x14ac:dyDescent="0.2">
      <c r="E59" s="14" t="s">
        <v>137</v>
      </c>
      <c r="G59" s="4">
        <v>0</v>
      </c>
      <c r="J59" s="4">
        <f>INT(I$4-$AE$6 &gt; $D67)*MAX(G77-$G$19*G41,0)</f>
        <v>0</v>
      </c>
      <c r="M59" s="4">
        <f>INT(L$4-$AE$6 &gt; $D67)*MAX(J77-$F$19*J41,0)</f>
        <v>0</v>
      </c>
      <c r="P59" s="4">
        <f>INT(O$4-$AE$6 &gt; $D67)*MAX(M77-$F$19*M41,0)</f>
        <v>0</v>
      </c>
      <c r="S59" s="4">
        <f>INT(R$4-$AE$6 &gt; $D67)*MAX(P77-$F$19*P41,0)</f>
        <v>2.5499999999999989</v>
      </c>
      <c r="V59" s="4">
        <f>INT(U$4-$AE$6 &gt; $D67)*MAX(S77-$F$19*S41,0)</f>
        <v>19.549999999999997</v>
      </c>
      <c r="Y59" s="4">
        <f>INT(X$4-$AE$6 &gt; $D67)*MAX(V77-$F$19*V41,0)</f>
        <v>50.149999999999991</v>
      </c>
      <c r="AG59" s="5"/>
    </row>
    <row r="60" spans="4:33" ht="17" x14ac:dyDescent="0.2">
      <c r="E60" s="14" t="s">
        <v>138</v>
      </c>
      <c r="G60" s="4">
        <v>0</v>
      </c>
      <c r="J60" s="4">
        <f>INT(I$4-$AE$6 &gt; $D68)*MAX(G78-$F$19*G42,0)</f>
        <v>0</v>
      </c>
      <c r="M60" s="4">
        <f>INT(L$4-$AE$6 &gt; $D68)*MAX(J78-$F$19*J42,0)</f>
        <v>0</v>
      </c>
      <c r="P60" s="4">
        <f>INT(O$4-$AE$6 &gt; $D68)*MAX(M78-$F$19*M42,0)</f>
        <v>0</v>
      </c>
      <c r="S60" s="4">
        <f>INT(R$4-$AE$6 &gt; $D68)*MAX(P78-$F$19*P42,0)</f>
        <v>0</v>
      </c>
      <c r="V60" s="4">
        <f>INT(U$4-$AE$6 &gt; $D68)*MAX(S78-$F$19*S42,0)</f>
        <v>2.3999999999999986</v>
      </c>
      <c r="Y60" s="4">
        <f>INT(X$4-$AE$6 &gt; $D68)*MAX(V78-$F$19*V42,0)</f>
        <v>18.399999999999999</v>
      </c>
      <c r="AG60" s="5"/>
    </row>
    <row r="61" spans="4:33" ht="17" x14ac:dyDescent="0.2">
      <c r="D61" s="28" t="s">
        <v>173</v>
      </c>
      <c r="E61" s="14" t="s">
        <v>139</v>
      </c>
      <c r="G61" s="4">
        <v>0</v>
      </c>
      <c r="J61" s="4">
        <f>INT(I$4-$AE$6 &gt; $D69)*MAX(G79-$F$19*G43,0)</f>
        <v>0</v>
      </c>
      <c r="M61" s="4">
        <f>INT(L$4-$AE$6 &gt; $D69)*MAX(J79-$F$19*J43,0)</f>
        <v>0</v>
      </c>
      <c r="P61" s="4">
        <f>INT(O$4-$AE$6 &gt; $D69)*MAX(M79-$F$19*M43,0)</f>
        <v>0</v>
      </c>
      <c r="S61" s="4">
        <f>INT(R$4-$AE$6 &gt; $D69)*MAX(P79-$F$19*P43,0)</f>
        <v>0</v>
      </c>
      <c r="V61" s="4">
        <f>INT(U$4-$AE$6 &gt; $D69)*MAX(S79-$F$19*S43,0)</f>
        <v>0</v>
      </c>
      <c r="Y61" s="4">
        <f>INT(X$4-$AE$6 &gt; $D69)*MAX(V79-$F$19*V43,0)</f>
        <v>2.76</v>
      </c>
      <c r="AG61" s="5"/>
    </row>
    <row r="62" spans="4:33" ht="17" x14ac:dyDescent="0.2">
      <c r="D62" s="28"/>
      <c r="E62" s="14" t="s">
        <v>140</v>
      </c>
      <c r="G62" s="4">
        <v>0</v>
      </c>
      <c r="J62" s="4">
        <f>INT(I$4-$AE$6 &gt; $D70)*MAX(G80-$F$19*G44,0)</f>
        <v>0</v>
      </c>
      <c r="M62" s="4">
        <f>SUM(M58:M61)</f>
        <v>0</v>
      </c>
      <c r="P62" s="4">
        <f>INT(O$4-$AE$6 &gt; $D70)*MAX(M80-$F$19*M44,0)</f>
        <v>0</v>
      </c>
      <c r="S62" s="4">
        <f>INT(R$4-$AE$6 &gt; $D70)*MAX(P80-$F$19*P44,0)</f>
        <v>0</v>
      </c>
      <c r="V62" s="4">
        <f>INT(U$4-$AE$6 &gt; $D70)*MAX(S80-$F$19*S44,0)</f>
        <v>0</v>
      </c>
      <c r="Y62" s="4">
        <f>INT(X$4-$AE$6 &gt; $D70)*MAX(V80-$F$19*V44,0)</f>
        <v>0</v>
      </c>
      <c r="AG62" s="5"/>
    </row>
    <row r="63" spans="4:33" ht="17" x14ac:dyDescent="0.2">
      <c r="D63" s="28"/>
      <c r="E63" s="14" t="s">
        <v>166</v>
      </c>
      <c r="G63" s="4">
        <v>0</v>
      </c>
      <c r="J63" s="4">
        <f>SUM(J59:J62)</f>
        <v>0</v>
      </c>
      <c r="M63" s="4">
        <f>SUM(M59:M62)</f>
        <v>0</v>
      </c>
      <c r="P63" s="4">
        <f>SUM(P59:P62)</f>
        <v>0</v>
      </c>
      <c r="S63" s="4">
        <f>SUM(S59:S62)</f>
        <v>2.5499999999999989</v>
      </c>
      <c r="V63" s="4">
        <f>SUM(V59:V62)</f>
        <v>21.949999999999996</v>
      </c>
      <c r="Y63" s="4">
        <f>SUM(Y59:Y62)</f>
        <v>71.309999999999988</v>
      </c>
      <c r="AD63" t="s">
        <v>109</v>
      </c>
      <c r="AG63" s="5"/>
    </row>
    <row r="64" spans="4:33" x14ac:dyDescent="0.2">
      <c r="D64" s="28"/>
      <c r="E64" s="14"/>
      <c r="AB64" t="s">
        <v>86</v>
      </c>
      <c r="AD64" t="s">
        <v>110</v>
      </c>
      <c r="AG64" s="5"/>
    </row>
    <row r="65" spans="4:33" ht="17" x14ac:dyDescent="0.2">
      <c r="E65" s="14" t="s">
        <v>89</v>
      </c>
      <c r="F65" s="4">
        <v>0</v>
      </c>
      <c r="I65" s="4">
        <v>0</v>
      </c>
      <c r="L65" s="4">
        <v>0</v>
      </c>
      <c r="O65" s="4">
        <v>0</v>
      </c>
      <c r="R65" s="4">
        <v>0</v>
      </c>
      <c r="U65" s="4">
        <v>0</v>
      </c>
      <c r="X65" s="4">
        <v>0</v>
      </c>
      <c r="AB65" t="s">
        <v>87</v>
      </c>
      <c r="AG65" s="5"/>
    </row>
    <row r="66" spans="4:33" ht="17" x14ac:dyDescent="0.2">
      <c r="E66" s="14" t="s">
        <v>168</v>
      </c>
      <c r="F66" s="4">
        <f>SUM(G$59:G59)</f>
        <v>0</v>
      </c>
      <c r="G66" s="4">
        <f>IF(F66&gt;=F$113, IF(F65&lt;F$113, F$113-F65, 0),G59)</f>
        <v>0</v>
      </c>
      <c r="I66" s="4">
        <f>SUM(J$59:J59)</f>
        <v>0</v>
      </c>
      <c r="J66" s="4">
        <f>IF(I66&gt;=I$113, IF(I65&lt;I$113, I$113-I65, 0),J59)</f>
        <v>0</v>
      </c>
      <c r="L66" s="4">
        <f>SUM(M$59:M59)</f>
        <v>0</v>
      </c>
      <c r="M66" s="4">
        <f>IF(L66&gt;=L$113, IF(L65&lt;L$113, L$113-L65, 0),M59)</f>
        <v>0</v>
      </c>
      <c r="O66" s="4">
        <f>SUM(P$59:P59)</f>
        <v>0</v>
      </c>
      <c r="P66" s="4">
        <f>IF(O66&gt;=O$113, IF(O65&lt;O$113, O$113-O65, 0),P59)</f>
        <v>0</v>
      </c>
      <c r="R66" s="4">
        <f>SUM(S$59:S59)</f>
        <v>2.5499999999999989</v>
      </c>
      <c r="S66" s="4">
        <f>IF(R66&gt;=R$113, IF(R65&lt;R$113, R$113-R65, 0),S59)</f>
        <v>0</v>
      </c>
      <c r="U66" s="4">
        <f>SUM(V$59:V59)</f>
        <v>19.549999999999997</v>
      </c>
      <c r="V66" s="4">
        <f>IF(U66&gt;=U$113, IF(U65&lt;U$113, U$113-U65, 0),V59)</f>
        <v>0</v>
      </c>
      <c r="X66" s="4">
        <f>SUM(Y$59:Y59)</f>
        <v>50.149999999999991</v>
      </c>
      <c r="Y66" s="4">
        <f>IF(X66&gt;=X$113, IF(X65&lt;X$113, X$113-X65, 0),Y59)</f>
        <v>0</v>
      </c>
      <c r="AG66" s="5"/>
    </row>
    <row r="67" spans="4:33" ht="17" x14ac:dyDescent="0.2">
      <c r="D67" s="22">
        <v>0</v>
      </c>
      <c r="E67" s="14" t="s">
        <v>169</v>
      </c>
      <c r="F67" s="4">
        <f>SUM(G$59:G60)</f>
        <v>0</v>
      </c>
      <c r="G67" s="4">
        <f>IF(F67&gt;=F$113, IF(F66&lt;F$113, F$113-F66, 0),G60)</f>
        <v>0</v>
      </c>
      <c r="I67" s="4">
        <f>SUM(J$59:J60)</f>
        <v>0</v>
      </c>
      <c r="J67" s="4">
        <f>IF(I67&gt;=I$113, IF(I66&lt;I$113, I$113-I66, 0),J60)</f>
        <v>0</v>
      </c>
      <c r="L67" s="4">
        <f>SUM(M$59:M60)</f>
        <v>0</v>
      </c>
      <c r="M67" s="4">
        <f>IF(L67&gt;=L$113, IF(L66&lt;L$113, L$113-L66, 0),M60)</f>
        <v>0</v>
      </c>
      <c r="O67" s="4">
        <f>SUM(P$59:P60)</f>
        <v>0</v>
      </c>
      <c r="P67" s="4">
        <f>IF(O67&gt;=O$113, IF(O66&lt;O$113, O$113-O66, 0),P60)</f>
        <v>0</v>
      </c>
      <c r="R67" s="4">
        <f>SUM(S$59:S60)</f>
        <v>2.5499999999999989</v>
      </c>
      <c r="S67" s="4">
        <f>IF(R67&gt;=R$113, IF(R66&lt;R$113, R$113-R66, 0),S60)</f>
        <v>0</v>
      </c>
      <c r="U67" s="4">
        <f>SUM(V$59:V60)</f>
        <v>21.949999999999996</v>
      </c>
      <c r="V67" s="4">
        <f>IF(U67&gt;=U$113, IF(U66&lt;U$113, U$113-U66, 0),V60)</f>
        <v>0</v>
      </c>
      <c r="X67" s="4">
        <f>SUM(Y$59:Y60)</f>
        <v>68.549999999999983</v>
      </c>
      <c r="Y67" s="4">
        <f>IF(X67&gt;=X$113, IF(X66&lt;X$113, X$113-X66, 0),Y60)</f>
        <v>0</v>
      </c>
      <c r="AG67" s="5"/>
    </row>
    <row r="68" spans="4:33" ht="17" x14ac:dyDescent="0.2">
      <c r="D68" s="22">
        <v>1</v>
      </c>
      <c r="E68" s="14" t="s">
        <v>170</v>
      </c>
      <c r="F68" s="4">
        <f>SUM(G$59:G61)</f>
        <v>0</v>
      </c>
      <c r="G68" s="4">
        <f>IF(F68&gt;=F$113, IF(F67&lt;F$113, F$113-F67, 0),G61)</f>
        <v>0</v>
      </c>
      <c r="I68" s="4">
        <f>SUM(J$59:J61)</f>
        <v>0</v>
      </c>
      <c r="J68" s="4">
        <f>IF(I68&gt;=I$113, IF(I67&lt;I$113, I$113-I67, 0),J61)</f>
        <v>0</v>
      </c>
      <c r="L68" s="4">
        <f>SUM(M$59:M61)</f>
        <v>0</v>
      </c>
      <c r="M68" s="4">
        <f>IF(L68&gt;=L$113, IF(L67&lt;L$113, L$113-L67, 0),M61)</f>
        <v>0</v>
      </c>
      <c r="O68" s="4">
        <f>SUM(P$59:P61)</f>
        <v>0</v>
      </c>
      <c r="P68" s="4">
        <f>IF(O68&gt;=O$113, IF(O67&lt;O$113, O$113-O67, 0),P61)</f>
        <v>0</v>
      </c>
      <c r="R68" s="4">
        <f>SUM(S$59:S61)</f>
        <v>2.5499999999999989</v>
      </c>
      <c r="S68" s="4">
        <f>IF(R68&gt;=R$113, IF(R67&lt;R$113, R$113-R67, 0),S61)</f>
        <v>0</v>
      </c>
      <c r="U68" s="4">
        <f>SUM(V$59:V61)</f>
        <v>21.949999999999996</v>
      </c>
      <c r="V68" s="4">
        <f>IF(U68&gt;=U$113, IF(U67&lt;U$113, U$113-U67, 0),V61)</f>
        <v>0</v>
      </c>
      <c r="X68" s="4">
        <f>SUM(Y$59:Y61)</f>
        <v>71.309999999999988</v>
      </c>
      <c r="Y68" s="4">
        <f>IF(X68&gt;=X$113, IF(X67&lt;X$113, X$113-X67, 0),Y61)</f>
        <v>0</v>
      </c>
      <c r="AG68" s="5"/>
    </row>
    <row r="69" spans="4:33" ht="17" x14ac:dyDescent="0.2">
      <c r="D69" s="22">
        <v>2</v>
      </c>
      <c r="E69" s="14" t="s">
        <v>171</v>
      </c>
      <c r="F69" s="4">
        <f>SUM(G$59:G62)</f>
        <v>0</v>
      </c>
      <c r="G69" s="4">
        <f>IF(F69&gt;=F$113, IF(F68&lt;F$113, F$113-F68, 0),G62)</f>
        <v>0</v>
      </c>
      <c r="I69" s="4">
        <f>SUM(J$59:J62)</f>
        <v>0</v>
      </c>
      <c r="J69" s="4">
        <f>IF(I69&gt;=I$113, IF(I68&lt;I$113, I$113-I68, 0),J62)</f>
        <v>0</v>
      </c>
      <c r="L69" s="4">
        <f>SUM(M$59:M62)</f>
        <v>0</v>
      </c>
      <c r="M69" s="4">
        <f>IF(L69&gt;=L$113, IF(L68&lt;L$113, L$113-L68, 0),M62)</f>
        <v>0</v>
      </c>
      <c r="O69" s="4">
        <f>SUM(P$59:P62)</f>
        <v>0</v>
      </c>
      <c r="P69" s="4">
        <f>IF(O69&gt;=O$113, IF(O68&lt;O$113, O$113-O68, 0),P62)</f>
        <v>0</v>
      </c>
      <c r="R69" s="4">
        <f>SUM(S$59:S62)</f>
        <v>2.5499999999999989</v>
      </c>
      <c r="S69" s="4">
        <f>IF(R69&gt;=R$113, IF(R68&lt;R$113, R$113-R68, 0),S62)</f>
        <v>0</v>
      </c>
      <c r="U69" s="4">
        <f>SUM(V$59:V62)</f>
        <v>21.949999999999996</v>
      </c>
      <c r="V69" s="4">
        <f>IF(U69&gt;=U$113, IF(U68&lt;U$113, U$113-U68, 0),V62)</f>
        <v>0</v>
      </c>
      <c r="X69" s="4">
        <f>SUM(Y$59:Y62)</f>
        <v>71.309999999999988</v>
      </c>
      <c r="Y69" s="4">
        <f>IF(X69&gt;=X$113, IF(X68&lt;X$113, X$113-X68, 0),Y62)</f>
        <v>0</v>
      </c>
      <c r="AG69" s="5"/>
    </row>
    <row r="70" spans="4:33" x14ac:dyDescent="0.2">
      <c r="D70" s="22">
        <v>3</v>
      </c>
      <c r="E70" s="14"/>
      <c r="AG70" s="5"/>
    </row>
    <row r="71" spans="4:33" x14ac:dyDescent="0.2">
      <c r="E71" s="14"/>
      <c r="I71" s="4" t="s">
        <v>147</v>
      </c>
      <c r="L71" s="4" t="s">
        <v>147</v>
      </c>
      <c r="O71" s="4" t="s">
        <v>147</v>
      </c>
      <c r="R71" s="4" t="s">
        <v>147</v>
      </c>
      <c r="U71" s="4" t="s">
        <v>147</v>
      </c>
      <c r="X71" s="4" t="s">
        <v>147</v>
      </c>
      <c r="AG71" s="5"/>
    </row>
    <row r="72" spans="4:33" ht="17" x14ac:dyDescent="0.2">
      <c r="E72" s="14" t="s">
        <v>142</v>
      </c>
      <c r="G72" s="4">
        <f>G47</f>
        <v>0</v>
      </c>
      <c r="I72" s="4">
        <f>IF(G77=0,1,MIN(MAX((G77/G53-$F$15)/($F$17-$F$15), 0), 1))</f>
        <v>1</v>
      </c>
      <c r="J72" s="4">
        <f>J47*I72</f>
        <v>0.01</v>
      </c>
      <c r="L72" s="4">
        <f>IF(J77=0,1,MIN(MAX((J77/J53-$F$15)/($F$17-$F$15), 0), 1))</f>
        <v>1</v>
      </c>
      <c r="M72" s="4">
        <f>M47*L72</f>
        <v>0.05</v>
      </c>
      <c r="O72" s="4">
        <f>IF(M77=0,1,MIN(MAX((M77/M53-$F$15)/($F$17-$F$15), 0), 1))</f>
        <v>1</v>
      </c>
      <c r="P72" s="4">
        <f>P47*O72</f>
        <v>0.12</v>
      </c>
      <c r="R72" s="4">
        <f>IF(P77=0,1,MIN(MAX((P77/P53-$F$15)/($F$17-$F$15), 0), 1))</f>
        <v>1</v>
      </c>
      <c r="S72" s="4">
        <f>S47*R72</f>
        <v>0.2</v>
      </c>
      <c r="U72" s="4">
        <f>IF(S77=0,1,MIN(MAX((S77/S53-$F$15)/($F$17-$F$15), 0), 1))</f>
        <v>1</v>
      </c>
      <c r="V72" s="4">
        <f>V47*U72</f>
        <v>0.36</v>
      </c>
      <c r="X72" s="4">
        <f>IF(V77=0,1,MIN(MAX((V77/V53-$F$15)/($F$17-$F$15), 0), 1))</f>
        <v>1</v>
      </c>
      <c r="Y72" s="4">
        <f>Y47*X72</f>
        <v>0.6</v>
      </c>
      <c r="AG72" s="5"/>
    </row>
    <row r="73" spans="4:33" ht="17" x14ac:dyDescent="0.2">
      <c r="E73" s="14" t="s">
        <v>143</v>
      </c>
      <c r="G73" s="4">
        <f>G48</f>
        <v>0</v>
      </c>
      <c r="I73" s="4">
        <f>IF(G78=0,1,MIN(MAX((G78/G54-$F$15)/($F$17-$F$15), 0), 1))</f>
        <v>1</v>
      </c>
      <c r="J73" s="4">
        <f>J48</f>
        <v>0</v>
      </c>
      <c r="L73" s="4">
        <f>IF(J78=0,1,MIN(MAX((J78/J54-$F$15)/($F$17-$F$15), 0), 1))</f>
        <v>1</v>
      </c>
      <c r="M73" s="4">
        <f>M48</f>
        <v>0.01</v>
      </c>
      <c r="O73" s="4">
        <f>IF(M78=0,1,MIN(MAX((M78/M54-$F$15)/($F$17-$F$15), 0), 1))</f>
        <v>1</v>
      </c>
      <c r="P73" s="4">
        <f>P48</f>
        <v>0.05</v>
      </c>
      <c r="R73" s="4">
        <f>IF(P78=0,1,MIN(MAX((P78/P54-$F$15)/($F$17-$F$15), 0), 1))</f>
        <v>1</v>
      </c>
      <c r="S73" s="4">
        <f>S48</f>
        <v>0.12</v>
      </c>
      <c r="U73" s="4">
        <f>IF(S78=0,1,MIN(MAX((S78/S54-$F$15)/($F$17-$F$15), 0), 1))</f>
        <v>1</v>
      </c>
      <c r="V73" s="4">
        <f>V48</f>
        <v>0.2</v>
      </c>
      <c r="X73" s="4">
        <f>IF(V78=0,1,MIN(MAX((V78/V54-$F$15)/($F$17-$F$15), 0), 1))</f>
        <v>1</v>
      </c>
      <c r="Y73" s="4">
        <f>Y48</f>
        <v>0.36</v>
      </c>
      <c r="AG73" s="5"/>
    </row>
    <row r="74" spans="4:33" ht="17" x14ac:dyDescent="0.2">
      <c r="E74" s="14" t="s">
        <v>144</v>
      </c>
      <c r="G74" s="4">
        <f>G49</f>
        <v>0</v>
      </c>
      <c r="I74" s="4">
        <f>IF(G79=0,1,MIN(MAX((G79/G55-$F$15)/($F$17-$F$15), 0), 1))</f>
        <v>1</v>
      </c>
      <c r="J74" s="4">
        <f>J49</f>
        <v>0</v>
      </c>
      <c r="L74" s="4">
        <f>IF(J79=0,1,MIN(MAX((J79/J55-$F$15)/($F$17-$F$15), 0), 1))</f>
        <v>1</v>
      </c>
      <c r="M74" s="4">
        <f>M49</f>
        <v>0</v>
      </c>
      <c r="O74" s="4">
        <f>IF(M79=0,1,MIN(MAX((M79/M55-$F$15)/($F$17-$F$15), 0), 1))</f>
        <v>1</v>
      </c>
      <c r="P74" s="4">
        <f>P49</f>
        <v>0.01</v>
      </c>
      <c r="R74" s="4">
        <f>IF(P79=0,1,MIN(MAX((P79/P55-$F$15)/($F$17-$F$15), 0), 1))</f>
        <v>1</v>
      </c>
      <c r="S74" s="4">
        <f>S49</f>
        <v>0.05</v>
      </c>
      <c r="U74" s="4">
        <f>IF(S79=0,1,MIN(MAX((S79/S55-$F$15)/($F$17-$F$15), 0), 1))</f>
        <v>1</v>
      </c>
      <c r="V74" s="4">
        <f>V49</f>
        <v>0.12</v>
      </c>
      <c r="X74" s="4">
        <f>IF(V79=0,1,MIN(MAX((V79/V55-$F$15)/($F$17-$F$15), 0), 1))</f>
        <v>1</v>
      </c>
      <c r="Y74" s="4">
        <f>Y49</f>
        <v>0.2</v>
      </c>
      <c r="AG74" s="5"/>
    </row>
    <row r="75" spans="4:33" ht="17" x14ac:dyDescent="0.2">
      <c r="E75" s="14" t="s">
        <v>145</v>
      </c>
      <c r="G75" s="4">
        <f>G50</f>
        <v>0</v>
      </c>
      <c r="I75" s="4">
        <f>IF(G80=0,1,MIN(MAX((G80/G56-$F$15)/($F$17-$F$15), 0), 1))</f>
        <v>1</v>
      </c>
      <c r="J75" s="4">
        <f>J50</f>
        <v>0</v>
      </c>
      <c r="L75" s="4">
        <f>IF(J80=0,1,MIN(MAX((J80/J56-$F$15)/($F$17-$F$15), 0), 1))</f>
        <v>1</v>
      </c>
      <c r="M75" s="4">
        <f>M50</f>
        <v>0</v>
      </c>
      <c r="O75" s="4">
        <f>IF(M80=0,1,MIN(MAX((M80/M56-$F$15)/($F$17-$F$15), 0), 1))</f>
        <v>1</v>
      </c>
      <c r="P75" s="4">
        <f>P50</f>
        <v>0</v>
      </c>
      <c r="R75" s="4">
        <f>IF(P80=0,1,MIN(MAX((P80/P56-$F$15)/($F$17-$F$15), 0), 1))</f>
        <v>1</v>
      </c>
      <c r="S75" s="4">
        <f>S50</f>
        <v>0.01</v>
      </c>
      <c r="U75" s="4">
        <f>IF(S80=0,1,MIN(MAX((S80/S56-$F$15)/($F$17-$F$15), 0), 1))</f>
        <v>1</v>
      </c>
      <c r="V75" s="4">
        <f>V50</f>
        <v>0.05</v>
      </c>
      <c r="X75" s="4">
        <f>IF(V80=0,1,MIN(MAX((V80/V56-$F$15)/($F$17-$F$15), 0), 1))</f>
        <v>1</v>
      </c>
      <c r="Y75" s="4">
        <f>Y50</f>
        <v>0.12</v>
      </c>
      <c r="AG75" s="5"/>
    </row>
    <row r="76" spans="4:33" x14ac:dyDescent="0.2">
      <c r="E76" s="14"/>
      <c r="AG76" s="5"/>
    </row>
    <row r="77" spans="4:33" ht="17" x14ac:dyDescent="0.2">
      <c r="E77" s="14" t="s">
        <v>71</v>
      </c>
      <c r="G77" s="4">
        <f>G47*G41</f>
        <v>0</v>
      </c>
      <c r="J77" s="4">
        <f>G77+J41*J72</f>
        <v>0.85</v>
      </c>
      <c r="M77" s="4">
        <f>J77+M41*M72</f>
        <v>5.0999999999999996</v>
      </c>
      <c r="P77" s="4">
        <f>M77+P41*P72</f>
        <v>15.299999999999999</v>
      </c>
      <c r="S77" s="4">
        <f>P77+S41*S72</f>
        <v>32.299999999999997</v>
      </c>
      <c r="V77" s="4">
        <f>S77+V41*V72</f>
        <v>62.899999999999991</v>
      </c>
      <c r="Y77" s="4">
        <f>V77+Y41*Y72</f>
        <v>113.89999999999999</v>
      </c>
      <c r="AG77" s="5"/>
    </row>
    <row r="78" spans="4:33" ht="17" x14ac:dyDescent="0.2">
      <c r="E78" s="14" t="s">
        <v>72</v>
      </c>
      <c r="G78" s="4">
        <f>G48*G42</f>
        <v>0</v>
      </c>
      <c r="J78" s="4">
        <f>G78+J42*J73</f>
        <v>0</v>
      </c>
      <c r="M78" s="4">
        <f>J78+M42*M73</f>
        <v>0.8</v>
      </c>
      <c r="P78" s="4">
        <f>M78+P42*P73</f>
        <v>4.8</v>
      </c>
      <c r="S78" s="4">
        <f>P78+S42*S73</f>
        <v>14.399999999999999</v>
      </c>
      <c r="V78" s="4">
        <f>S78+V42*V73</f>
        <v>30.4</v>
      </c>
      <c r="Y78" s="4">
        <f>V78+Y42*Y73</f>
        <v>59.199999999999996</v>
      </c>
      <c r="AG78" s="5"/>
    </row>
    <row r="79" spans="4:33" ht="17" x14ac:dyDescent="0.2">
      <c r="E79" s="14" t="s">
        <v>73</v>
      </c>
      <c r="G79" s="4">
        <f>G49*G43</f>
        <v>0</v>
      </c>
      <c r="J79" s="4">
        <f>G79+J43*J74</f>
        <v>0</v>
      </c>
      <c r="M79" s="4">
        <f>J79+M43*M74</f>
        <v>0</v>
      </c>
      <c r="P79" s="4">
        <f>M79+P43*P74</f>
        <v>0.92</v>
      </c>
      <c r="S79" s="4">
        <f>P79+S43*S74</f>
        <v>5.5200000000000005</v>
      </c>
      <c r="V79" s="4">
        <f>S79+V43*V74</f>
        <v>16.559999999999999</v>
      </c>
      <c r="Y79" s="4">
        <f>V79+Y43*Y74</f>
        <v>34.96</v>
      </c>
      <c r="AG79" s="5"/>
    </row>
    <row r="80" spans="4:33" ht="17" x14ac:dyDescent="0.2">
      <c r="D80" s="28" t="s">
        <v>141</v>
      </c>
      <c r="E80" s="14" t="s">
        <v>82</v>
      </c>
      <c r="G80" s="4">
        <f>G50*G44</f>
        <v>0</v>
      </c>
      <c r="J80" s="4">
        <f>G80+J44*J75</f>
        <v>0</v>
      </c>
      <c r="M80" s="4">
        <f>J80+M44*M75</f>
        <v>0</v>
      </c>
      <c r="P80" s="4">
        <f>M80+P44*P75</f>
        <v>0</v>
      </c>
      <c r="S80" s="4">
        <f>P80+S44*S75</f>
        <v>0.43</v>
      </c>
      <c r="V80" s="4">
        <f>S80+V44*V75</f>
        <v>2.58</v>
      </c>
      <c r="Y80" s="4">
        <f>V80+Y44*Y75</f>
        <v>7.74</v>
      </c>
      <c r="AG80" s="5"/>
    </row>
    <row r="81" spans="4:33" x14ac:dyDescent="0.2">
      <c r="D81" s="28"/>
      <c r="E81" s="14"/>
      <c r="AG81" s="5"/>
    </row>
    <row r="82" spans="4:33" ht="17" x14ac:dyDescent="0.2">
      <c r="D82" s="28"/>
      <c r="E82" s="15" t="s">
        <v>155</v>
      </c>
      <c r="F82" s="8" t="s">
        <v>133</v>
      </c>
      <c r="G82" s="8"/>
      <c r="AG82" s="5"/>
    </row>
    <row r="83" spans="4:33" ht="17" x14ac:dyDescent="0.2">
      <c r="D83" s="28"/>
      <c r="E83" s="14" t="s">
        <v>92</v>
      </c>
      <c r="F83" s="4">
        <f>$F$26</f>
        <v>0.3</v>
      </c>
      <c r="G83" s="4">
        <f>$G$26</f>
        <v>0.92</v>
      </c>
      <c r="I83" s="4">
        <f>$F$26</f>
        <v>0.3</v>
      </c>
      <c r="J83" s="4">
        <f>$G$26</f>
        <v>0.92</v>
      </c>
      <c r="L83" s="4">
        <f>$F$26</f>
        <v>0.3</v>
      </c>
      <c r="M83" s="4">
        <f>$G$26</f>
        <v>0.92</v>
      </c>
      <c r="O83" s="4">
        <f>$F$26</f>
        <v>0.3</v>
      </c>
      <c r="P83" s="4">
        <f>$G$26</f>
        <v>0.92</v>
      </c>
      <c r="R83" s="4">
        <f>$F$26</f>
        <v>0.3</v>
      </c>
      <c r="S83" s="4">
        <f>$G$26</f>
        <v>0.92</v>
      </c>
      <c r="U83" s="4">
        <f>$F$26</f>
        <v>0.3</v>
      </c>
      <c r="V83" s="4">
        <f>$G$26</f>
        <v>0.92</v>
      </c>
      <c r="X83" s="4">
        <f>$F$26</f>
        <v>0.3</v>
      </c>
      <c r="Y83" s="4">
        <f>$G$26</f>
        <v>0.92</v>
      </c>
      <c r="AG83" s="5"/>
    </row>
    <row r="84" spans="4:33" x14ac:dyDescent="0.2">
      <c r="E84" s="14"/>
      <c r="AG84" s="5"/>
    </row>
    <row r="85" spans="4:33" ht="17" x14ac:dyDescent="0.2">
      <c r="E85" s="14" t="s">
        <v>156</v>
      </c>
      <c r="F85" s="4">
        <f>F13*$F$18</f>
        <v>1492500</v>
      </c>
      <c r="G85" s="4">
        <f>G13*$G$18</f>
        <v>24990000</v>
      </c>
      <c r="I85" s="4">
        <f>(I8-I9)*$F$18</f>
        <v>1483200</v>
      </c>
      <c r="J85" s="4">
        <f>(J8-J9)*$G$18</f>
        <v>24987500</v>
      </c>
      <c r="L85" s="4">
        <f>(L8-L9)*$F$18</f>
        <v>1474500</v>
      </c>
      <c r="M85" s="4">
        <f>(M8-M9)*$G$18</f>
        <v>24986100</v>
      </c>
      <c r="O85" s="4">
        <f>(O8-O9)*$F$18</f>
        <v>1464000</v>
      </c>
      <c r="P85" s="4">
        <f>(P8-P9)*$G$18</f>
        <v>24976100</v>
      </c>
      <c r="R85" s="4">
        <f>(R8-R9)*$F$18</f>
        <v>1449000</v>
      </c>
      <c r="S85" s="4">
        <f>(S8-S9)*$G$18</f>
        <v>24976500</v>
      </c>
      <c r="U85" s="4">
        <f>(U8-U9)*$F$18</f>
        <v>1434300</v>
      </c>
      <c r="V85" s="4">
        <f>(V8-V9)*$G$18</f>
        <v>24975200</v>
      </c>
      <c r="X85" s="4">
        <f>(X8-X9)*$F$18</f>
        <v>1419600</v>
      </c>
      <c r="Y85" s="4">
        <f>(Y8-Y9)*$G$18</f>
        <v>24969000</v>
      </c>
      <c r="AG85" s="5"/>
    </row>
    <row r="86" spans="4:33" ht="17" x14ac:dyDescent="0.2">
      <c r="E86" s="14" t="s">
        <v>83</v>
      </c>
      <c r="AG86" s="5"/>
    </row>
    <row r="87" spans="4:33" x14ac:dyDescent="0.2">
      <c r="E87" s="14"/>
      <c r="AG87" s="5"/>
    </row>
    <row r="88" spans="4:33" ht="17" x14ac:dyDescent="0.2">
      <c r="E88" s="14" t="s">
        <v>198</v>
      </c>
      <c r="F88" s="4">
        <v>1</v>
      </c>
      <c r="G88" s="4">
        <v>1</v>
      </c>
      <c r="I88" s="4">
        <f>IF(F91=0,0,MIN(MAX((F91/F85-$F$15)/($F$17-$F$15), 0), 1))</f>
        <v>1</v>
      </c>
      <c r="J88" s="4">
        <f>IF(G91=0,0,MIN(MAX((G91/G85-$F$15)/($F$17-$F$15), 0), 1))</f>
        <v>1</v>
      </c>
      <c r="L88" s="4">
        <f>IF(I91=0,0,MIN(MAX((I91/I85-$F$15)/($F$17-$F$15), 0), 1))</f>
        <v>1</v>
      </c>
      <c r="M88" s="4">
        <f>IF(J91=0,0,MIN(MAX((J91/J85-$F$15)/($F$17-$F$15), 0), 1))</f>
        <v>1</v>
      </c>
      <c r="O88" s="4">
        <f>IF(L91=0,0,MIN(MAX((L91/L85-$F$15)/($F$17-$F$15), 0), 1))</f>
        <v>1</v>
      </c>
      <c r="P88" s="4">
        <f>IF(M91=0,0,MIN(MAX((M91/M85-$F$15)/($F$17-$F$15), 0), 1))</f>
        <v>1</v>
      </c>
      <c r="R88" s="4">
        <f>IF(O91=0,0,MIN(MAX((O91/O85-$F$15)/($F$17-$F$15), 0), 1))</f>
        <v>1</v>
      </c>
      <c r="S88" s="4">
        <f>IF(P91=0,0,MIN(MAX((P91/P85-$F$15)/($F$17-$F$15), 0), 1))</f>
        <v>1</v>
      </c>
      <c r="U88" s="4">
        <f>IF(R91=0,0,MIN(MAX((R91/R85-$F$15)/($F$17-$F$15), 0), 1))</f>
        <v>1</v>
      </c>
      <c r="V88" s="4">
        <f>IF(S91=0,0,MIN(MAX((S91/S85-$F$15)/($F$17-$F$15), 0), 1))</f>
        <v>1</v>
      </c>
      <c r="X88" s="4">
        <f>IF(U91=0,0,MIN(MAX((U91/U85-$F$15)/($F$17-$F$15), 0), 1))</f>
        <v>1</v>
      </c>
      <c r="Y88" s="4">
        <f>IF(V91=0,0,MIN(MAX((V91/V85-$F$15)/($F$17-$F$15), 0), 1))</f>
        <v>0.95265818035259087</v>
      </c>
      <c r="AG88" s="5"/>
    </row>
    <row r="89" spans="4:33" ht="17" x14ac:dyDescent="0.2">
      <c r="E89" s="14" t="s">
        <v>142</v>
      </c>
      <c r="F89" s="4">
        <f>F83</f>
        <v>0.3</v>
      </c>
      <c r="G89" s="4">
        <f>G83</f>
        <v>0.92</v>
      </c>
      <c r="I89" s="4">
        <f xml:space="preserve"> I83*I88</f>
        <v>0.3</v>
      </c>
      <c r="J89" s="4">
        <f>J83*J88</f>
        <v>0.92</v>
      </c>
      <c r="L89" s="4">
        <f xml:space="preserve"> L83*L88</f>
        <v>0.3</v>
      </c>
      <c r="M89" s="4">
        <f>M83*M88</f>
        <v>0.92</v>
      </c>
      <c r="O89" s="4">
        <f xml:space="preserve"> O83*O88</f>
        <v>0.3</v>
      </c>
      <c r="P89" s="4">
        <f>P83*P88</f>
        <v>0.92</v>
      </c>
      <c r="R89" s="4">
        <f xml:space="preserve"> R83*R88</f>
        <v>0.3</v>
      </c>
      <c r="S89" s="4">
        <f>S83*S88</f>
        <v>0.92</v>
      </c>
      <c r="U89" s="4">
        <f xml:space="preserve"> U83*U88</f>
        <v>0.3</v>
      </c>
      <c r="V89" s="4">
        <f>V83*V88</f>
        <v>0.92</v>
      </c>
      <c r="X89" s="4">
        <f xml:space="preserve"> X83*X88</f>
        <v>0.3</v>
      </c>
      <c r="Y89" s="4">
        <f>Y83*Y88</f>
        <v>0.87644552592438363</v>
      </c>
      <c r="AG89" s="5"/>
    </row>
    <row r="90" spans="4:33" x14ac:dyDescent="0.2">
      <c r="E90" s="14"/>
      <c r="AG90" s="5"/>
    </row>
    <row r="91" spans="4:33" ht="17" x14ac:dyDescent="0.2">
      <c r="E91" s="14" t="s">
        <v>161</v>
      </c>
      <c r="F91" s="4">
        <f>F13*F18</f>
        <v>1492500</v>
      </c>
      <c r="G91" s="4">
        <f>G13*G18</f>
        <v>24990000</v>
      </c>
      <c r="I91" s="4">
        <f>F91-F114-F102+I89*I13</f>
        <v>1416339.7269022067</v>
      </c>
      <c r="J91" s="4">
        <f>G91-G114-G102+J89*J13</f>
        <v>23281433.473097794</v>
      </c>
      <c r="L91" s="4">
        <f>I91-I114-I102+L89*L13</f>
        <v>1336122.1432664045</v>
      </c>
      <c r="M91" s="4">
        <f>J91-J114-J102+M89*M13</f>
        <v>21525187.163012162</v>
      </c>
      <c r="O91" s="4">
        <f>L91-L114-L102+O89*O13</f>
        <v>1269232.4046145945</v>
      </c>
      <c r="P91" s="4">
        <f>M91-M114-M102+P89*P13</f>
        <v>19698561.729234692</v>
      </c>
      <c r="R91" s="4">
        <f>O91-O114-O102+R89*R13</f>
        <v>1196486.834842422</v>
      </c>
      <c r="S91" s="4">
        <f>P91-P114-P102+S89*S13</f>
        <v>17769451.427733306</v>
      </c>
      <c r="U91" s="4">
        <f>R91-R114-R102+U89*U13</f>
        <v>1130676.5672029681</v>
      </c>
      <c r="V91" s="4">
        <f>S91-S114-S102+V89*V13</f>
        <v>15942377.523995219</v>
      </c>
      <c r="X91" s="4">
        <f>U91-U114-U102+X89*X13</f>
        <v>1074653.945428398</v>
      </c>
      <c r="Y91" s="4">
        <f>V91-V114-V102+Y89*Y13</f>
        <v>13991396.598313769</v>
      </c>
      <c r="AG91" s="5"/>
    </row>
    <row r="92" spans="4:33" ht="17" x14ac:dyDescent="0.2">
      <c r="E92" s="14" t="s">
        <v>157</v>
      </c>
      <c r="F92" s="4">
        <f>F91/F13</f>
        <v>150</v>
      </c>
      <c r="G92" s="4">
        <f>G91/G13</f>
        <v>100</v>
      </c>
      <c r="I92" s="4">
        <f>I91/I13</f>
        <v>143.23824098930083</v>
      </c>
      <c r="J92" s="4">
        <f>J91/J13</f>
        <v>93.204025273621014</v>
      </c>
      <c r="L92" s="4">
        <f>L91/L13</f>
        <v>135.92290368935957</v>
      </c>
      <c r="M92" s="4">
        <f>M91/M13</f>
        <v>86.205574630799703</v>
      </c>
      <c r="O92" s="4">
        <f>O91/O13</f>
        <v>130.04430375149533</v>
      </c>
      <c r="P92" s="4">
        <f>P91/P13</f>
        <v>78.950885473718628</v>
      </c>
      <c r="R92" s="4">
        <f>R91/R13</f>
        <v>123.85992079114099</v>
      </c>
      <c r="S92" s="4">
        <f>S91/S13</f>
        <v>71.230238421154496</v>
      </c>
      <c r="U92" s="4">
        <f>U91/U13</f>
        <v>118.24686960917884</v>
      </c>
      <c r="V92" s="4">
        <f>V91/V13</f>
        <v>63.933179034308708</v>
      </c>
      <c r="X92" s="4">
        <f>X91/X13</f>
        <v>113.55176938169886</v>
      </c>
      <c r="Y92" s="4">
        <f>Y91/Y13</f>
        <v>56.132862322977552</v>
      </c>
      <c r="AG92" s="5"/>
    </row>
    <row r="93" spans="4:33" ht="17" x14ac:dyDescent="0.2">
      <c r="E93" s="14" t="s">
        <v>159</v>
      </c>
      <c r="F93" s="4">
        <f>MAX(F91-$F$19*F13,0)</f>
        <v>1491007.5</v>
      </c>
      <c r="G93" s="4">
        <f>MAX(G91-$G$19*G13,0)</f>
        <v>24965010</v>
      </c>
      <c r="I93" s="4">
        <f>MAX(I91-$F$19*I13,0)</f>
        <v>1414856.5269022067</v>
      </c>
      <c r="J93" s="4">
        <f>MAX(J91-$G$19*J13,0)</f>
        <v>23256454.473097794</v>
      </c>
      <c r="L93" s="4">
        <f>MAX(L91-$F$19*L13,0)</f>
        <v>1334647.6432664045</v>
      </c>
      <c r="M93" s="4">
        <f>MAX(M91-$G$19*M13,0)</f>
        <v>21500217.56301216</v>
      </c>
      <c r="O93" s="4">
        <f>MAX(O91-$F$19*O13,0)</f>
        <v>1267768.4046145945</v>
      </c>
      <c r="P93" s="4">
        <f>MAX(P91-$G$19*P13,0)</f>
        <v>19673611.329234693</v>
      </c>
      <c r="R93" s="4">
        <f>MAX(R91-$F$19*R13,0)</f>
        <v>1195037.834842422</v>
      </c>
      <c r="S93" s="4">
        <f>MAX(S91-$G$19*S13,0)</f>
        <v>17744504.927733306</v>
      </c>
      <c r="U93" s="4">
        <f>MAX(U91-$F$19*U13,0)</f>
        <v>1129242.267202968</v>
      </c>
      <c r="V93" s="4">
        <f>MAX(V91-$G$19*V13,0)</f>
        <v>15917441.523995219</v>
      </c>
      <c r="X93" s="4">
        <f>MAX(X91-$F$19*X13,0)</f>
        <v>1073234.3454283979</v>
      </c>
      <c r="Y93" s="4">
        <f>MAX(Y91-$G$19*Y13,0)</f>
        <v>13966471.098313769</v>
      </c>
      <c r="AB93" t="s">
        <v>86</v>
      </c>
      <c r="AG93" s="5"/>
    </row>
    <row r="94" spans="4:33" x14ac:dyDescent="0.2">
      <c r="AB94" t="s">
        <v>87</v>
      </c>
      <c r="AG94" s="5"/>
    </row>
    <row r="95" spans="4:33" x14ac:dyDescent="0.2">
      <c r="E95" s="14"/>
      <c r="AG95" s="5"/>
    </row>
    <row r="96" spans="4:33" x14ac:dyDescent="0.2">
      <c r="E96" s="13"/>
      <c r="AG96" s="5"/>
    </row>
    <row r="97" spans="5:34" ht="17" x14ac:dyDescent="0.2">
      <c r="E97" s="11" t="s">
        <v>58</v>
      </c>
      <c r="F97" s="12"/>
      <c r="G97" s="12"/>
      <c r="I97" s="12"/>
      <c r="J97" s="12"/>
      <c r="L97" s="12"/>
      <c r="M97" s="12"/>
      <c r="O97" s="12"/>
      <c r="P97" s="12"/>
      <c r="R97" s="12"/>
      <c r="S97" s="12"/>
      <c r="U97" s="12"/>
      <c r="V97" s="12"/>
      <c r="X97" s="12"/>
      <c r="Y97" s="12"/>
      <c r="AG97" s="5"/>
    </row>
    <row r="98" spans="5:34" ht="17" x14ac:dyDescent="0.2">
      <c r="E98" s="10" t="s">
        <v>129</v>
      </c>
      <c r="F98" s="4">
        <f>F92*F7</f>
        <v>1500000</v>
      </c>
      <c r="G98" s="4">
        <f>G92*G7</f>
        <v>25000000</v>
      </c>
      <c r="I98" s="4">
        <f>I92*I7</f>
        <v>1425220.4978435433</v>
      </c>
      <c r="J98" s="4">
        <f>J92*J7</f>
        <v>23291685.91587789</v>
      </c>
      <c r="L98" s="4">
        <f>L92*L7</f>
        <v>1344005.6716803873</v>
      </c>
      <c r="M98" s="4">
        <f>M92*M7</f>
        <v>21533290.487027459</v>
      </c>
      <c r="O98" s="4">
        <f>O92*O7</f>
        <v>1278335.5058771991</v>
      </c>
      <c r="P98" s="4">
        <f>P92*P7</f>
        <v>19713720.299245648</v>
      </c>
      <c r="R98" s="4">
        <f>R92*R7</f>
        <v>1208872.8269215361</v>
      </c>
      <c r="S98" s="4">
        <f>S92*S7</f>
        <v>17772229.40703173</v>
      </c>
      <c r="U98" s="4">
        <f>U92*U7</f>
        <v>1142264.7604246677</v>
      </c>
      <c r="V98" s="4">
        <f>V92*V7</f>
        <v>15949090.507793821</v>
      </c>
      <c r="X98" s="4">
        <f>X92*X7</f>
        <v>1085782.0188278046</v>
      </c>
      <c r="Y98" s="4">
        <f>Y92*Y7</f>
        <v>13997290.548857681</v>
      </c>
      <c r="AG98" s="5"/>
    </row>
    <row r="99" spans="5:34" ht="17" x14ac:dyDescent="0.2">
      <c r="E99" s="10" t="s">
        <v>130</v>
      </c>
      <c r="G99" s="4">
        <f>SUM(G77:G80)</f>
        <v>0</v>
      </c>
      <c r="J99" s="4">
        <f>SUM(J77:J80)</f>
        <v>0.85</v>
      </c>
      <c r="M99" s="4">
        <f>SUM(M77:M80)</f>
        <v>5.8999999999999995</v>
      </c>
      <c r="P99" s="4">
        <f>SUM(P77:P80)</f>
        <v>21.02</v>
      </c>
      <c r="S99" s="4">
        <f>SUM(S77:S80)</f>
        <v>52.65</v>
      </c>
      <c r="V99" s="4">
        <f>SUM(V77:V80)</f>
        <v>112.43999999999998</v>
      </c>
      <c r="Y99" s="4">
        <f>SUM(Y77:Y80)</f>
        <v>215.8</v>
      </c>
      <c r="AG99" s="5"/>
    </row>
    <row r="100" spans="5:34" ht="17" x14ac:dyDescent="0.2">
      <c r="E100" s="10" t="s">
        <v>127</v>
      </c>
      <c r="F100" s="4">
        <f>F98+F99</f>
        <v>1500000</v>
      </c>
      <c r="G100" s="4">
        <f>G98+G99</f>
        <v>25000000</v>
      </c>
      <c r="I100" s="4">
        <f>I98+I99</f>
        <v>1425220.4978435433</v>
      </c>
      <c r="J100" s="4">
        <f>J98+J99</f>
        <v>23291686.765877891</v>
      </c>
      <c r="L100" s="4">
        <f>L98+L99</f>
        <v>1344005.6716803873</v>
      </c>
      <c r="M100" s="4">
        <f>M98+M99</f>
        <v>21533296.387027457</v>
      </c>
      <c r="O100" s="4">
        <f>O98+O99</f>
        <v>1278335.5058771991</v>
      </c>
      <c r="P100" s="4">
        <f>P98+P99</f>
        <v>19713741.319245648</v>
      </c>
      <c r="R100" s="4">
        <f>R98+R99</f>
        <v>1208872.8269215361</v>
      </c>
      <c r="S100" s="4">
        <f>S98+S99</f>
        <v>17772282.057031728</v>
      </c>
      <c r="U100" s="4">
        <f>U98+U99</f>
        <v>1142264.7604246677</v>
      </c>
      <c r="V100" s="4">
        <f>V98+V99</f>
        <v>15949202.947793821</v>
      </c>
      <c r="X100" s="4">
        <f>X98+X99</f>
        <v>1085782.0188278046</v>
      </c>
      <c r="Y100" s="4">
        <f>Y98+Y99</f>
        <v>13997506.348857682</v>
      </c>
      <c r="AG100" s="5"/>
    </row>
    <row r="101" spans="5:34" x14ac:dyDescent="0.2">
      <c r="AG101" s="5"/>
    </row>
    <row r="102" spans="5:34" ht="17" x14ac:dyDescent="0.2">
      <c r="E102" s="10" t="s">
        <v>200</v>
      </c>
      <c r="F102" s="4">
        <f>F9*F92</f>
        <v>7500</v>
      </c>
      <c r="G102" s="4">
        <f>G9*G92</f>
        <v>10000</v>
      </c>
      <c r="I102" s="4">
        <f>I9*I92</f>
        <v>8880.770941336652</v>
      </c>
      <c r="J102" s="4">
        <f>J9*J92</f>
        <v>10252.442780098312</v>
      </c>
      <c r="L102" s="4">
        <f>L9*L92</f>
        <v>7883.5284139828555</v>
      </c>
      <c r="M102" s="4">
        <f>M9*M92</f>
        <v>8103.3240152951721</v>
      </c>
      <c r="O102" s="4">
        <f>O9*O92</f>
        <v>9103.101262604674</v>
      </c>
      <c r="P102" s="4">
        <f>P9*P92</f>
        <v>15158.570010953976</v>
      </c>
      <c r="R102" s="4">
        <f>R9*R92</f>
        <v>12385.992079114099</v>
      </c>
      <c r="S102" s="4">
        <f>S9*S92</f>
        <v>2777.9792984250253</v>
      </c>
      <c r="U102" s="4">
        <f>U9*U92</f>
        <v>11588.193221699526</v>
      </c>
      <c r="V102" s="4">
        <f>V9*V92</f>
        <v>6712.983798602414</v>
      </c>
      <c r="X102" s="4">
        <f>X9*X92</f>
        <v>11128.073399406489</v>
      </c>
      <c r="Y102" s="4">
        <f>Y9*Y92</f>
        <v>5893.9505439126433</v>
      </c>
      <c r="AG102" s="5"/>
    </row>
    <row r="103" spans="5:34" ht="17" x14ac:dyDescent="0.2">
      <c r="E103" s="10" t="s">
        <v>135</v>
      </c>
      <c r="F103" s="4">
        <f>F102*$F$14</f>
        <v>5250</v>
      </c>
      <c r="G103" s="4">
        <f>G102*$F$14</f>
        <v>7000</v>
      </c>
      <c r="I103" s="4">
        <f>I102*$F$14</f>
        <v>6216.539658935656</v>
      </c>
      <c r="J103" s="4">
        <f>J102*$F$14</f>
        <v>7176.7099460688178</v>
      </c>
      <c r="L103" s="4">
        <f>L102*$F$14</f>
        <v>5518.4698897879989</v>
      </c>
      <c r="M103" s="4">
        <f>M102*$F$14</f>
        <v>5672.3268107066206</v>
      </c>
      <c r="O103" s="4">
        <f>O102*$F$14</f>
        <v>6372.1708838232717</v>
      </c>
      <c r="P103" s="4">
        <f>P102*$F$14</f>
        <v>10610.999007667782</v>
      </c>
      <c r="R103" s="4">
        <f>R102*$F$14</f>
        <v>8670.1944553798694</v>
      </c>
      <c r="S103" s="4">
        <f>S102*$F$14</f>
        <v>1944.5855088975175</v>
      </c>
      <c r="U103" s="4">
        <f>U102*$F$14</f>
        <v>8111.7352551896684</v>
      </c>
      <c r="V103" s="4">
        <f>V102*$F$14</f>
        <v>4699.0886590216896</v>
      </c>
      <c r="X103" s="4">
        <f>X102*$F$14</f>
        <v>7789.6513795845412</v>
      </c>
      <c r="Y103" s="4">
        <f>Y102*$F$14</f>
        <v>4125.7653807388497</v>
      </c>
      <c r="AG103" s="5"/>
    </row>
    <row r="104" spans="5:34" ht="17" x14ac:dyDescent="0.2">
      <c r="E104" s="10" t="s">
        <v>201</v>
      </c>
      <c r="F104" s="4">
        <f>F102*(1-$F$14)</f>
        <v>2250.0000000000005</v>
      </c>
      <c r="G104" s="4">
        <f>G102*(1-$F$14)</f>
        <v>3000.0000000000005</v>
      </c>
      <c r="I104" s="4">
        <f>I102*(1-$F$14)</f>
        <v>2664.231282400996</v>
      </c>
      <c r="J104" s="4">
        <f>J102*(1-$F$14)</f>
        <v>3075.7328340294939</v>
      </c>
      <c r="L104" s="4">
        <f>L102*(1-$F$14)</f>
        <v>2365.058524194857</v>
      </c>
      <c r="M104" s="4">
        <f>M102*(1-$F$14)</f>
        <v>2430.997204588552</v>
      </c>
      <c r="O104" s="4">
        <f>O102*(1-$F$14)</f>
        <v>2730.9303787814024</v>
      </c>
      <c r="P104" s="4">
        <f>P102*(1-$F$14)</f>
        <v>4547.5710032861934</v>
      </c>
      <c r="R104" s="4">
        <f>R102*(1-$F$14)</f>
        <v>3715.7976237342305</v>
      </c>
      <c r="S104" s="4">
        <f>S102*(1-$F$14)</f>
        <v>833.39378952750769</v>
      </c>
      <c r="U104" s="4">
        <f>U102*(1-$F$14)</f>
        <v>3476.4579665098586</v>
      </c>
      <c r="V104" s="4">
        <f>V102*(1-$F$14)</f>
        <v>2013.8951395807246</v>
      </c>
      <c r="X104" s="4">
        <f>X102*(1-$F$14)</f>
        <v>3338.4220198219468</v>
      </c>
      <c r="Y104" s="4">
        <f>Y102*(1-$F$14)</f>
        <v>1768.1851631737932</v>
      </c>
      <c r="AG104" s="5"/>
    </row>
    <row r="105" spans="5:34" ht="17" x14ac:dyDescent="0.2">
      <c r="E105" s="10" t="s">
        <v>202</v>
      </c>
      <c r="AG105" s="5"/>
    </row>
    <row r="106" spans="5:34" x14ac:dyDescent="0.2">
      <c r="Z106">
        <v>1.1000000000000001</v>
      </c>
      <c r="AA106">
        <f>SUM(Z$6:Z106)</f>
        <v>1.1000000000000001</v>
      </c>
      <c r="AB106">
        <v>20</v>
      </c>
      <c r="AG106" s="5"/>
    </row>
    <row r="107" spans="5:34" ht="34" x14ac:dyDescent="0.2">
      <c r="E107" s="10" t="s">
        <v>128</v>
      </c>
      <c r="F107" s="4">
        <f>MAX(F13-F24, 0)*F116</f>
        <v>741757.5</v>
      </c>
      <c r="G107" s="4">
        <f>MAX(G13-G24, 0)*G116</f>
        <v>19970010</v>
      </c>
      <c r="I107" s="4">
        <f>MAX(I13-I24, 0)*I116</f>
        <v>700148.52195570245</v>
      </c>
      <c r="J107" s="4">
        <f>MAX(J13-J24, 0)*J116</f>
        <v>18621232.209416743</v>
      </c>
      <c r="L107" s="4">
        <f>MAX(L13-L24, 0)*L116</f>
        <v>520584.72113024717</v>
      </c>
      <c r="M107" s="4">
        <f>MAX(M13-M24, 0)*M116</f>
        <v>17214908.431472179</v>
      </c>
      <c r="O107" s="4">
        <f>MAX(O13-O24, 0)*O116</f>
        <v>488966.58210562245</v>
      </c>
      <c r="P107" s="4">
        <f>MAX(P13-P24, 0)*P116</f>
        <v>15751017.455548761</v>
      </c>
      <c r="R107" s="4">
        <f>MAX(R13-R24, 0)*R116</f>
        <v>391397.34970000555</v>
      </c>
      <c r="S107" s="4">
        <f>MAX(S13-S24, 0)*S116</f>
        <v>14279169.745096736</v>
      </c>
      <c r="U107" s="4">
        <f>MAX(U13-U24, 0)*U116</f>
        <v>279299.10601688048</v>
      </c>
      <c r="V107" s="4">
        <f>MAX(V13-V24, 0)*V116</f>
        <v>12777685.161796939</v>
      </c>
      <c r="X107" s="4">
        <f>MAX(X13-X24, 0)*X116</f>
        <v>257081.20588016626</v>
      </c>
      <c r="Y107" s="4">
        <f>MAX(Y13-Y24, 0)*Y116</f>
        <v>11212819.913326381</v>
      </c>
      <c r="AG107" s="5">
        <v>5495710</v>
      </c>
      <c r="AH107">
        <f t="shared" si="0"/>
        <v>1373928</v>
      </c>
    </row>
    <row r="108" spans="5:34" x14ac:dyDescent="0.2">
      <c r="AG108" s="5"/>
    </row>
    <row r="109" spans="5:34" ht="17" x14ac:dyDescent="0.2">
      <c r="E109" s="15" t="s">
        <v>74</v>
      </c>
      <c r="F109" s="8"/>
      <c r="G109" s="8"/>
      <c r="I109" s="8"/>
      <c r="J109" s="8"/>
      <c r="L109" s="8"/>
      <c r="M109" s="8"/>
      <c r="O109" s="8"/>
      <c r="P109" s="8"/>
      <c r="R109" s="8"/>
      <c r="S109" s="8"/>
      <c r="U109" s="8"/>
      <c r="V109" s="8"/>
      <c r="X109" s="8"/>
      <c r="Y109" s="8"/>
      <c r="AG109" s="5"/>
    </row>
    <row r="110" spans="5:34" ht="17" x14ac:dyDescent="0.2">
      <c r="E110" s="10" t="s">
        <v>126</v>
      </c>
      <c r="F110" s="4">
        <f>MIN(F121,F29)</f>
        <v>2000000</v>
      </c>
      <c r="I110" s="4">
        <f>MIN(I121,I29)</f>
        <v>2050000</v>
      </c>
      <c r="L110" s="4">
        <f>MIN(L121,L29)</f>
        <v>2110000</v>
      </c>
      <c r="O110" s="4">
        <f>MIN(O121,O29)</f>
        <v>2210000</v>
      </c>
      <c r="R110" s="4">
        <f>MIN(R121,R29)</f>
        <v>2110000</v>
      </c>
      <c r="U110" s="4">
        <f>MIN(U121,U29)</f>
        <v>2210000</v>
      </c>
      <c r="X110" s="4">
        <f>MIN(X121,X29)</f>
        <v>2350000</v>
      </c>
      <c r="AG110" s="5"/>
    </row>
    <row r="111" spans="5:34" ht="17" x14ac:dyDescent="0.2">
      <c r="E111" s="10" t="s">
        <v>132</v>
      </c>
      <c r="F111" s="4">
        <f>F29-F110</f>
        <v>0</v>
      </c>
      <c r="I111" s="4">
        <f>I29-I110</f>
        <v>0</v>
      </c>
      <c r="L111" s="4">
        <f>L29-L110</f>
        <v>0</v>
      </c>
      <c r="O111" s="4">
        <f>O29-O110</f>
        <v>0</v>
      </c>
      <c r="R111" s="4">
        <f>R29-R110</f>
        <v>0</v>
      </c>
      <c r="U111" s="4">
        <f>U29-U110</f>
        <v>0</v>
      </c>
      <c r="X111" s="4">
        <f>X29-X110</f>
        <v>0</v>
      </c>
      <c r="AG111" s="5"/>
    </row>
    <row r="112" spans="5:34" ht="17" x14ac:dyDescent="0.2">
      <c r="E112" s="10" t="s">
        <v>199</v>
      </c>
      <c r="F112" s="4">
        <f>MIN(F29,F110)</f>
        <v>2000000</v>
      </c>
      <c r="I112" s="4">
        <f>MIN(I29,I110)</f>
        <v>2050000</v>
      </c>
      <c r="L112" s="4">
        <f>MIN(L29,L110)</f>
        <v>2110000</v>
      </c>
      <c r="O112" s="4">
        <f>MIN(O29,O110)</f>
        <v>2210000</v>
      </c>
      <c r="R112" s="4">
        <f>MIN(R29,R110)</f>
        <v>2110000</v>
      </c>
      <c r="U112" s="4">
        <f>MIN(U29,U110)</f>
        <v>2210000</v>
      </c>
      <c r="X112" s="4">
        <f>MIN(X29,X110)</f>
        <v>2350000</v>
      </c>
      <c r="AG112" s="5"/>
    </row>
    <row r="113" spans="4:34" ht="17" x14ac:dyDescent="0.2">
      <c r="E113" s="10" t="s">
        <v>165</v>
      </c>
      <c r="F113" s="4">
        <f>MIN(F111,G63)</f>
        <v>0</v>
      </c>
      <c r="I113" s="4">
        <f>MIN(I111,J63)</f>
        <v>0</v>
      </c>
      <c r="L113" s="4">
        <f>MIN(L111,M63)</f>
        <v>0</v>
      </c>
      <c r="O113" s="4">
        <f>MIN(O111,P63)</f>
        <v>0</v>
      </c>
      <c r="R113" s="4">
        <f>MIN(R111,S63)</f>
        <v>0</v>
      </c>
      <c r="U113" s="4">
        <f>MIN(U111,V63)</f>
        <v>0</v>
      </c>
      <c r="X113" s="4">
        <f>MIN(X111,Y63)</f>
        <v>0</v>
      </c>
      <c r="AG113" s="5"/>
    </row>
    <row r="114" spans="4:34" ht="17" x14ac:dyDescent="0.2">
      <c r="E114" s="10" t="s">
        <v>158</v>
      </c>
      <c r="F114" s="4">
        <f>F122*F112</f>
        <v>71626.673097793318</v>
      </c>
      <c r="G114" s="4">
        <f>G122*F112</f>
        <v>1928373.3269022068</v>
      </c>
      <c r="I114" s="4">
        <f>I122*I112</f>
        <v>74285.812694465581</v>
      </c>
      <c r="J114" s="4">
        <f>J122*I112</f>
        <v>1975714.1873055343</v>
      </c>
      <c r="L114" s="4">
        <f>L122*L112</f>
        <v>61934.210237827094</v>
      </c>
      <c r="M114" s="4">
        <f>M122*L112</f>
        <v>2048065.7897621728</v>
      </c>
      <c r="O114" s="4">
        <f>O122*O112</f>
        <v>66540.468509567829</v>
      </c>
      <c r="P114" s="4">
        <f>P122*O112</f>
        <v>2143459.5314904321</v>
      </c>
      <c r="R114" s="4">
        <f>R122*R112</f>
        <v>56292.875560339999</v>
      </c>
      <c r="S114" s="4">
        <f>S122*R112</f>
        <v>2053707.12443966</v>
      </c>
      <c r="U114" s="4">
        <f>U122*U112</f>
        <v>47273.628552870621</v>
      </c>
      <c r="V114" s="4">
        <f>V122*U112</f>
        <v>2162726.3714471292</v>
      </c>
      <c r="X114" s="4">
        <f>X122*X112</f>
        <v>52671.843247780613</v>
      </c>
      <c r="Y114" s="4">
        <f>Y122*X112</f>
        <v>2297328.1567522194</v>
      </c>
      <c r="AG114" s="5"/>
    </row>
    <row r="115" spans="4:34" ht="17" x14ac:dyDescent="0.2">
      <c r="E115" s="15" t="s">
        <v>75</v>
      </c>
      <c r="F115" s="8"/>
      <c r="G115" s="8"/>
      <c r="I115" s="8"/>
      <c r="J115" s="8"/>
      <c r="L115" s="8"/>
      <c r="M115" s="8"/>
      <c r="O115" s="8"/>
      <c r="P115" s="8"/>
      <c r="R115" s="8"/>
      <c r="S115" s="8"/>
      <c r="U115" s="8"/>
      <c r="V115" s="8"/>
      <c r="X115" s="8"/>
      <c r="Y115" s="8"/>
      <c r="AG115" s="5"/>
    </row>
    <row r="116" spans="4:34" ht="34" x14ac:dyDescent="0.2">
      <c r="E116" s="10" t="s">
        <v>76</v>
      </c>
      <c r="F116" s="4">
        <f>MAX(F98/F7-F19,0)</f>
        <v>149.85</v>
      </c>
      <c r="G116" s="4">
        <f>MAX(G98/G7-G19,0)</f>
        <v>99.9</v>
      </c>
      <c r="I116" s="4">
        <f>MAX(I98/I7-I19,0)</f>
        <v>143.23824098930083</v>
      </c>
      <c r="J116" s="4">
        <f>MAX(J98/J7-J19,0)</f>
        <v>93.204025273621014</v>
      </c>
      <c r="L116" s="4">
        <f>MAX(L98/L7-L19,0)</f>
        <v>135.92290368935957</v>
      </c>
      <c r="M116" s="4">
        <f>MAX(M98/M7-M19,0)</f>
        <v>86.205574630799703</v>
      </c>
      <c r="O116" s="4">
        <f>MAX(O98/O7-O19,0)</f>
        <v>130.04430375149533</v>
      </c>
      <c r="P116" s="4">
        <f>MAX(P98/P7-P19,0)</f>
        <v>78.950885473718628</v>
      </c>
      <c r="R116" s="4">
        <f>MAX(R98/R7-R19,0)</f>
        <v>123.85992079114099</v>
      </c>
      <c r="S116" s="4">
        <f>MAX(S98/S7-S19,0)</f>
        <v>71.230238421154496</v>
      </c>
      <c r="U116" s="4">
        <f>MAX(U98/U7-U19,0)</f>
        <v>118.24686960917886</v>
      </c>
      <c r="V116" s="4">
        <f>MAX(V98/V7-V19,0)</f>
        <v>63.933179034308708</v>
      </c>
      <c r="X116" s="4">
        <f>MAX(X98/X7-X19,0)</f>
        <v>113.55176938169888</v>
      </c>
      <c r="Y116" s="4">
        <f>MAX(Y98/Y7-Y19,0)</f>
        <v>56.132862322977552</v>
      </c>
      <c r="AG116" s="5"/>
    </row>
    <row r="117" spans="4:34" ht="51" x14ac:dyDescent="0.2">
      <c r="E117" s="10" t="s">
        <v>149</v>
      </c>
      <c r="F117" s="4">
        <f>F116/$F$20</f>
        <v>1</v>
      </c>
      <c r="G117" s="4">
        <f>G116/$G$20</f>
        <v>1</v>
      </c>
      <c r="I117" s="4">
        <f>I116/$F$20</f>
        <v>0.9558774840794183</v>
      </c>
      <c r="J117" s="4">
        <f>J116/$G$20</f>
        <v>0.93297322596217225</v>
      </c>
      <c r="L117" s="4">
        <f>L116/$F$20</f>
        <v>0.90705975101341063</v>
      </c>
      <c r="M117" s="4">
        <f>M116/$G$20</f>
        <v>0.86291866497296998</v>
      </c>
      <c r="O117" s="4">
        <f>O116/$F$20</f>
        <v>0.86782985486483377</v>
      </c>
      <c r="P117" s="4">
        <f>P116/$G$20</f>
        <v>0.7902991538910773</v>
      </c>
      <c r="R117" s="4">
        <f>R116/$F$20</f>
        <v>0.82655936463891222</v>
      </c>
      <c r="S117" s="4">
        <f>S116/$G$20</f>
        <v>0.71301539961115612</v>
      </c>
      <c r="U117" s="4">
        <f>U116/$F$20</f>
        <v>0.78910156562681921</v>
      </c>
      <c r="V117" s="4">
        <f>V116/$G$20</f>
        <v>0.63997176210519224</v>
      </c>
      <c r="X117" s="4">
        <f>X116/$F$20</f>
        <v>0.75776956544343599</v>
      </c>
      <c r="Y117" s="4">
        <f>Y116/$G$20</f>
        <v>0.56189051374351895</v>
      </c>
      <c r="Z117">
        <v>0.5</v>
      </c>
      <c r="AA117">
        <f>SUM(Z$6:Z117)</f>
        <v>1.6</v>
      </c>
      <c r="AB117">
        <v>20</v>
      </c>
      <c r="AG117" s="5"/>
    </row>
    <row r="118" spans="4:34" ht="17" x14ac:dyDescent="0.2">
      <c r="E118" s="10" t="s">
        <v>150</v>
      </c>
      <c r="F118" s="4">
        <f>MAX(MIN(F117/$F$16, 1), 0)</f>
        <v>1</v>
      </c>
      <c r="G118" s="4">
        <f>MAX(MIN((G117-$F$15)/$F$16, 1), 0)</f>
        <v>1</v>
      </c>
      <c r="I118" s="4">
        <f>MAX(MIN(I117/$F$16, 1), 0)</f>
        <v>1</v>
      </c>
      <c r="J118" s="4">
        <f>MAX(MIN((J117-$F$15)/$F$16, 1), 0)</f>
        <v>1</v>
      </c>
      <c r="L118" s="4">
        <f>MAX(MIN(L117/$F$16, 1), 0)</f>
        <v>1</v>
      </c>
      <c r="M118" s="4">
        <f>MAX(MIN((M117-$F$15)/$F$16, 1), 0)</f>
        <v>1</v>
      </c>
      <c r="O118" s="4">
        <f>MAX(MIN(O117/$F$16, 1), 0)</f>
        <v>1</v>
      </c>
      <c r="P118" s="4">
        <f>MAX(MIN((P117-$F$15)/$F$16, 1), 0)</f>
        <v>1</v>
      </c>
      <c r="R118" s="4">
        <f>MAX(MIN(R117/$F$16, 1), 0)</f>
        <v>1</v>
      </c>
      <c r="S118" s="4">
        <f>MAX(MIN((S117-$F$15)/$F$16, 1), 0)</f>
        <v>1</v>
      </c>
      <c r="U118" s="4">
        <f>MAX(MIN(U117/$F$16, 1), 0)</f>
        <v>1</v>
      </c>
      <c r="V118" s="4">
        <f>MAX(MIN((V117-$F$15)/$F$16, 1), 0)</f>
        <v>1</v>
      </c>
      <c r="X118" s="4">
        <f>MAX(MIN(X117/$F$16, 1), 0)</f>
        <v>1</v>
      </c>
      <c r="Y118" s="4">
        <f>MAX(MIN((Y117-$F$15)/$F$16, 1), 0)</f>
        <v>1</v>
      </c>
      <c r="Z118">
        <v>0.3</v>
      </c>
      <c r="AA118">
        <f>SUM(Z$6:Z118)</f>
        <v>1.9000000000000001</v>
      </c>
      <c r="AB118">
        <v>20</v>
      </c>
      <c r="AG118" s="5">
        <v>5605620</v>
      </c>
      <c r="AH118">
        <f>ROUND(AG118/4,0)</f>
        <v>1401405</v>
      </c>
    </row>
    <row r="119" spans="4:34" x14ac:dyDescent="0.2">
      <c r="Z119">
        <v>0.2</v>
      </c>
      <c r="AA119">
        <f>SUM(Z$6:Z119)</f>
        <v>2.1</v>
      </c>
      <c r="AB119">
        <v>20</v>
      </c>
      <c r="AG119" s="5">
        <v>5717730</v>
      </c>
      <c r="AH119">
        <f>ROUND(AG119/4,0)</f>
        <v>1429433</v>
      </c>
    </row>
    <row r="120" spans="4:34" ht="17" x14ac:dyDescent="0.2">
      <c r="E120" s="10" t="s">
        <v>77</v>
      </c>
      <c r="F120" s="4">
        <f>F107*F118</f>
        <v>741757.5</v>
      </c>
      <c r="G120" s="4">
        <f>G107*G118</f>
        <v>19970010</v>
      </c>
      <c r="I120" s="4">
        <f>I107*I118</f>
        <v>700148.52195570245</v>
      </c>
      <c r="J120" s="4">
        <f>J107*J118</f>
        <v>18621232.209416743</v>
      </c>
      <c r="L120" s="4">
        <f>L107*L118</f>
        <v>520584.72113024717</v>
      </c>
      <c r="M120" s="4">
        <f>M107*M118</f>
        <v>17214908.431472179</v>
      </c>
      <c r="O120" s="4">
        <f>O107*O118</f>
        <v>488966.58210562245</v>
      </c>
      <c r="P120" s="4">
        <f>P107*P118</f>
        <v>15751017.455548761</v>
      </c>
      <c r="R120" s="4">
        <f>R107*R118</f>
        <v>391397.34970000555</v>
      </c>
      <c r="S120" s="4">
        <f>S107*S118</f>
        <v>14279169.745096736</v>
      </c>
      <c r="U120" s="4">
        <f>U107*U118</f>
        <v>279299.10601688048</v>
      </c>
      <c r="V120" s="4">
        <f>V107*V118</f>
        <v>12777685.161796939</v>
      </c>
      <c r="X120" s="4">
        <f>X107*X118</f>
        <v>257081.20588016626</v>
      </c>
      <c r="Y120" s="4">
        <f>Y107*Y118</f>
        <v>11212819.913326381</v>
      </c>
      <c r="Z120">
        <v>0.125</v>
      </c>
      <c r="AA120">
        <f>SUM(Z$6:Z136)</f>
        <v>2.2250000000000001</v>
      </c>
      <c r="AB120">
        <v>20</v>
      </c>
      <c r="AG120" s="5">
        <v>5832080</v>
      </c>
      <c r="AH120">
        <f>ROUND(AG120/4,0)</f>
        <v>1458020</v>
      </c>
    </row>
    <row r="121" spans="4:34" ht="17" x14ac:dyDescent="0.2">
      <c r="E121" s="10" t="s">
        <v>131</v>
      </c>
      <c r="F121" s="4">
        <f>F120+G120</f>
        <v>20711767.5</v>
      </c>
      <c r="G121" s="4">
        <f>F121</f>
        <v>20711767.5</v>
      </c>
      <c r="I121" s="4">
        <f>I120+J120</f>
        <v>19321380.731372446</v>
      </c>
      <c r="J121" s="4">
        <f>I121</f>
        <v>19321380.731372446</v>
      </c>
      <c r="L121" s="4">
        <f>L120+M120</f>
        <v>17735493.152602427</v>
      </c>
      <c r="M121" s="4">
        <f>L121</f>
        <v>17735493.152602427</v>
      </c>
      <c r="O121" s="4">
        <f>O120+P120</f>
        <v>16239984.037654383</v>
      </c>
      <c r="P121" s="4">
        <f>O121</f>
        <v>16239984.037654383</v>
      </c>
      <c r="R121" s="4">
        <f>R120+S120</f>
        <v>14670567.094796741</v>
      </c>
      <c r="S121" s="4">
        <f>R121</f>
        <v>14670567.094796741</v>
      </c>
      <c r="U121" s="4">
        <f>U120+V120</f>
        <v>13056984.267813819</v>
      </c>
      <c r="V121" s="4">
        <f>U121</f>
        <v>13056984.267813819</v>
      </c>
      <c r="X121" s="4">
        <f>X120+Y120</f>
        <v>11469901.119206548</v>
      </c>
      <c r="Y121" s="4">
        <f>X121</f>
        <v>11469901.119206548</v>
      </c>
      <c r="AG121" s="5">
        <v>6699220</v>
      </c>
      <c r="AH121">
        <f>ROUND(AG121/4,0)</f>
        <v>1674805</v>
      </c>
    </row>
    <row r="122" spans="4:34" ht="17" x14ac:dyDescent="0.2">
      <c r="E122" s="10" t="s">
        <v>125</v>
      </c>
      <c r="F122" s="4">
        <f>F120/F121</f>
        <v>3.5813336548896658E-2</v>
      </c>
      <c r="G122" s="4">
        <f>G120/G121</f>
        <v>0.96418666345110338</v>
      </c>
      <c r="I122" s="4">
        <f>I120/I121</f>
        <v>3.6236981802178332E-2</v>
      </c>
      <c r="J122" s="4">
        <f>J120/J121</f>
        <v>0.96376301819782162</v>
      </c>
      <c r="L122" s="4">
        <f>L120/L121</f>
        <v>2.9352706273851704E-2</v>
      </c>
      <c r="M122" s="4">
        <f>M120/M121</f>
        <v>0.97064729372614822</v>
      </c>
      <c r="O122" s="4">
        <f>O120/O121</f>
        <v>3.0108809280347433E-2</v>
      </c>
      <c r="P122" s="4">
        <f>P120/P121</f>
        <v>0.96989119071965257</v>
      </c>
      <c r="R122" s="4">
        <f>R120/R121</f>
        <v>2.66790879432891E-2</v>
      </c>
      <c r="S122" s="4">
        <f>S120/S121</f>
        <v>0.9733209120567109</v>
      </c>
      <c r="U122" s="4">
        <f>U120/U121</f>
        <v>2.139078215062019E-2</v>
      </c>
      <c r="V122" s="4">
        <f>V120/V121</f>
        <v>0.97860921784937982</v>
      </c>
      <c r="X122" s="4">
        <f>X120/X121</f>
        <v>2.2413550318204516E-2</v>
      </c>
      <c r="Y122" s="4">
        <f>Y120/Y121</f>
        <v>0.97758644968179542</v>
      </c>
      <c r="AG122" s="5"/>
    </row>
    <row r="123" spans="4:34" x14ac:dyDescent="0.2">
      <c r="AG123" s="5"/>
    </row>
    <row r="124" spans="4:34" ht="68" x14ac:dyDescent="0.2">
      <c r="D124" s="22" t="s">
        <v>148</v>
      </c>
      <c r="E124" s="15" t="s">
        <v>164</v>
      </c>
      <c r="F124" s="8"/>
      <c r="G124" s="8"/>
      <c r="AG124" s="5"/>
    </row>
    <row r="125" spans="4:34" x14ac:dyDescent="0.2">
      <c r="AG125" s="5"/>
    </row>
    <row r="126" spans="4:34" ht="68" x14ac:dyDescent="0.2">
      <c r="D126" s="22" t="s">
        <v>151</v>
      </c>
      <c r="AG126" s="5"/>
    </row>
    <row r="127" spans="4:34" x14ac:dyDescent="0.2">
      <c r="AG127" s="5"/>
    </row>
    <row r="128" spans="4:34" x14ac:dyDescent="0.2">
      <c r="AG128" s="5"/>
    </row>
    <row r="129" spans="26:34" x14ac:dyDescent="0.2">
      <c r="AG129" s="5"/>
    </row>
    <row r="130" spans="26:34" x14ac:dyDescent="0.2">
      <c r="AG130" s="5"/>
    </row>
    <row r="131" spans="26:34" x14ac:dyDescent="0.2">
      <c r="AG131" s="5"/>
    </row>
    <row r="132" spans="26:34" x14ac:dyDescent="0.2">
      <c r="AG132" s="5"/>
    </row>
    <row r="133" spans="26:34" x14ac:dyDescent="0.2">
      <c r="AG133" s="5"/>
    </row>
    <row r="134" spans="26:34" x14ac:dyDescent="0.2">
      <c r="AG134" s="5"/>
    </row>
    <row r="135" spans="26:34" x14ac:dyDescent="0.2">
      <c r="AG135" s="5"/>
    </row>
    <row r="136" spans="26:34" x14ac:dyDescent="0.2">
      <c r="AG136" s="5"/>
    </row>
    <row r="137" spans="26:34" x14ac:dyDescent="0.2">
      <c r="Z137">
        <v>0.1225</v>
      </c>
      <c r="AA137">
        <f>SUM(Z$6:Z137)</f>
        <v>2.3475000000000001</v>
      </c>
      <c r="AB137">
        <v>20</v>
      </c>
      <c r="AG137" s="5"/>
    </row>
    <row r="138" spans="26:34" x14ac:dyDescent="0.2">
      <c r="Z138">
        <v>0.12239999999999999</v>
      </c>
      <c r="AA138">
        <f>SUM(Z$6:Z138)</f>
        <v>2.4699</v>
      </c>
      <c r="AB138">
        <v>20</v>
      </c>
      <c r="AG138" s="5">
        <v>6833200</v>
      </c>
      <c r="AH138">
        <f t="shared" si="0"/>
        <v>1708300</v>
      </c>
    </row>
    <row r="139" spans="26:34" x14ac:dyDescent="0.2">
      <c r="Z139">
        <v>0.12230000000000001</v>
      </c>
      <c r="AA139">
        <f>SUM(Z$6:Z139)</f>
        <v>2.5922000000000001</v>
      </c>
      <c r="AB139">
        <v>20</v>
      </c>
      <c r="AG139" s="5">
        <v>6969860</v>
      </c>
      <c r="AH139">
        <f t="shared" si="0"/>
        <v>1742465</v>
      </c>
    </row>
  </sheetData>
  <mergeCells count="14">
    <mergeCell ref="AC4:AE4"/>
    <mergeCell ref="H2:I2"/>
    <mergeCell ref="H3:I3"/>
    <mergeCell ref="I5:J5"/>
    <mergeCell ref="L5:M5"/>
    <mergeCell ref="D16:D17"/>
    <mergeCell ref="D55:D58"/>
    <mergeCell ref="D61:D64"/>
    <mergeCell ref="D80:D83"/>
    <mergeCell ref="X5:Y5"/>
    <mergeCell ref="O5:P5"/>
    <mergeCell ref="R5:S5"/>
    <mergeCell ref="U5:V5"/>
    <mergeCell ref="F5:G5"/>
  </mergeCells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cl_1</vt:lpstr>
      <vt:lpstr>cl_2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Coburn Syme</dc:creator>
  <cp:lastModifiedBy>James Coburn Syme</cp:lastModifiedBy>
  <dcterms:created xsi:type="dcterms:W3CDTF">2025-10-11T19:34:45Z</dcterms:created>
  <dcterms:modified xsi:type="dcterms:W3CDTF">2026-01-07T05:27:39Z</dcterms:modified>
</cp:coreProperties>
</file>