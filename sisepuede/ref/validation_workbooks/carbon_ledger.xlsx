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245F5E87-D338-1E44-B84B-39727181C818}" xr6:coauthVersionLast="47" xr6:coauthVersionMax="47" xr10:uidLastSave="{00000000-0000-0000-0000-000000000000}"/>
  <bookViews>
    <workbookView xWindow="860" yWindow="50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2" i="3" l="1"/>
  <c r="U101" i="3"/>
  <c r="Y51" i="3"/>
  <c r="Y50" i="3"/>
  <c r="Y49" i="3"/>
  <c r="Y48" i="3"/>
  <c r="V51" i="3"/>
  <c r="V50" i="3"/>
  <c r="V49" i="3"/>
  <c r="V48" i="3"/>
  <c r="S48" i="3"/>
  <c r="P48" i="3"/>
  <c r="P36" i="3"/>
  <c r="R67" i="3"/>
  <c r="S67" i="3"/>
  <c r="S68" i="3"/>
  <c r="F109" i="3"/>
  <c r="F108" i="3"/>
  <c r="G104" i="3"/>
  <c r="F104" i="3"/>
  <c r="F83" i="3"/>
  <c r="G86" i="3"/>
  <c r="F86" i="3"/>
  <c r="G79" i="3"/>
  <c r="F79" i="3"/>
  <c r="G36" i="3"/>
  <c r="H36" i="3"/>
  <c r="K35" i="3"/>
  <c r="H37" i="3"/>
  <c r="J37" i="3"/>
  <c r="J49" i="3" s="1"/>
  <c r="F62" i="3"/>
  <c r="F61" i="3"/>
  <c r="H35" i="3"/>
  <c r="F82" i="3"/>
  <c r="G82" i="3"/>
  <c r="G83" i="3" s="1"/>
  <c r="F28" i="3"/>
  <c r="G28" i="3" s="1"/>
  <c r="I78" i="3"/>
  <c r="F78" i="3"/>
  <c r="F81" i="3" s="1"/>
  <c r="F64" i="3"/>
  <c r="F63" i="3"/>
  <c r="G10" i="3"/>
  <c r="M38" i="3"/>
  <c r="M50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5" i="3" s="1"/>
  <c r="Y78" i="3"/>
  <c r="X78" i="3"/>
  <c r="V78" i="3"/>
  <c r="U78" i="3"/>
  <c r="S78" i="3"/>
  <c r="R78" i="3"/>
  <c r="P78" i="3"/>
  <c r="O78" i="3"/>
  <c r="M78" i="3"/>
  <c r="L78" i="3"/>
  <c r="J78" i="3"/>
  <c r="G78" i="3"/>
  <c r="G81" i="3" s="1"/>
  <c r="G42" i="3"/>
  <c r="G67" i="3" s="1"/>
  <c r="P70" i="3"/>
  <c r="M70" i="3"/>
  <c r="M69" i="3"/>
  <c r="Y45" i="3"/>
  <c r="Y70" i="3" s="1"/>
  <c r="Y44" i="3"/>
  <c r="Y69" i="3" s="1"/>
  <c r="Y43" i="3"/>
  <c r="Y68" i="3" s="1"/>
  <c r="Y42" i="3"/>
  <c r="V42" i="3"/>
  <c r="W35" i="3"/>
  <c r="M51" i="3"/>
  <c r="J70" i="3"/>
  <c r="J69" i="3"/>
  <c r="J68" i="3"/>
  <c r="G69" i="3"/>
  <c r="G68" i="3"/>
  <c r="G70" i="3"/>
  <c r="G73" i="3"/>
  <c r="I68" i="3" s="1"/>
  <c r="G74" i="3"/>
  <c r="I69" i="3" s="1"/>
  <c r="G75" i="3"/>
  <c r="I70" i="3" s="1"/>
  <c r="P39" i="3"/>
  <c r="T35" i="3"/>
  <c r="Q35" i="3"/>
  <c r="N35" i="3"/>
  <c r="P44" i="3"/>
  <c r="P69" i="3" s="1"/>
  <c r="M43" i="3"/>
  <c r="M68" i="3" s="1"/>
  <c r="J42" i="3"/>
  <c r="S42" i="3"/>
  <c r="P42" i="3"/>
  <c r="G20" i="3"/>
  <c r="F20" i="3"/>
  <c r="G8" i="3"/>
  <c r="J8" i="3" s="1"/>
  <c r="F8" i="3"/>
  <c r="I80" i="3" l="1"/>
  <c r="I81" i="3" s="1"/>
  <c r="U79" i="3"/>
  <c r="I79" i="3"/>
  <c r="L79" i="3"/>
  <c r="O79" i="3"/>
  <c r="R79" i="3"/>
  <c r="F90" i="3"/>
  <c r="F93" i="3" s="1"/>
  <c r="G72" i="3"/>
  <c r="L25" i="3"/>
  <c r="O25" i="3"/>
  <c r="I25" i="3"/>
  <c r="J55" i="3"/>
  <c r="F25" i="3"/>
  <c r="R25" i="3"/>
  <c r="G24" i="3"/>
  <c r="G25" i="3" s="1"/>
  <c r="J80" i="3"/>
  <c r="J81" i="3" s="1"/>
  <c r="J7" i="3"/>
  <c r="P51" i="3"/>
  <c r="J56" i="3"/>
  <c r="J57" i="3"/>
  <c r="G48" i="3"/>
  <c r="H38" i="3"/>
  <c r="H39" i="3"/>
  <c r="F21" i="3"/>
  <c r="G21" i="3"/>
  <c r="J10" i="3" l="1"/>
  <c r="J79" i="3"/>
  <c r="F88" i="3"/>
  <c r="F92" i="3"/>
  <c r="F91" i="3"/>
  <c r="G95" i="3"/>
  <c r="G90" i="3"/>
  <c r="G93" i="3" s="1"/>
  <c r="G87" i="3"/>
  <c r="G88" i="3" s="1"/>
  <c r="I67" i="3"/>
  <c r="J67" i="3" s="1"/>
  <c r="G11" i="3"/>
  <c r="J54" i="3"/>
  <c r="J13" i="3"/>
  <c r="J24" i="3" s="1"/>
  <c r="J11" i="3" s="1"/>
  <c r="M8" i="3"/>
  <c r="I37" i="3" l="1"/>
  <c r="I36" i="3"/>
  <c r="J36" i="3" s="1"/>
  <c r="F95" i="3"/>
  <c r="F105" i="3"/>
  <c r="F106" i="3" s="1"/>
  <c r="I64" i="3"/>
  <c r="I63" i="3"/>
  <c r="I62" i="3"/>
  <c r="I61" i="3"/>
  <c r="G91" i="3"/>
  <c r="G92" i="3"/>
  <c r="G105" i="3"/>
  <c r="G106" i="3" s="1"/>
  <c r="J58" i="3"/>
  <c r="M7" i="3"/>
  <c r="J25" i="3"/>
  <c r="P8" i="3"/>
  <c r="M10" i="3" l="1"/>
  <c r="M79" i="3"/>
  <c r="G108" i="3"/>
  <c r="M13" i="3"/>
  <c r="M24" i="3" s="1"/>
  <c r="M25" i="3" s="1"/>
  <c r="S8" i="3"/>
  <c r="V43" i="3"/>
  <c r="V68" i="3" s="1"/>
  <c r="V44" i="3"/>
  <c r="V69" i="3" s="1"/>
  <c r="S43" i="3"/>
  <c r="M42" i="3"/>
  <c r="S45" i="3"/>
  <c r="S70" i="3" s="1"/>
  <c r="V45" i="3"/>
  <c r="V70" i="3" s="1"/>
  <c r="S44" i="3"/>
  <c r="S69" i="3" s="1"/>
  <c r="P43" i="3"/>
  <c r="P68" i="3" s="1"/>
  <c r="AD14" i="3"/>
  <c r="AD15" i="3"/>
  <c r="AD16" i="3"/>
  <c r="AD17" i="3"/>
  <c r="AD18" i="3"/>
  <c r="AD20" i="3"/>
  <c r="AD21" i="3"/>
  <c r="AD22" i="3"/>
  <c r="AD23" i="3"/>
  <c r="AD24" i="3"/>
  <c r="AD25" i="3"/>
  <c r="AD26" i="3"/>
  <c r="AD12" i="3"/>
  <c r="AD9" i="3"/>
  <c r="AD11" i="3"/>
  <c r="AD8" i="3"/>
  <c r="AA129" i="3"/>
  <c r="AA128" i="3"/>
  <c r="AA127" i="3"/>
  <c r="AA108" i="3"/>
  <c r="AA107" i="3"/>
  <c r="AA106" i="3"/>
  <c r="AA105" i="3"/>
  <c r="AA9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P7" i="3" l="1"/>
  <c r="P79" i="3" s="1"/>
  <c r="P13" i="3"/>
  <c r="P10" i="3"/>
  <c r="M11" i="3"/>
  <c r="S7" i="3"/>
  <c r="P24" i="3"/>
  <c r="P25" i="3" s="1"/>
  <c r="S13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S10" i="3" l="1"/>
  <c r="S79" i="3"/>
  <c r="F98" i="3"/>
  <c r="P11" i="3"/>
  <c r="V7" i="3"/>
  <c r="S24" i="3"/>
  <c r="S25" i="3" s="1"/>
  <c r="Y8" i="3"/>
  <c r="K36" i="3"/>
  <c r="I39" i="3"/>
  <c r="I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V10" i="3" l="1"/>
  <c r="V79" i="3"/>
  <c r="Y7" i="3"/>
  <c r="V13" i="3"/>
  <c r="V24" i="3" s="1"/>
  <c r="V25" i="3" s="1"/>
  <c r="F100" i="3"/>
  <c r="F99" i="3"/>
  <c r="G109" i="3"/>
  <c r="G110" i="3" s="1"/>
  <c r="F110" i="3"/>
  <c r="V11" i="3"/>
  <c r="S11" i="3"/>
  <c r="Y13" i="3"/>
  <c r="Y24" i="3" s="1"/>
  <c r="Y25" i="3" s="1"/>
  <c r="J48" i="3"/>
  <c r="K39" i="3"/>
  <c r="L36" i="3"/>
  <c r="M36" i="3" s="1"/>
  <c r="K38" i="3"/>
  <c r="K37" i="3"/>
  <c r="O8" i="3"/>
  <c r="Q3" i="2"/>
  <c r="AA4" i="2" s="1"/>
  <c r="Y10" i="3" l="1"/>
  <c r="Y79" i="3"/>
  <c r="F101" i="3"/>
  <c r="G61" i="3" s="1"/>
  <c r="L37" i="3"/>
  <c r="M37" i="3" s="1"/>
  <c r="N37" i="3" s="1"/>
  <c r="N36" i="3"/>
  <c r="O36" i="3" s="1"/>
  <c r="M48" i="3"/>
  <c r="Y11" i="3"/>
  <c r="L38" i="3"/>
  <c r="L39" i="3"/>
  <c r="R8" i="3"/>
  <c r="F4" i="2"/>
  <c r="R7" i="2"/>
  <c r="G4" i="2"/>
  <c r="K4" i="2"/>
  <c r="J4" i="2"/>
  <c r="F102" i="3" l="1"/>
  <c r="G102" i="3"/>
  <c r="J82" i="3" s="1"/>
  <c r="G62" i="3"/>
  <c r="G63" i="3"/>
  <c r="G64" i="3"/>
  <c r="M49" i="3"/>
  <c r="N39" i="3"/>
  <c r="N38" i="3"/>
  <c r="O38" i="3" s="1"/>
  <c r="P38" i="3" s="1"/>
  <c r="O37" i="3"/>
  <c r="P37" i="3" s="1"/>
  <c r="Q37" i="3" s="1"/>
  <c r="U8" i="3"/>
  <c r="X7" i="3"/>
  <c r="X79" i="3" s="1"/>
  <c r="Q36" i="3"/>
  <c r="R36" i="3" s="1"/>
  <c r="S36" i="3" s="1"/>
  <c r="U4" i="2"/>
  <c r="R8" i="2"/>
  <c r="I82" i="3" l="1"/>
  <c r="I83" i="3" s="1"/>
  <c r="J83" i="3"/>
  <c r="J104" i="3" s="1"/>
  <c r="M80" i="3"/>
  <c r="M81" i="3" s="1"/>
  <c r="L80" i="3"/>
  <c r="L81" i="3" s="1"/>
  <c r="Q39" i="3"/>
  <c r="O39" i="3"/>
  <c r="P49" i="3"/>
  <c r="P50" i="3"/>
  <c r="Q38" i="3"/>
  <c r="X8" i="3"/>
  <c r="X13" i="3"/>
  <c r="X25" i="3" s="1"/>
  <c r="R37" i="3"/>
  <c r="S37" i="3" s="1"/>
  <c r="T36" i="3"/>
  <c r="U36" i="3" s="1"/>
  <c r="V36" i="3" s="1"/>
  <c r="O4" i="2"/>
  <c r="P4" i="2" s="1"/>
  <c r="X5" i="2" s="1"/>
  <c r="Z5" i="2" s="1"/>
  <c r="J5" i="2" s="1"/>
  <c r="R9" i="2"/>
  <c r="I86" i="3" l="1"/>
  <c r="I104" i="3"/>
  <c r="J86" i="3"/>
  <c r="I88" i="3"/>
  <c r="J90" i="3"/>
  <c r="I90" i="3"/>
  <c r="R39" i="3"/>
  <c r="S39" i="3" s="1"/>
  <c r="S51" i="3" s="1"/>
  <c r="S49" i="3"/>
  <c r="R38" i="3"/>
  <c r="S38" i="3" s="1"/>
  <c r="T37" i="3"/>
  <c r="U37" i="3" s="1"/>
  <c r="V37" i="3" s="1"/>
  <c r="W36" i="3"/>
  <c r="X36" i="3" s="1"/>
  <c r="Y36" i="3" s="1"/>
  <c r="Q4" i="2"/>
  <c r="Y5" i="2" s="1"/>
  <c r="AA5" i="2" s="1"/>
  <c r="F5" i="2"/>
  <c r="R10" i="2"/>
  <c r="I91" i="3" l="1"/>
  <c r="I92" i="3"/>
  <c r="T39" i="3"/>
  <c r="J91" i="3"/>
  <c r="J92" i="3"/>
  <c r="J95" i="3"/>
  <c r="S50" i="3"/>
  <c r="T38" i="3"/>
  <c r="U38" i="3" s="1"/>
  <c r="V38" i="3" s="1"/>
  <c r="W37" i="3"/>
  <c r="X37" i="3" s="1"/>
  <c r="Y37" i="3" s="1"/>
  <c r="R11" i="2"/>
  <c r="G5" i="2"/>
  <c r="U5" i="2" s="1"/>
  <c r="O5" i="2" s="1"/>
  <c r="Q5" i="2" s="1"/>
  <c r="K5" i="2"/>
  <c r="U39" i="3" l="1"/>
  <c r="V39" i="3" s="1"/>
  <c r="I95" i="3"/>
  <c r="I105" i="3"/>
  <c r="I106" i="3" s="1"/>
  <c r="J105" i="3"/>
  <c r="J106" i="3" s="1"/>
  <c r="W38" i="3"/>
  <c r="X38" i="3" s="1"/>
  <c r="Y38" i="3" s="1"/>
  <c r="W39" i="3"/>
  <c r="Y6" i="2"/>
  <c r="AA6" i="2" s="1"/>
  <c r="K6" i="2" s="1"/>
  <c r="R12" i="2"/>
  <c r="P5" i="2"/>
  <c r="X6" i="2" s="1"/>
  <c r="Z6" i="2" s="1"/>
  <c r="J6" i="2" s="1"/>
  <c r="X39" i="3" l="1"/>
  <c r="Y39" i="3" s="1"/>
  <c r="J108" i="3"/>
  <c r="I108" i="3"/>
  <c r="G6" i="2"/>
  <c r="R13" i="2"/>
  <c r="F6" i="2"/>
  <c r="U6" i="2" s="1"/>
  <c r="W6" i="2" s="1"/>
  <c r="O6" i="2" s="1"/>
  <c r="I109" i="3" l="1"/>
  <c r="R14" i="2"/>
  <c r="Y7" i="2"/>
  <c r="AA7" i="2" s="1"/>
  <c r="J109" i="3" l="1"/>
  <c r="J110" i="3" s="1"/>
  <c r="I98" i="3"/>
  <c r="I110" i="3"/>
  <c r="X7" i="2"/>
  <c r="Z7" i="2" s="1"/>
  <c r="R15" i="2"/>
  <c r="G7" i="2"/>
  <c r="K7" i="2"/>
  <c r="I99" i="3" l="1"/>
  <c r="I101" i="3" s="1"/>
  <c r="J61" i="3" s="1"/>
  <c r="J72" i="3" s="1"/>
  <c r="I100" i="3"/>
  <c r="J102" i="3" s="1"/>
  <c r="M82" i="3" s="1"/>
  <c r="J7" i="2"/>
  <c r="F7" i="2"/>
  <c r="U7" i="2" s="1"/>
  <c r="O7" i="2" s="1"/>
  <c r="R16" i="2"/>
  <c r="M54" i="3" l="1"/>
  <c r="L67" i="3"/>
  <c r="M67" i="3" s="1"/>
  <c r="M83" i="3"/>
  <c r="M104" i="3" s="1"/>
  <c r="I102" i="3"/>
  <c r="L82" i="3" s="1"/>
  <c r="P80" i="3"/>
  <c r="P81" i="3" s="1"/>
  <c r="J62" i="3"/>
  <c r="J73" i="3" s="1"/>
  <c r="J63" i="3"/>
  <c r="J74" i="3" s="1"/>
  <c r="J64" i="3"/>
  <c r="J75" i="3" s="1"/>
  <c r="P7" i="2"/>
  <c r="X8" i="2" s="1"/>
  <c r="Z8" i="2" s="1"/>
  <c r="Q7" i="2"/>
  <c r="Y8" i="2" s="1"/>
  <c r="AA8" i="2" s="1"/>
  <c r="G8" i="2" s="1"/>
  <c r="J8" i="2"/>
  <c r="R17" i="2"/>
  <c r="F8" i="2"/>
  <c r="M56" i="3" l="1"/>
  <c r="L69" i="3"/>
  <c r="L70" i="3"/>
  <c r="L68" i="3"/>
  <c r="M55" i="3"/>
  <c r="L63" i="3" s="1"/>
  <c r="L62" i="3"/>
  <c r="L61" i="3"/>
  <c r="M57" i="3"/>
  <c r="M58" i="3" s="1"/>
  <c r="J87" i="3"/>
  <c r="J88" i="3" s="1"/>
  <c r="L83" i="3"/>
  <c r="L104" i="3" s="1"/>
  <c r="M90" i="3"/>
  <c r="M86" i="3"/>
  <c r="K8" i="2"/>
  <c r="W8" i="2"/>
  <c r="R18" i="2"/>
  <c r="L64" i="3" l="1"/>
  <c r="L86" i="3"/>
  <c r="L88" i="3" s="1"/>
  <c r="O80" i="3"/>
  <c r="O81" i="3" s="1"/>
  <c r="L90" i="3"/>
  <c r="L92" i="3" s="1"/>
  <c r="M92" i="3"/>
  <c r="M91" i="3"/>
  <c r="O8" i="2"/>
  <c r="Q8" i="2" s="1"/>
  <c r="Y9" i="2" s="1"/>
  <c r="AA9" i="2" s="1"/>
  <c r="R19" i="2"/>
  <c r="L91" i="3" l="1"/>
  <c r="M95" i="3"/>
  <c r="M105" i="3"/>
  <c r="M106" i="3" s="1"/>
  <c r="L95" i="3"/>
  <c r="L105" i="3"/>
  <c r="L10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08" i="3" l="1"/>
  <c r="L108" i="3"/>
  <c r="Q9" i="2"/>
  <c r="Y10" i="2" s="1"/>
  <c r="AA10" i="2" s="1"/>
  <c r="G10" i="2" s="1"/>
  <c r="R21" i="2"/>
  <c r="F10" i="2"/>
  <c r="L109" i="3" l="1"/>
  <c r="L110" i="3"/>
  <c r="M109" i="3"/>
  <c r="M110" i="3" s="1"/>
  <c r="L98" i="3"/>
  <c r="U10" i="2"/>
  <c r="W10" i="2" s="1"/>
  <c r="O10" i="2" s="1"/>
  <c r="Q10" i="2" s="1"/>
  <c r="K10" i="2"/>
  <c r="R22" i="2"/>
  <c r="L99" i="3" l="1"/>
  <c r="L101" i="3" s="1"/>
  <c r="L100" i="3"/>
  <c r="Y11" i="2"/>
  <c r="P10" i="2"/>
  <c r="X11" i="2" s="1"/>
  <c r="Z11" i="2" s="1"/>
  <c r="J11" i="2" s="1"/>
  <c r="R23" i="2"/>
  <c r="L102" i="3" l="1"/>
  <c r="O82" i="3" s="1"/>
  <c r="M102" i="3"/>
  <c r="P82" i="3" s="1"/>
  <c r="M61" i="3"/>
  <c r="M72" i="3" s="1"/>
  <c r="M63" i="3"/>
  <c r="M74" i="3" s="1"/>
  <c r="M64" i="3"/>
  <c r="M75" i="3" s="1"/>
  <c r="M62" i="3"/>
  <c r="M73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P57" i="3" l="1"/>
  <c r="O70" i="3"/>
  <c r="P56" i="3"/>
  <c r="O69" i="3"/>
  <c r="O68" i="3"/>
  <c r="P55" i="3"/>
  <c r="M87" i="3"/>
  <c r="M88" i="3" s="1"/>
  <c r="O67" i="3"/>
  <c r="P67" i="3" s="1"/>
  <c r="P54" i="3"/>
  <c r="P83" i="3"/>
  <c r="P104" i="3" s="1"/>
  <c r="O83" i="3"/>
  <c r="O104" i="3" s="1"/>
  <c r="S80" i="3"/>
  <c r="S81" i="3" s="1"/>
  <c r="R80" i="3"/>
  <c r="R81" i="3" s="1"/>
  <c r="K11" i="2"/>
  <c r="Q11" i="2"/>
  <c r="R25" i="2"/>
  <c r="F12" i="2"/>
  <c r="O61" i="3" l="1"/>
  <c r="O62" i="3"/>
  <c r="O64" i="3"/>
  <c r="P58" i="3"/>
  <c r="O63" i="3"/>
  <c r="P86" i="3"/>
  <c r="P90" i="3"/>
  <c r="O86" i="3"/>
  <c r="O90" i="3"/>
  <c r="Y12" i="2"/>
  <c r="AA12" i="2" s="1"/>
  <c r="R26" i="2"/>
  <c r="O91" i="3" l="1"/>
  <c r="O92" i="3"/>
  <c r="O88" i="3"/>
  <c r="P92" i="3"/>
  <c r="P91" i="3"/>
  <c r="G12" i="2"/>
  <c r="U12" i="2" s="1"/>
  <c r="W12" i="2" s="1"/>
  <c r="O12" i="2" s="1"/>
  <c r="Q12" i="2" s="1"/>
  <c r="K12" i="2"/>
  <c r="R27" i="2"/>
  <c r="O105" i="3" l="1"/>
  <c r="O106" i="3" s="1"/>
  <c r="O95" i="3"/>
  <c r="P95" i="3"/>
  <c r="P105" i="3"/>
  <c r="P106" i="3" s="1"/>
  <c r="Y13" i="2"/>
  <c r="AA13" i="2" s="1"/>
  <c r="G13" i="2" s="1"/>
  <c r="P12" i="2"/>
  <c r="X13" i="2" s="1"/>
  <c r="Z13" i="2" s="1"/>
  <c r="J13" i="2" s="1"/>
  <c r="R28" i="2"/>
  <c r="P108" i="3" l="1"/>
  <c r="O108" i="3"/>
  <c r="O109" i="3" s="1"/>
  <c r="O110" i="3" s="1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98" i="3" l="1"/>
  <c r="P109" i="3"/>
  <c r="P110" i="3" s="1"/>
  <c r="K14" i="2"/>
  <c r="P13" i="2"/>
  <c r="X14" i="2" s="1"/>
  <c r="Z14" i="2" s="1"/>
  <c r="J14" i="2" s="1"/>
  <c r="O100" i="3" l="1"/>
  <c r="O99" i="3"/>
  <c r="O101" i="3" s="1"/>
  <c r="F14" i="2"/>
  <c r="U14" i="2" s="1"/>
  <c r="W14" i="2" s="1"/>
  <c r="O14" i="2" s="1"/>
  <c r="P14" i="2" s="1"/>
  <c r="X15" i="2" s="1"/>
  <c r="Z15" i="2" s="1"/>
  <c r="J15" i="2" s="1"/>
  <c r="P63" i="3" l="1"/>
  <c r="P74" i="3" s="1"/>
  <c r="P64" i="3"/>
  <c r="P75" i="3" s="1"/>
  <c r="P61" i="3"/>
  <c r="P72" i="3" s="1"/>
  <c r="P62" i="3"/>
  <c r="P73" i="3" s="1"/>
  <c r="O102" i="3"/>
  <c r="R82" i="3" s="1"/>
  <c r="P102" i="3"/>
  <c r="S82" i="3" s="1"/>
  <c r="F15" i="2"/>
  <c r="Q14" i="2"/>
  <c r="Y15" i="2" s="1"/>
  <c r="AA15" i="2" s="1"/>
  <c r="G15" i="2" s="1"/>
  <c r="U15" i="2" s="1"/>
  <c r="W15" i="2" s="1"/>
  <c r="O15" i="2" s="1"/>
  <c r="Q15" i="2" s="1"/>
  <c r="S55" i="3" l="1"/>
  <c r="R68" i="3"/>
  <c r="R70" i="3"/>
  <c r="S57" i="3"/>
  <c r="S54" i="3"/>
  <c r="P87" i="3"/>
  <c r="P88" i="3" s="1"/>
  <c r="S56" i="3"/>
  <c r="R69" i="3"/>
  <c r="S83" i="3"/>
  <c r="S104" i="3" s="1"/>
  <c r="R83" i="3"/>
  <c r="R104" i="3" s="1"/>
  <c r="U80" i="3"/>
  <c r="U81" i="3" s="1"/>
  <c r="V80" i="3"/>
  <c r="V81" i="3" s="1"/>
  <c r="K15" i="2"/>
  <c r="Y16" i="2" s="1"/>
  <c r="AA16" i="2" s="1"/>
  <c r="G16" i="2" s="1"/>
  <c r="P15" i="2"/>
  <c r="X16" i="2" s="1"/>
  <c r="Z16" i="2" s="1"/>
  <c r="J16" i="2" s="1"/>
  <c r="R61" i="3" l="1"/>
  <c r="R63" i="3"/>
  <c r="R62" i="3"/>
  <c r="R64" i="3"/>
  <c r="S58" i="3"/>
  <c r="S90" i="3"/>
  <c r="S86" i="3"/>
  <c r="R86" i="3"/>
  <c r="R90" i="3"/>
  <c r="K16" i="2"/>
  <c r="F16" i="2"/>
  <c r="U16" i="2" s="1"/>
  <c r="W16" i="2" s="1"/>
  <c r="O16" i="2" s="1"/>
  <c r="P16" i="2" s="1"/>
  <c r="X17" i="2" s="1"/>
  <c r="Z17" i="2" s="1"/>
  <c r="J17" i="2" s="1"/>
  <c r="R92" i="3" l="1"/>
  <c r="R91" i="3"/>
  <c r="R88" i="3"/>
  <c r="S92" i="3"/>
  <c r="S91" i="3"/>
  <c r="Q16" i="2"/>
  <c r="Y17" i="2" s="1"/>
  <c r="AA17" i="2" s="1"/>
  <c r="K17" i="2" s="1"/>
  <c r="F17" i="2"/>
  <c r="S105" i="3" l="1"/>
  <c r="S106" i="3" s="1"/>
  <c r="S95" i="3"/>
  <c r="R95" i="3"/>
  <c r="R105" i="3"/>
  <c r="R106" i="3" s="1"/>
  <c r="G17" i="2"/>
  <c r="U17" i="2" s="1"/>
  <c r="W17" i="2" s="1"/>
  <c r="O17" i="2" s="1"/>
  <c r="P17" i="2" s="1"/>
  <c r="X18" i="2" s="1"/>
  <c r="Z18" i="2" s="1"/>
  <c r="J18" i="2" s="1"/>
  <c r="S108" i="3" l="1"/>
  <c r="R108" i="3"/>
  <c r="Q17" i="2"/>
  <c r="Y18" i="2" s="1"/>
  <c r="AA18" i="2" s="1"/>
  <c r="G18" i="2" s="1"/>
  <c r="F18" i="2"/>
  <c r="R109" i="3" l="1"/>
  <c r="R110" i="3" s="1"/>
  <c r="K18" i="2"/>
  <c r="U18" i="2"/>
  <c r="W18" i="2" s="1"/>
  <c r="O18" i="2" s="1"/>
  <c r="Q18" i="2" s="1"/>
  <c r="R98" i="3" l="1"/>
  <c r="R99" i="3" s="1"/>
  <c r="R101" i="3" s="1"/>
  <c r="S109" i="3"/>
  <c r="S110" i="3" s="1"/>
  <c r="Y19" i="2"/>
  <c r="AA19" i="2" s="1"/>
  <c r="G19" i="2" s="1"/>
  <c r="P18" i="2"/>
  <c r="X19" i="2" s="1"/>
  <c r="Z19" i="2" s="1"/>
  <c r="J19" i="2" s="1"/>
  <c r="R100" i="3" l="1"/>
  <c r="R102" i="3" s="1"/>
  <c r="U82" i="3" s="1"/>
  <c r="U83" i="3" s="1"/>
  <c r="U104" i="3" s="1"/>
  <c r="S62" i="3"/>
  <c r="S73" i="3" s="1"/>
  <c r="S61" i="3"/>
  <c r="S72" i="3" s="1"/>
  <c r="U67" i="3" s="1"/>
  <c r="V67" i="3" s="1"/>
  <c r="S64" i="3"/>
  <c r="S75" i="3" s="1"/>
  <c r="S63" i="3"/>
  <c r="S74" i="3" s="1"/>
  <c r="S102" i="3"/>
  <c r="V82" i="3" s="1"/>
  <c r="K19" i="2"/>
  <c r="F19" i="2"/>
  <c r="U19" i="2" s="1"/>
  <c r="W19" i="2" s="1"/>
  <c r="O19" i="2" s="1"/>
  <c r="P19" i="2" s="1"/>
  <c r="X20" i="2" s="1"/>
  <c r="Z20" i="2" s="1"/>
  <c r="V56" i="3" l="1"/>
  <c r="U69" i="3"/>
  <c r="V54" i="3"/>
  <c r="V58" i="3" s="1"/>
  <c r="S87" i="3"/>
  <c r="S88" i="3" s="1"/>
  <c r="U68" i="3"/>
  <c r="V55" i="3"/>
  <c r="U70" i="3"/>
  <c r="V57" i="3"/>
  <c r="X80" i="3"/>
  <c r="X81" i="3" s="1"/>
  <c r="V83" i="3"/>
  <c r="V104" i="3" s="1"/>
  <c r="Y80" i="3"/>
  <c r="Y81" i="3" s="1"/>
  <c r="U90" i="3"/>
  <c r="U86" i="3"/>
  <c r="Q19" i="2"/>
  <c r="Y20" i="2" s="1"/>
  <c r="AA20" i="2" s="1"/>
  <c r="G20" i="2" s="1"/>
  <c r="J20" i="2"/>
  <c r="F20" i="2"/>
  <c r="U61" i="3" l="1"/>
  <c r="U64" i="3"/>
  <c r="U63" i="3"/>
  <c r="U62" i="3"/>
  <c r="U92" i="3"/>
  <c r="U91" i="3"/>
  <c r="U88" i="3"/>
  <c r="V86" i="3"/>
  <c r="V90" i="3"/>
  <c r="K20" i="2"/>
  <c r="U20" i="2"/>
  <c r="W20" i="2" s="1"/>
  <c r="V91" i="3" l="1"/>
  <c r="V92" i="3"/>
  <c r="U95" i="3"/>
  <c r="U105" i="3"/>
  <c r="U106" i="3" s="1"/>
  <c r="O20" i="2"/>
  <c r="P20" i="2" s="1"/>
  <c r="X21" i="2" s="1"/>
  <c r="Z21" i="2" s="1"/>
  <c r="U108" i="3" l="1"/>
  <c r="V105" i="3"/>
  <c r="V106" i="3" s="1"/>
  <c r="V95" i="3"/>
  <c r="J21" i="2"/>
  <c r="F21" i="2"/>
  <c r="Q20" i="2"/>
  <c r="Y21" i="2" s="1"/>
  <c r="AA21" i="2" s="1"/>
  <c r="G21" i="2" s="1"/>
  <c r="V108" i="3" l="1"/>
  <c r="U109" i="3" s="1"/>
  <c r="U110" i="3" s="1"/>
  <c r="U21" i="2"/>
  <c r="W21" i="2" s="1"/>
  <c r="O21" i="2" s="1"/>
  <c r="Q21" i="2" s="1"/>
  <c r="K21" i="2"/>
  <c r="V109" i="3" l="1"/>
  <c r="V110" i="3" s="1"/>
  <c r="U98" i="3"/>
  <c r="U99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61" i="3" l="1"/>
  <c r="V62" i="3"/>
  <c r="V73" i="3" s="1"/>
  <c r="V72" i="3"/>
  <c r="X67" i="3" s="1"/>
  <c r="U100" i="3"/>
  <c r="U102" i="3" s="1"/>
  <c r="X82" i="3" s="1"/>
  <c r="X83" i="3" s="1"/>
  <c r="X104" i="3" s="1"/>
  <c r="V63" i="3"/>
  <c r="V74" i="3" s="1"/>
  <c r="V64" i="3"/>
  <c r="V75" i="3" s="1"/>
  <c r="K22" i="2"/>
  <c r="Y23" i="2" s="1"/>
  <c r="AA23" i="2" s="1"/>
  <c r="P22" i="2"/>
  <c r="X23" i="2" s="1"/>
  <c r="Z23" i="2" s="1"/>
  <c r="J23" i="2" s="1"/>
  <c r="Y54" i="3" l="1"/>
  <c r="Y67" i="3"/>
  <c r="V87" i="3"/>
  <c r="V88" i="3" s="1"/>
  <c r="X69" i="3"/>
  <c r="Y56" i="3"/>
  <c r="Y55" i="3"/>
  <c r="X68" i="3"/>
  <c r="Y57" i="3"/>
  <c r="X70" i="3"/>
  <c r="V102" i="3"/>
  <c r="Y82" i="3" s="1"/>
  <c r="Y83" i="3" s="1"/>
  <c r="Y104" i="3" s="1"/>
  <c r="X86" i="3"/>
  <c r="X90" i="3"/>
  <c r="G23" i="2"/>
  <c r="K23" i="2"/>
  <c r="F23" i="2"/>
  <c r="U23" i="2" s="1"/>
  <c r="W23" i="2" s="1"/>
  <c r="O23" i="2" s="1"/>
  <c r="Q23" i="2" s="1"/>
  <c r="Y24" i="2" s="1"/>
  <c r="AA24" i="2" s="1"/>
  <c r="X62" i="3" l="1"/>
  <c r="X61" i="3"/>
  <c r="X64" i="3"/>
  <c r="X63" i="3"/>
  <c r="Y58" i="3"/>
  <c r="X92" i="3"/>
  <c r="X91" i="3"/>
  <c r="X88" i="3"/>
  <c r="Y90" i="3"/>
  <c r="Y86" i="3"/>
  <c r="P23" i="2"/>
  <c r="X24" i="2" s="1"/>
  <c r="Z24" i="2" s="1"/>
  <c r="J24" i="2" s="1"/>
  <c r="G24" i="2"/>
  <c r="K24" i="2"/>
  <c r="Y92" i="3" l="1"/>
  <c r="Y91" i="3"/>
  <c r="X95" i="3"/>
  <c r="X105" i="3"/>
  <c r="X106" i="3" s="1"/>
  <c r="F24" i="2"/>
  <c r="U24" i="2" s="1"/>
  <c r="W24" i="2" s="1"/>
  <c r="O24" i="2" s="1"/>
  <c r="P24" i="2" s="1"/>
  <c r="X25" i="2" s="1"/>
  <c r="Z25" i="2" s="1"/>
  <c r="J25" i="2" s="1"/>
  <c r="X108" i="3" l="1"/>
  <c r="Y105" i="3"/>
  <c r="Y106" i="3" s="1"/>
  <c r="Y95" i="3"/>
  <c r="Q24" i="2"/>
  <c r="Y25" i="2" s="1"/>
  <c r="AA25" i="2" s="1"/>
  <c r="G25" i="2" s="1"/>
  <c r="F25" i="2"/>
  <c r="Y108" i="3" l="1"/>
  <c r="X109" i="3" s="1"/>
  <c r="X98" i="3" s="1"/>
  <c r="K25" i="2"/>
  <c r="U25" i="2"/>
  <c r="W25" i="2" s="1"/>
  <c r="O25" i="2" s="1"/>
  <c r="Q25" i="2" s="1"/>
  <c r="Y26" i="2" s="1"/>
  <c r="AA26" i="2" s="1"/>
  <c r="G26" i="2" s="1"/>
  <c r="X110" i="3" l="1"/>
  <c r="Y109" i="3"/>
  <c r="Y110" i="3" s="1"/>
  <c r="X100" i="3"/>
  <c r="X99" i="3"/>
  <c r="X101" i="3" s="1"/>
  <c r="P25" i="2"/>
  <c r="X26" i="2" s="1"/>
  <c r="Z26" i="2" s="1"/>
  <c r="J26" i="2" s="1"/>
  <c r="K26" i="2"/>
  <c r="X102" i="3" l="1"/>
  <c r="Y61" i="3"/>
  <c r="Y64" i="3"/>
  <c r="Y75" i="3" s="1"/>
  <c r="Y62" i="3"/>
  <c r="Y73" i="3" s="1"/>
  <c r="Y63" i="3"/>
  <c r="Y74" i="3" s="1"/>
  <c r="Y102" i="3"/>
  <c r="F26" i="2"/>
  <c r="U26" i="2" s="1"/>
  <c r="W26" i="2" s="1"/>
  <c r="O26" i="2" s="1"/>
  <c r="Q26" i="2" s="1"/>
  <c r="Y27" i="2" s="1"/>
  <c r="AA27" i="2" s="1"/>
  <c r="Y87" i="3" l="1"/>
  <c r="Y88" i="3" s="1"/>
  <c r="P26" i="2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<sst xmlns="http://schemas.openxmlformats.org/spreadsheetml/2006/main" count="353" uniqueCount="238">
  <si>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</si>
  <si>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</si>
  <si>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</si>
  <si>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</si>
  <si>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</si>
  <si>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</si>
  <si>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</si>
  <si>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</si>
  <si>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</si>
  <si>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</si>
  <si>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</si>
  <si>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</si>
  <si>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</si>
  <si>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</si>
  <si>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</si>
  <si>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</si>
  <si>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</si>
  <si>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</si>
  <si>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</si>
  <si>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</si>
  <si>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</si>
  <si>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</si>
  <si>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</si>
  <si>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</si>
  <si>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</si>
  <si>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</si>
  <si>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</si>
  <si>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</si>
  <si>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</si>
  <si>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</si>
  <si>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</si>
  <si>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</si>
  <si>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</si>
  <si>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</si>
  <si>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</si>
  <si>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</si>
  <si>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</si>
  <si>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</si>
  <si>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</si>
  <si>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</si>
  <si>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</si>
  <si>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</si>
  <si>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</si>
  <si>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</si>
  <si>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</si>
  <si>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</si>
  <si>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</si>
  <si>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</si>
  <si>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</si>
  <si>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</si>
  <si>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</si>
  <si>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</si>
  <si>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</si>
  <si>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</si>
  <si>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</si>
  <si>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</si>
  <si>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</si>
  <si>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</si>
  <si>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</si>
  <si>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</si>
  <si>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</si>
  <si>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</si>
  <si>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</si>
  <si>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</si>
  <si>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</si>
  <si>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</si>
  <si>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</si>
  <si>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</si>
  <si>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</si>
  <si>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</si>
  <si>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</si>
  <si>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</si>
  <si>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</si>
  <si>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</si>
  <si>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</si>
  <si>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</si>
  <si>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</si>
  <si>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</si>
  <si>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</si>
  <si>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</si>
  <si>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</si>
  <si>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</si>
  <si>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</si>
  <si>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</si>
  <si>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</si>
  <si>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</si>
  <si>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</si>
  <si>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</si>
  <si>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</si>
  <si>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</si>
  <si>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</si>
  <si>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</si>
  <si>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</si>
  <si>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</si>
  <si>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</si>
  <si>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</si>
  <si>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</si>
  <si>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</si>
  <si>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</si>
  <si>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</si>
  <si>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</si>
  <si>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</si>
  <si>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</si>
  <si>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</si>
  <si>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</si>
  <si>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</si>
  <si>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</si>
  <si>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</si>
  <si>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</si>
  <si>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</si>
  <si>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</si>
  <si>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</si>
  <si>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</si>
  <si>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</si>
  <si>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</si>
  <si>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</si>
  <si>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</si>
  <si>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</si>
  <si>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</si>
  <si>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</si>
  <si>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</si>
  <si>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total starting stock</t>
  </si>
  <si>
    <t>stock to allocate from original pool excluding conversion</t>
  </si>
  <si>
    <t>total starting stock in original</t>
  </si>
  <si>
    <t>total starting stock in new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</si>
  <si>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</si>
  <si>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</si>
  <si>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</si>
  <si>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</si>
  <si>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</si>
  <si>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</si>
  <si>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</si>
  <si>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</si>
  <si>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</si>
  <si>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</si>
  <si>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 new forest sequestration factor from NPP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</si>
  <si>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</si>
  <si>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</si>
  <si>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</si>
  <si>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</si>
  <si>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</si>
  <si>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</si>
  <si>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</si>
  <si>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 xml:space="preserve">dead storage (minimum fraction of original stock that must remain on the land to allow it to remain that land use type). Note that sequestration factors dcline linearly below the 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</si>
  <si>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</si>
  <si>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</si>
  <si>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</si>
  <si>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</si>
  <si>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</si>
  <si>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removals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</si>
  <si>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</si>
  <si>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</si>
  <si>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</si>
  <si>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</si>
  <si>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</si>
  <si>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NxN arrays</t>
  </si>
  <si>
    <t>c_stock_removal_allocation_t0</t>
  </si>
  <si>
    <t>c_stock_removal_allocation_t1</t>
  </si>
  <si>
    <t>c_stock_removal_allocation_t2</t>
  </si>
  <si>
    <t>c_stock_removal_allocation_t3</t>
  </si>
  <si>
    <t>arr_young_sf_base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</si>
  <si>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</si>
  <si>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</si>
  <si>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</si>
  <si>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</si>
  <si>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</si>
  <si>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</si>
  <si>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arr_conversion_away_total</t>
  </si>
  <si>
    <t>arr_conversion_away_new_forest_no_protection</t>
  </si>
  <si>
    <t>arr_conversion_away_new_forest</t>
  </si>
  <si>
    <t>arr_conversion_into</t>
  </si>
  <si>
    <t>arr_area_remaining_from_orig_after_conversion_away</t>
  </si>
  <si>
    <t>frac_biomass_from_conversion_available_for_use</t>
  </si>
  <si>
    <t>frac_biomass_dead_storage</t>
  </si>
  <si>
    <t>frac_biomass_buffer</t>
  </si>
  <si>
    <t>frac_biomass_adjustment_threshold</t>
  </si>
  <si>
    <t>arr_biomass_factor_stst_storage</t>
  </si>
  <si>
    <t>arr_biomass_factor_min_reqd</t>
  </si>
  <si>
    <t>arr_biomass_factor_healthy_available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</si>
  <si>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</si>
  <si>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</si>
  <si>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</si>
  <si>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</si>
  <si>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</si>
  <si>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</si>
  <si>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</si>
  <si>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</si>
  <si>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</si>
  <si>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c converted</t>
  </si>
  <si>
    <t>ag c lost from conversion</t>
  </si>
  <si>
    <t>bg c lost from conversion</t>
  </si>
  <si>
    <t>arr_annual_sf_nominal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</si>
  <si>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</si>
  <si>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</si>
  <si>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</si>
  <si>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</si>
  <si>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</si>
  <si>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other loss</t>
  </si>
  <si>
    <t>arr_biomass_bg_to_ag_ratio</t>
  </si>
  <si>
    <t>ratio of below ground biomass to above ground</t>
  </si>
  <si>
    <t>arr_c_available_from_conversion</t>
  </si>
  <si>
    <t>internal</t>
  </si>
  <si>
    <t>healthy storage available per ha</t>
  </si>
  <si>
    <t>arr_frac_biomass_ag_decomposition</t>
  </si>
  <si>
    <t>arr_biomass_c_ag_lost_conversion</t>
  </si>
  <si>
    <t>arr_biomass_c_bg_lost_conversion</t>
  </si>
  <si>
    <t>arr_biomass_c_removed</t>
  </si>
  <si>
    <t>arr_biomass_c_removed_from_young</t>
  </si>
  <si>
    <t>arr_young_stock_if_untouched (T x T)</t>
  </si>
  <si>
    <t>arr_young_sf_base_by_tp_planted (T x T)</t>
  </si>
  <si>
    <t>T = number of time periods</t>
  </si>
  <si>
    <t>arr_young_c_available_for_removals_mask (T x T)</t>
  </si>
  <si>
    <t>arr_young_area_by_tp_planted (T x T)   [e.g., col J]
arr_young_area_by_tp_planted_cumvals (T x T)   [e.g., col H]
arr_young_area_by_tp_planted_drops (T x T)   [e.g., col I]</t>
  </si>
  <si>
    <t>arr_young_c_stock_removal_allocation (T x T)   [e.g., col G]
arr_young_c_stock_removal_allocation_aux (T x T)   [e.g., col F]</t>
  </si>
  <si>
    <t>arr_biomass_c_converted_away</t>
  </si>
  <si>
    <t>arr_young_c_stock (T x T)</t>
  </si>
  <si>
    <t>arr_young_sf_adjusted_by_tp_planted (T x T)   [e.g., col J]
arr_young_sf_adjustment_factor (T x T)   [e.g., col I]</t>
  </si>
  <si>
    <t>(ref to above)</t>
  </si>
  <si>
    <t>arr_orig_sf_adjustment_factor</t>
  </si>
  <si>
    <t>arr_orig_biomass_c_if_untouched</t>
  </si>
  <si>
    <t>arr_orig_sf_nominal</t>
  </si>
  <si>
    <t>arr_orig_sf_adjusted</t>
  </si>
  <si>
    <t>arr_orig_biomass_ag_c_starting</t>
  </si>
  <si>
    <t>arr_orig_biomass_average_per_area</t>
  </si>
  <si>
    <t>arr_young_biomass_ag_c_starting</t>
  </si>
  <si>
    <t>arr_total_biomass_ag_c_starting</t>
  </si>
  <si>
    <t>arr_orig_biomass_c_allocation_excluding_conversion</t>
  </si>
  <si>
    <t>arr_biomass_c_removed_from_original_demanded</t>
  </si>
  <si>
    <t>arr_biomass_c_removed_from_original_unmet</t>
  </si>
  <si>
    <t>arr_biomass_c_removed_from_original_final</t>
  </si>
  <si>
    <t>arr_orig_frac_stock available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</si>
  <si>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</si>
  <si>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</si>
  <si>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</si>
  <si>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</si>
  <si>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</si>
  <si>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bg loss from degradation</t>
  </si>
  <si>
    <t>vec_young_c_available_for_removals_total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</si>
</sst>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2" fillId="3" borderId="0" xfId="0" applyFont="1" applyFill="1" applyAlignment="1">
      <alignment horizontal="right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29"/>
  <sheetViews>
    <sheetView tabSelected="1" topLeftCell="A33" zoomScaleNormal="95" workbookViewId="0">
      <selection activeCell="E53" sqref="E53"/>
    </sheetView>
  </sheetViews>
  <sheetFormatPr baseColWidth="10" defaultRowHeight="16" x14ac:dyDescent="0.2"/>
  <cols>
    <col min="1" max="1" width="52.33203125" style="33" customWidth="1"/>
    <col min="2" max="2" width="33.1640625" style="37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6640625" style="5" customWidth="1"/>
    <col min="18" max="19" width="13.33203125" style="4" customWidth="1"/>
    <col min="20" max="20" width="23.6640625" style="5" customWidth="1"/>
    <col min="21" max="22" width="13.33203125" style="4" customWidth="1"/>
    <col min="23" max="23" width="23.6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7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7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7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164</v>
      </c>
      <c r="B5" s="37" t="s">
        <v>182</v>
      </c>
      <c r="D5" s="31" t="s">
        <v>162</v>
      </c>
      <c r="E5" s="31" t="s">
        <v>163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140</v>
      </c>
      <c r="Y5" s="29"/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x14ac:dyDescent="0.2"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33" t="s">
        <v>165</v>
      </c>
      <c r="B7" s="37" t="s">
        <v>184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33" t="s">
        <v>166</v>
      </c>
      <c r="B8" s="42" t="s">
        <v>183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33" t="s">
        <v>167</v>
      </c>
      <c r="B9" s="42" t="s">
        <v>183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33" t="s">
        <v>168</v>
      </c>
      <c r="B10" s="41" t="s">
        <v>201</v>
      </c>
      <c r="E10" s="10" t="s">
        <v>152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33" t="s">
        <v>169</v>
      </c>
      <c r="B11" s="41" t="s">
        <v>201</v>
      </c>
      <c r="E11" s="10" t="s">
        <v>113</v>
      </c>
      <c r="G11" s="4">
        <f>MAX(G10-G24,0)</f>
        <v>0</v>
      </c>
      <c r="J11" s="4">
        <f>MAX(J10-J24,0)</f>
        <v>0</v>
      </c>
      <c r="M11" s="4">
        <f>MAX(M10-M24,0)</f>
        <v>0</v>
      </c>
      <c r="P11" s="4">
        <f>MAX(P10-P24,0)</f>
        <v>0</v>
      </c>
      <c r="S11" s="4">
        <f>MAX(S10-S24,0)</f>
        <v>0</v>
      </c>
      <c r="V11" s="4">
        <f>MAX(V10-V24,0)</f>
        <v>0</v>
      </c>
      <c r="Y11" s="4">
        <f>MAX(Y10-Y24,0)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33" t="s">
        <v>170</v>
      </c>
      <c r="B12" s="42" t="s">
        <v>183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33" t="s">
        <v>171</v>
      </c>
      <c r="B13" s="41" t="s">
        <v>201</v>
      </c>
      <c r="E13" s="10" t="s">
        <v>150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33" t="s">
        <v>172</v>
      </c>
      <c r="B14" s="42" t="s">
        <v>183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68" x14ac:dyDescent="0.2">
      <c r="A15" s="33" t="s">
        <v>173</v>
      </c>
      <c r="B15" s="42" t="s">
        <v>183</v>
      </c>
      <c r="E15" s="10" t="s">
        <v>143</v>
      </c>
      <c r="F15" s="4">
        <v>1E-3</v>
      </c>
      <c r="I15" s="4">
        <v>0.3</v>
      </c>
      <c r="L15" s="4">
        <v>0.3</v>
      </c>
      <c r="O15" s="4">
        <v>0.3</v>
      </c>
      <c r="R15" s="4">
        <v>0.3</v>
      </c>
      <c r="U15" s="4">
        <v>0.3</v>
      </c>
      <c r="X15" s="4">
        <v>0.3</v>
      </c>
      <c r="AC15" s="19">
        <v>1.8</v>
      </c>
      <c r="AD15" s="19">
        <f>SUM(AC$6:AC15)</f>
        <v>3.34</v>
      </c>
      <c r="AE15" s="19">
        <v>20</v>
      </c>
    </row>
    <row r="16" spans="1:39" ht="34" x14ac:dyDescent="0.2">
      <c r="A16" s="33" t="s">
        <v>174</v>
      </c>
      <c r="B16" s="42" t="s">
        <v>183</v>
      </c>
      <c r="D16" s="28" t="s">
        <v>118</v>
      </c>
      <c r="E16" s="10" t="s">
        <v>117</v>
      </c>
      <c r="F16" s="4">
        <v>0.2</v>
      </c>
      <c r="AC16" s="19">
        <v>3</v>
      </c>
      <c r="AD16" s="19">
        <f>SUM(AC$6:AC16)</f>
        <v>6.34</v>
      </c>
      <c r="AE16" s="19">
        <v>20</v>
      </c>
    </row>
    <row r="17" spans="1:31" ht="51" x14ac:dyDescent="0.2">
      <c r="A17" s="33" t="s">
        <v>175</v>
      </c>
      <c r="B17" s="42" t="s">
        <v>183</v>
      </c>
      <c r="D17" s="28"/>
      <c r="E17" s="10" t="s">
        <v>144</v>
      </c>
      <c r="F17" s="4">
        <v>0.67</v>
      </c>
      <c r="AC17" s="19">
        <v>6</v>
      </c>
      <c r="AD17" s="19">
        <f>SUM(AC$6:AC17)</f>
        <v>12.34</v>
      </c>
      <c r="AE17" s="19">
        <v>20</v>
      </c>
    </row>
    <row r="18" spans="1:31" ht="17" x14ac:dyDescent="0.2">
      <c r="A18" s="33" t="s">
        <v>176</v>
      </c>
      <c r="B18" s="42" t="s">
        <v>183</v>
      </c>
      <c r="E18" s="10" t="s">
        <v>116</v>
      </c>
      <c r="F18" s="4">
        <v>150</v>
      </c>
      <c r="G18" s="4">
        <v>100</v>
      </c>
      <c r="AC18" s="19">
        <v>10</v>
      </c>
      <c r="AD18" s="19">
        <f>SUM(AC$6:AC18)</f>
        <v>22.34</v>
      </c>
      <c r="AE18" s="19">
        <v>20</v>
      </c>
    </row>
    <row r="19" spans="1:31" ht="17" x14ac:dyDescent="0.2">
      <c r="A19" s="33" t="s">
        <v>198</v>
      </c>
      <c r="B19" s="42" t="s">
        <v>183</v>
      </c>
      <c r="E19" s="10" t="s">
        <v>199</v>
      </c>
      <c r="F19" s="4">
        <v>0.3</v>
      </c>
      <c r="G19" s="4">
        <v>0.25</v>
      </c>
      <c r="AC19" s="19"/>
      <c r="AD19" s="19"/>
      <c r="AE19" s="19"/>
    </row>
    <row r="20" spans="1:31" ht="17" x14ac:dyDescent="0.2">
      <c r="A20" s="33" t="s">
        <v>177</v>
      </c>
      <c r="B20" s="42" t="s">
        <v>183</v>
      </c>
      <c r="E20" s="10" t="s">
        <v>115</v>
      </c>
      <c r="F20" s="4">
        <f>F$18*$F$15</f>
        <v>0.15</v>
      </c>
      <c r="G20" s="4">
        <f>G$18*$F$15</f>
        <v>0.1</v>
      </c>
      <c r="AC20" s="19">
        <v>12</v>
      </c>
      <c r="AD20" s="19">
        <f>SUM(AC$6:AC20)</f>
        <v>34.340000000000003</v>
      </c>
      <c r="AE20" s="19">
        <v>20</v>
      </c>
    </row>
    <row r="21" spans="1:31" ht="17" x14ac:dyDescent="0.2">
      <c r="A21" s="33" t="s">
        <v>178</v>
      </c>
      <c r="B21" s="43" t="s">
        <v>201</v>
      </c>
      <c r="E21" s="10" t="s">
        <v>202</v>
      </c>
      <c r="F21" s="4">
        <f>F18-F20</f>
        <v>149.85</v>
      </c>
      <c r="G21" s="4">
        <f>G18-G20</f>
        <v>99.9</v>
      </c>
      <c r="AC21" s="19">
        <v>13.5</v>
      </c>
      <c r="AD21" s="19">
        <f>SUM(AC$6:AC21)</f>
        <v>47.84</v>
      </c>
      <c r="AE21" s="19">
        <v>20</v>
      </c>
    </row>
    <row r="22" spans="1:31" x14ac:dyDescent="0.2">
      <c r="AC22" s="19">
        <v>12</v>
      </c>
      <c r="AD22" s="19">
        <f>SUM(AC$6:AC22)</f>
        <v>59.84</v>
      </c>
      <c r="AE22" s="19">
        <v>20</v>
      </c>
    </row>
    <row r="23" spans="1:31" ht="17" x14ac:dyDescent="0.2">
      <c r="A23" s="33" t="s">
        <v>179</v>
      </c>
      <c r="B23" s="42" t="s">
        <v>183</v>
      </c>
      <c r="E23" s="10" t="s">
        <v>52</v>
      </c>
      <c r="F23" s="4">
        <v>5000</v>
      </c>
      <c r="G23" s="4">
        <v>50000</v>
      </c>
      <c r="I23" s="4">
        <v>5000</v>
      </c>
      <c r="J23" s="4">
        <v>50000</v>
      </c>
      <c r="L23" s="4">
        <v>5500</v>
      </c>
      <c r="M23" s="4">
        <v>50000</v>
      </c>
      <c r="O23" s="4">
        <v>6000</v>
      </c>
      <c r="P23" s="4">
        <v>50000</v>
      </c>
      <c r="R23" s="4">
        <v>6500</v>
      </c>
      <c r="S23" s="4">
        <v>49000</v>
      </c>
      <c r="U23" s="4">
        <v>7200</v>
      </c>
      <c r="V23" s="4">
        <v>49500</v>
      </c>
      <c r="X23" s="4">
        <v>7200</v>
      </c>
      <c r="Y23" s="4">
        <v>49500</v>
      </c>
      <c r="AC23" s="19">
        <v>10</v>
      </c>
      <c r="AD23" s="19">
        <f>SUM(AC$6:AC23)</f>
        <v>69.84</v>
      </c>
      <c r="AE23" s="19">
        <v>20</v>
      </c>
    </row>
    <row r="24" spans="1:31" ht="17" x14ac:dyDescent="0.2">
      <c r="A24" s="33" t="s">
        <v>180</v>
      </c>
      <c r="B24" s="44" t="s">
        <v>185</v>
      </c>
      <c r="E24" s="14" t="s">
        <v>108</v>
      </c>
      <c r="G24" s="4">
        <f>MAX(G$23-G$13, 0)</f>
        <v>0</v>
      </c>
      <c r="J24" s="4">
        <f>MAX(J$23-J$13, 0)</f>
        <v>0</v>
      </c>
      <c r="M24" s="4">
        <f>MAX(M$23-M$13, 0)</f>
        <v>0</v>
      </c>
      <c r="P24" s="4">
        <f>MAX(P$23-P$13, 0)</f>
        <v>0</v>
      </c>
      <c r="S24" s="4">
        <f>MAX(S$23-S$13, 0)</f>
        <v>0</v>
      </c>
      <c r="V24" s="4">
        <f>MAX(V$23-V$13, 0)</f>
        <v>0</v>
      </c>
      <c r="Y24" s="4">
        <f>MAX(Y$23-Y$13, 0)</f>
        <v>0</v>
      </c>
      <c r="AC24" s="19">
        <v>6</v>
      </c>
      <c r="AD24" s="19">
        <f>SUM(AC$6:AC24)</f>
        <v>75.84</v>
      </c>
      <c r="AE24" s="19">
        <v>20</v>
      </c>
    </row>
    <row r="25" spans="1:31" ht="17" x14ac:dyDescent="0.2">
      <c r="A25" s="33" t="s">
        <v>181</v>
      </c>
      <c r="B25" s="44" t="s">
        <v>185</v>
      </c>
      <c r="E25" s="14" t="s">
        <v>151</v>
      </c>
      <c r="F25" s="4">
        <f>MIN(F13,F23)</f>
        <v>5000</v>
      </c>
      <c r="G25" s="4">
        <f>MIN(G13,G23)-G24</f>
        <v>50000</v>
      </c>
      <c r="I25" s="4">
        <f>MIN(I13,I23)</f>
        <v>5000</v>
      </c>
      <c r="J25" s="4">
        <f>MIN(J13,J23)-J24</f>
        <v>50000</v>
      </c>
      <c r="L25" s="4">
        <f>MIN(L13,L23)</f>
        <v>5500</v>
      </c>
      <c r="M25" s="4">
        <f>MIN(M13,M23)-M24</f>
        <v>50000</v>
      </c>
      <c r="O25" s="4">
        <f>MIN(O13,O23)</f>
        <v>6000</v>
      </c>
      <c r="P25" s="4">
        <f>MIN(P13,P23)-P24</f>
        <v>50000</v>
      </c>
      <c r="R25" s="4">
        <f>MIN(R13,R23)</f>
        <v>6500</v>
      </c>
      <c r="S25" s="4">
        <f>MIN(S13,S23)-S24</f>
        <v>49000</v>
      </c>
      <c r="U25" s="4">
        <f>MIN(U13,U23)</f>
        <v>7200</v>
      </c>
      <c r="V25" s="4">
        <f>MIN(V13,V23)-V24</f>
        <v>49500</v>
      </c>
      <c r="X25" s="4">
        <f>MIN(X13,X23)</f>
        <v>7200</v>
      </c>
      <c r="Y25" s="4">
        <f>MIN(Y13,Y23)-Y24</f>
        <v>49500</v>
      </c>
      <c r="AC25" s="19">
        <v>3</v>
      </c>
      <c r="AD25" s="19">
        <f>SUM(AC$6:AC25)</f>
        <v>78.84</v>
      </c>
      <c r="AE25" s="19">
        <v>20</v>
      </c>
    </row>
    <row r="26" spans="1:31" ht="17" x14ac:dyDescent="0.2">
      <c r="E26" s="15" t="s">
        <v>193</v>
      </c>
      <c r="F26" s="8"/>
      <c r="G26" s="8"/>
      <c r="I26" s="8"/>
      <c r="J26" s="8"/>
      <c r="L26" s="8"/>
      <c r="M26" s="8"/>
      <c r="O26" s="8"/>
      <c r="P26" s="8"/>
      <c r="R26" s="8"/>
      <c r="S26" s="8"/>
      <c r="U26" s="8"/>
      <c r="V26" s="8"/>
      <c r="X26" s="8"/>
      <c r="Y26" s="8"/>
      <c r="AC26" s="19">
        <v>1.8</v>
      </c>
      <c r="AD26" s="19">
        <f>SUM(AC$6:AC26)</f>
        <v>80.64</v>
      </c>
      <c r="AE26" s="19">
        <v>20</v>
      </c>
    </row>
    <row r="27" spans="1:31" ht="73" customHeight="1" x14ac:dyDescent="0.2">
      <c r="A27" s="33" t="s">
        <v>191</v>
      </c>
      <c r="B27" s="42" t="s">
        <v>183</v>
      </c>
      <c r="D27" s="28" t="s">
        <v>194</v>
      </c>
      <c r="E27" s="34" t="s">
        <v>68</v>
      </c>
      <c r="F27" s="4">
        <v>0.3</v>
      </c>
      <c r="G27" s="4">
        <v>0.92</v>
      </c>
    </row>
    <row r="28" spans="1:31" ht="73" customHeight="1" x14ac:dyDescent="0.2">
      <c r="A28" s="33" t="s">
        <v>203</v>
      </c>
      <c r="B28" s="43" t="s">
        <v>201</v>
      </c>
      <c r="D28" s="28"/>
      <c r="E28" s="34" t="s">
        <v>195</v>
      </c>
      <c r="F28" s="4">
        <f>F27/F18</f>
        <v>2E-3</v>
      </c>
      <c r="G28" s="4">
        <f>F28</f>
        <v>2E-3</v>
      </c>
    </row>
    <row r="29" spans="1:31" ht="18" customHeight="1" x14ac:dyDescent="0.2">
      <c r="D29" s="35"/>
    </row>
    <row r="30" spans="1:31" ht="17" x14ac:dyDescent="0.2">
      <c r="E30" s="15" t="s">
        <v>56</v>
      </c>
      <c r="F30" s="8"/>
      <c r="G30" s="8"/>
      <c r="I30" s="8"/>
      <c r="J30" s="8"/>
      <c r="L30" s="8"/>
      <c r="M30" s="8"/>
      <c r="O30" s="8"/>
      <c r="P30" s="8"/>
      <c r="R30" s="8"/>
      <c r="S30" s="8"/>
      <c r="U30" s="8"/>
      <c r="V30" s="8"/>
      <c r="X30" s="8"/>
      <c r="Y30" s="8"/>
    </row>
    <row r="31" spans="1:31" ht="17" x14ac:dyDescent="0.2">
      <c r="A31" s="33" t="s">
        <v>192</v>
      </c>
      <c r="B31" s="42" t="s">
        <v>183</v>
      </c>
      <c r="E31" s="10" t="s">
        <v>53</v>
      </c>
      <c r="F31" s="4">
        <v>2000000</v>
      </c>
      <c r="I31" s="4">
        <v>2050000</v>
      </c>
      <c r="L31" s="4">
        <v>2110000</v>
      </c>
      <c r="O31" s="4">
        <v>2210000</v>
      </c>
      <c r="R31" s="4">
        <v>3000000</v>
      </c>
      <c r="U31" s="4">
        <v>25000000</v>
      </c>
      <c r="X31" s="4">
        <v>2520000</v>
      </c>
    </row>
    <row r="33" spans="1:26" ht="17" x14ac:dyDescent="0.2">
      <c r="E33" s="11" t="s">
        <v>57</v>
      </c>
      <c r="F33" s="12"/>
      <c r="G33" s="12"/>
      <c r="I33" s="12"/>
      <c r="J33" s="12"/>
      <c r="L33" s="12"/>
      <c r="M33" s="12"/>
      <c r="O33" s="12"/>
      <c r="P33" s="12"/>
      <c r="R33" s="12"/>
      <c r="S33" s="12"/>
      <c r="U33" s="12"/>
      <c r="V33" s="12"/>
      <c r="X33" s="12"/>
      <c r="Y33" s="12"/>
    </row>
    <row r="34" spans="1:26" ht="17" x14ac:dyDescent="0.2">
      <c r="E34" s="15" t="s">
        <v>145</v>
      </c>
      <c r="F34" s="8" t="s">
        <v>127</v>
      </c>
      <c r="G34" s="8"/>
      <c r="I34" s="4" t="s">
        <v>130</v>
      </c>
      <c r="L34" s="4" t="s">
        <v>130</v>
      </c>
      <c r="N34" s="5" t="s">
        <v>128</v>
      </c>
      <c r="O34" s="4" t="s">
        <v>130</v>
      </c>
    </row>
    <row r="35" spans="1:26" ht="17" x14ac:dyDescent="0.2">
      <c r="A35" s="33" t="s">
        <v>210</v>
      </c>
      <c r="E35" s="14" t="s">
        <v>88</v>
      </c>
      <c r="G35" s="4">
        <v>0</v>
      </c>
      <c r="H35" s="5">
        <f>SUM(J$35:J35)</f>
        <v>0</v>
      </c>
      <c r="J35" s="4">
        <v>0</v>
      </c>
      <c r="K35" s="5">
        <f>SUM(M$35:M35)</f>
        <v>0</v>
      </c>
      <c r="M35" s="4">
        <v>0</v>
      </c>
      <c r="N35" s="5">
        <f>SUM(P$35:P35)</f>
        <v>0</v>
      </c>
      <c r="P35" s="4">
        <v>0</v>
      </c>
      <c r="Q35" s="5">
        <f>SUM(S$35:S35)</f>
        <v>0</v>
      </c>
      <c r="S35" s="4">
        <v>0</v>
      </c>
      <c r="T35" s="5">
        <f>SUM(V$35:V35)</f>
        <v>0</v>
      </c>
      <c r="V35" s="4">
        <v>0</v>
      </c>
      <c r="W35" s="5">
        <f>SUM(Y$35:Y35)</f>
        <v>0</v>
      </c>
      <c r="Y35" s="4">
        <v>0</v>
      </c>
    </row>
    <row r="36" spans="1:26" ht="17" x14ac:dyDescent="0.2">
      <c r="A36" s="39" t="s">
        <v>212</v>
      </c>
      <c r="B36" s="38" t="s">
        <v>201</v>
      </c>
      <c r="E36" s="14" t="s">
        <v>87</v>
      </c>
      <c r="F36" s="4">
        <v>0</v>
      </c>
      <c r="G36" s="4">
        <f>G12</f>
        <v>85</v>
      </c>
      <c r="H36" s="5">
        <f>SUM(G$35:G36)</f>
        <v>85</v>
      </c>
      <c r="I36" s="4">
        <f>IF(H36&gt;=J$11, IF(H35&lt;J$11, J$11-H35, 0),G36)</f>
        <v>0</v>
      </c>
      <c r="J36" s="4">
        <f>G36-I36</f>
        <v>85</v>
      </c>
      <c r="K36" s="5">
        <f>SUM(J$35:J36)</f>
        <v>85</v>
      </c>
      <c r="L36" s="4">
        <f>IF(K36&gt;=M$11, IF(K35&lt;M$11, M$11-K35, 0),J36)</f>
        <v>0</v>
      </c>
      <c r="M36" s="4">
        <f>J36-L36</f>
        <v>85</v>
      </c>
      <c r="N36" s="5">
        <f>SUM(M$35:M36)</f>
        <v>85</v>
      </c>
      <c r="O36" s="4">
        <f>IF(N36&gt;=P$11, IF(N35&lt;P$11, P$11-N35, 0),M36)</f>
        <v>0</v>
      </c>
      <c r="P36" s="4">
        <f>M36-O36</f>
        <v>85</v>
      </c>
      <c r="Q36" s="5">
        <f>SUM(P$35:P36)</f>
        <v>85</v>
      </c>
      <c r="R36" s="4">
        <f>IF(Q36&gt;=S$11, IF(Q35&lt;S$11, S$11-Q35, 0),P36)</f>
        <v>0</v>
      </c>
      <c r="S36" s="4">
        <f>P36-R36</f>
        <v>85</v>
      </c>
      <c r="T36" s="5">
        <f>SUM(S$35:S36)</f>
        <v>85</v>
      </c>
      <c r="U36" s="4">
        <f>IF(T36&gt;=V$11, IF(T35&lt;V$11, V$11-T35, 0),S36)</f>
        <v>0</v>
      </c>
      <c r="V36" s="4">
        <f>S36-U36</f>
        <v>85</v>
      </c>
      <c r="W36" s="5">
        <f>SUM(V$35:V36)</f>
        <v>85</v>
      </c>
      <c r="X36" s="4">
        <f>IF(W36&gt;=Y$11, IF(W35&lt;Y$11, Y$11-W35, 0),V36)</f>
        <v>0</v>
      </c>
      <c r="Y36" s="4">
        <f>V36-X36</f>
        <v>85</v>
      </c>
    </row>
    <row r="37" spans="1:26" ht="17" x14ac:dyDescent="0.2">
      <c r="A37" s="40"/>
      <c r="B37" s="38"/>
      <c r="E37" s="14" t="s">
        <v>69</v>
      </c>
      <c r="F37" s="4">
        <v>0</v>
      </c>
      <c r="G37" s="4">
        <v>0</v>
      </c>
      <c r="H37" s="5">
        <f>SUM(G$35:G37)</f>
        <v>85</v>
      </c>
      <c r="I37" s="4">
        <f>IF(H37&gt;=J$11, IF(H36&lt;J$11, J$11-H36, 0),G37)</f>
        <v>0</v>
      </c>
      <c r="J37" s="4">
        <f>J12</f>
        <v>80</v>
      </c>
      <c r="K37" s="5">
        <f>SUM(J$35:J37)</f>
        <v>165</v>
      </c>
      <c r="L37" s="4">
        <f t="shared" ref="L37:L39" si="0">IF(K37&gt;=M$11, IF(K36&lt;M$11, M$11-K36, 0),J37)</f>
        <v>0</v>
      </c>
      <c r="M37" s="4">
        <f>J37-L37</f>
        <v>80</v>
      </c>
      <c r="N37" s="5">
        <f>SUM(M$35:M37)</f>
        <v>165</v>
      </c>
      <c r="O37" s="4">
        <f t="shared" ref="O37:O39" si="1">IF(N37&gt;=P$11, IF(N36&lt;P$11, P$11-N36, 0),M37)</f>
        <v>0</v>
      </c>
      <c r="P37" s="4">
        <f>M37-O37</f>
        <v>80</v>
      </c>
      <c r="Q37" s="5">
        <f>SUM(P$35:P37)</f>
        <v>165</v>
      </c>
      <c r="R37" s="4">
        <f t="shared" ref="R37:R39" si="2">IF(Q37&gt;=S$11, IF(Q36&lt;S$11, S$11-Q36, 0),P37)</f>
        <v>0</v>
      </c>
      <c r="S37" s="4">
        <f>P37-R37</f>
        <v>80</v>
      </c>
      <c r="T37" s="5">
        <f>SUM(S$35:S37)</f>
        <v>165</v>
      </c>
      <c r="U37" s="4">
        <f t="shared" ref="U37:U39" si="3">IF(T37&gt;=V$11, IF(T36&lt;V$11, V$11-T36, 0),S37)</f>
        <v>0</v>
      </c>
      <c r="V37" s="4">
        <f>S37-U37</f>
        <v>80</v>
      </c>
      <c r="W37" s="5">
        <f>SUM(V$35:V37)</f>
        <v>165</v>
      </c>
      <c r="X37" s="4">
        <f t="shared" ref="X37:X39" si="4">IF(W37&gt;=Y$11, IF(W36&lt;Y$11, Y$11-W36, 0),V37)</f>
        <v>0</v>
      </c>
      <c r="Y37" s="4">
        <f>V37-X37</f>
        <v>80</v>
      </c>
    </row>
    <row r="38" spans="1:26" ht="17" x14ac:dyDescent="0.2">
      <c r="A38" s="40"/>
      <c r="B38" s="38"/>
      <c r="E38" s="14" t="s">
        <v>79</v>
      </c>
      <c r="F38" s="4">
        <v>0</v>
      </c>
      <c r="G38" s="4">
        <v>0</v>
      </c>
      <c r="H38" s="5">
        <f>SUM(G$35:G38)</f>
        <v>85</v>
      </c>
      <c r="I38" s="4">
        <f t="shared" ref="I38:I39" si="5">IF(H38&gt;=J$11, IF(H37&lt;J$11, J$11-H37, 0),G38)</f>
        <v>0</v>
      </c>
      <c r="J38" s="4">
        <v>0</v>
      </c>
      <c r="K38" s="5">
        <f>SUM(J$35:J38)</f>
        <v>165</v>
      </c>
      <c r="L38" s="4">
        <f t="shared" si="0"/>
        <v>0</v>
      </c>
      <c r="M38" s="4">
        <f>M12</f>
        <v>92</v>
      </c>
      <c r="N38" s="5">
        <f>SUM(M$35:M38)</f>
        <v>257</v>
      </c>
      <c r="O38" s="4">
        <f t="shared" si="1"/>
        <v>0</v>
      </c>
      <c r="P38" s="4">
        <f>M38-O38</f>
        <v>92</v>
      </c>
      <c r="Q38" s="5">
        <f>SUM(P$35:P38)</f>
        <v>257</v>
      </c>
      <c r="R38" s="4">
        <f t="shared" si="2"/>
        <v>0</v>
      </c>
      <c r="S38" s="4">
        <f>P38-R38</f>
        <v>92</v>
      </c>
      <c r="T38" s="5">
        <f>SUM(S$35:S38)</f>
        <v>257</v>
      </c>
      <c r="U38" s="4">
        <f t="shared" si="3"/>
        <v>0</v>
      </c>
      <c r="V38" s="4">
        <f>S38-U38</f>
        <v>92</v>
      </c>
      <c r="W38" s="5">
        <f>SUM(V$35:V38)</f>
        <v>257</v>
      </c>
      <c r="X38" s="4">
        <f t="shared" si="4"/>
        <v>0</v>
      </c>
      <c r="Y38" s="4">
        <f>V38-X38</f>
        <v>92</v>
      </c>
    </row>
    <row r="39" spans="1:26" ht="17" x14ac:dyDescent="0.2">
      <c r="A39" s="40"/>
      <c r="B39" s="38"/>
      <c r="E39" s="14" t="s">
        <v>80</v>
      </c>
      <c r="F39" s="4">
        <v>0</v>
      </c>
      <c r="G39" s="4">
        <v>0</v>
      </c>
      <c r="H39" s="5">
        <f>SUM(G$35:G39)</f>
        <v>85</v>
      </c>
      <c r="I39" s="4">
        <f t="shared" si="5"/>
        <v>0</v>
      </c>
      <c r="J39" s="4">
        <v>0</v>
      </c>
      <c r="K39" s="5">
        <f>SUM(J$35:J39)</f>
        <v>165</v>
      </c>
      <c r="L39" s="4">
        <f t="shared" si="0"/>
        <v>0</v>
      </c>
      <c r="M39" s="4">
        <v>0</v>
      </c>
      <c r="N39" s="5">
        <f>SUM(M$35:M39)</f>
        <v>257</v>
      </c>
      <c r="O39" s="4">
        <f t="shared" si="1"/>
        <v>0</v>
      </c>
      <c r="P39" s="4">
        <f>P12</f>
        <v>43</v>
      </c>
      <c r="Q39" s="5">
        <f>SUM(P$35:P39)</f>
        <v>300</v>
      </c>
      <c r="R39" s="4">
        <f t="shared" si="2"/>
        <v>0</v>
      </c>
      <c r="S39" s="4">
        <f>P39-R39</f>
        <v>43</v>
      </c>
      <c r="T39" s="5">
        <f>SUM(S$35:S39)</f>
        <v>300</v>
      </c>
      <c r="U39" s="4">
        <f t="shared" si="3"/>
        <v>0</v>
      </c>
      <c r="V39" s="4">
        <f>S39-U39</f>
        <v>43</v>
      </c>
      <c r="W39" s="5">
        <f>SUM(V$35:V39)</f>
        <v>300</v>
      </c>
      <c r="X39" s="4">
        <f t="shared" si="4"/>
        <v>0</v>
      </c>
      <c r="Y39" s="4">
        <f>V39-X39</f>
        <v>43</v>
      </c>
    </row>
    <row r="40" spans="1:26" ht="17" x14ac:dyDescent="0.2">
      <c r="E40" s="14" t="s">
        <v>82</v>
      </c>
      <c r="Z40" t="s">
        <v>77</v>
      </c>
    </row>
    <row r="41" spans="1:26" x14ac:dyDescent="0.2">
      <c r="E41" s="14"/>
    </row>
    <row r="42" spans="1:26" ht="17" x14ac:dyDescent="0.2">
      <c r="A42" s="40" t="s">
        <v>209</v>
      </c>
      <c r="B42" s="38" t="s">
        <v>201</v>
      </c>
      <c r="E42" s="14" t="s">
        <v>90</v>
      </c>
      <c r="G42" s="4">
        <f>AC6</f>
        <v>0</v>
      </c>
      <c r="J42" s="4">
        <f>AC7</f>
        <v>0.01</v>
      </c>
      <c r="M42" s="4">
        <f>AC8</f>
        <v>0.05</v>
      </c>
      <c r="P42" s="4">
        <f>AC9</f>
        <v>0.12</v>
      </c>
      <c r="S42" s="4">
        <f>AC11</f>
        <v>0.2</v>
      </c>
      <c r="V42" s="4">
        <f>AC12</f>
        <v>0.36</v>
      </c>
      <c r="Y42" s="4">
        <f>AC14</f>
        <v>0.6</v>
      </c>
    </row>
    <row r="43" spans="1:26" ht="17" x14ac:dyDescent="0.2">
      <c r="A43" s="40"/>
      <c r="B43" s="38"/>
      <c r="E43" s="14" t="s">
        <v>91</v>
      </c>
      <c r="G43" s="4">
        <v>0</v>
      </c>
      <c r="J43" s="4">
        <v>0</v>
      </c>
      <c r="M43" s="4">
        <f>AC7</f>
        <v>0.01</v>
      </c>
      <c r="P43" s="4">
        <f>AC8</f>
        <v>0.05</v>
      </c>
      <c r="S43" s="4">
        <f>AC9</f>
        <v>0.12</v>
      </c>
      <c r="V43" s="4">
        <f>AC11</f>
        <v>0.2</v>
      </c>
      <c r="Y43" s="4">
        <f>AC12</f>
        <v>0.36</v>
      </c>
    </row>
    <row r="44" spans="1:26" ht="17" x14ac:dyDescent="0.2">
      <c r="A44" s="40"/>
      <c r="B44" s="38"/>
      <c r="E44" s="14" t="s">
        <v>92</v>
      </c>
      <c r="G44" s="4">
        <v>0</v>
      </c>
      <c r="J44" s="4">
        <v>0</v>
      </c>
      <c r="M44" s="4">
        <v>0</v>
      </c>
      <c r="P44" s="4">
        <f>AC7</f>
        <v>0.01</v>
      </c>
      <c r="S44" s="4">
        <f>AC8</f>
        <v>0.05</v>
      </c>
      <c r="V44" s="4">
        <f>AC9</f>
        <v>0.12</v>
      </c>
      <c r="Y44" s="4">
        <f>AC11</f>
        <v>0.2</v>
      </c>
    </row>
    <row r="45" spans="1:26" ht="17" x14ac:dyDescent="0.2">
      <c r="A45" s="40"/>
      <c r="B45" s="38"/>
      <c r="E45" s="14" t="s">
        <v>93</v>
      </c>
      <c r="G45" s="4">
        <v>0</v>
      </c>
      <c r="J45" s="4">
        <v>0</v>
      </c>
      <c r="M45" s="4">
        <v>0</v>
      </c>
      <c r="P45" s="4">
        <v>0</v>
      </c>
      <c r="S45" s="4">
        <f>AC7</f>
        <v>0.01</v>
      </c>
      <c r="V45" s="4">
        <f>AC8</f>
        <v>0.05</v>
      </c>
      <c r="Y45" s="4">
        <f>AC9</f>
        <v>0.12</v>
      </c>
    </row>
    <row r="46" spans="1:26" ht="17" x14ac:dyDescent="0.2">
      <c r="E46" s="14" t="s">
        <v>49</v>
      </c>
    </row>
    <row r="47" spans="1:26" x14ac:dyDescent="0.2">
      <c r="E47" s="14"/>
    </row>
    <row r="48" spans="1:26" ht="17" x14ac:dyDescent="0.2">
      <c r="A48" s="40" t="s">
        <v>208</v>
      </c>
      <c r="B48" s="38" t="s">
        <v>201</v>
      </c>
      <c r="E48" s="14" t="s">
        <v>109</v>
      </c>
      <c r="G48" s="4">
        <f>G36*G42</f>
        <v>0</v>
      </c>
      <c r="J48" s="4">
        <f>J36*J42</f>
        <v>0.85</v>
      </c>
      <c r="M48" s="4">
        <f>J48+M36*M42</f>
        <v>5.0999999999999996</v>
      </c>
      <c r="P48" s="4">
        <f>M48+P36*P42</f>
        <v>15.299999999999999</v>
      </c>
      <c r="S48" s="4">
        <f>P48+S36*S42</f>
        <v>32.299999999999997</v>
      </c>
      <c r="V48" s="4">
        <f>S48+V36*V42</f>
        <v>62.899999999999991</v>
      </c>
      <c r="Y48" s="4">
        <f>V48+Y36*Y42</f>
        <v>113.89999999999999</v>
      </c>
    </row>
    <row r="49" spans="1:30" ht="17" x14ac:dyDescent="0.2">
      <c r="A49" s="40"/>
      <c r="B49" s="38"/>
      <c r="D49" s="22" t="s">
        <v>155</v>
      </c>
      <c r="E49" s="14" t="s">
        <v>110</v>
      </c>
      <c r="J49" s="4">
        <f>J37*J43</f>
        <v>0</v>
      </c>
      <c r="M49" s="4">
        <f t="shared" ref="M49:M50" si="6">J49+M37*M43</f>
        <v>0.8</v>
      </c>
      <c r="P49" s="4">
        <f t="shared" ref="P49:P50" si="7">M49+P37*P43</f>
        <v>4.8</v>
      </c>
      <c r="S49" s="4">
        <f t="shared" ref="S49" si="8">P49+S37*S43</f>
        <v>14.399999999999999</v>
      </c>
      <c r="V49" s="4">
        <f t="shared" ref="V49" si="9">S49+V37*V43</f>
        <v>30.4</v>
      </c>
      <c r="Y49" s="4">
        <f t="shared" ref="Y49" si="10">V49+Y37*Y43</f>
        <v>59.199999999999996</v>
      </c>
    </row>
    <row r="50" spans="1:30" ht="17" x14ac:dyDescent="0.2">
      <c r="A50" s="40"/>
      <c r="B50" s="38"/>
      <c r="D50" s="28" t="s">
        <v>160</v>
      </c>
      <c r="E50" s="14" t="s">
        <v>111</v>
      </c>
      <c r="M50" s="4">
        <f t="shared" si="6"/>
        <v>0</v>
      </c>
      <c r="P50" s="4">
        <f t="shared" si="7"/>
        <v>0.92</v>
      </c>
      <c r="S50" s="4">
        <f>P50+S38*S44</f>
        <v>5.5200000000000005</v>
      </c>
      <c r="V50" s="4">
        <f>S50+V38*V44</f>
        <v>16.559999999999999</v>
      </c>
      <c r="Y50" s="4">
        <f>V50+Y38*Y44</f>
        <v>34.96</v>
      </c>
    </row>
    <row r="51" spans="1:30" ht="17" x14ac:dyDescent="0.2">
      <c r="A51" s="40"/>
      <c r="B51" s="38"/>
      <c r="D51" s="28"/>
      <c r="E51" s="14" t="s">
        <v>112</v>
      </c>
      <c r="M51" s="4">
        <f>J51+M39*M45</f>
        <v>0</v>
      </c>
      <c r="P51" s="4">
        <f>M51+P39*P45</f>
        <v>0</v>
      </c>
      <c r="S51" s="4">
        <f>P51+S39*S45</f>
        <v>0.43</v>
      </c>
      <c r="V51" s="4">
        <f>S51+V39*V45</f>
        <v>2.58</v>
      </c>
      <c r="Y51" s="4">
        <f>V51+Y39*Y45</f>
        <v>7.74</v>
      </c>
    </row>
    <row r="52" spans="1:30" ht="17" x14ac:dyDescent="0.2">
      <c r="D52" s="28"/>
      <c r="E52" s="14" t="s">
        <v>82</v>
      </c>
    </row>
    <row r="53" spans="1:30" x14ac:dyDescent="0.2">
      <c r="D53" s="28"/>
      <c r="E53" s="14"/>
    </row>
    <row r="54" spans="1:30" ht="17" x14ac:dyDescent="0.2">
      <c r="A54" s="40" t="s">
        <v>211</v>
      </c>
      <c r="B54" s="38" t="s">
        <v>201</v>
      </c>
      <c r="E54" s="14" t="s">
        <v>131</v>
      </c>
      <c r="G54" s="4">
        <v>0</v>
      </c>
      <c r="J54" s="4">
        <f>INT(I$4-$AE$6 &gt; $D62)*MAX(G72-$G$20*G36,0)</f>
        <v>0</v>
      </c>
      <c r="M54" s="4">
        <f>INT(L$4-$AE$6 &gt; $D62)*MAX(J72-$F$20*J36,0)</f>
        <v>0</v>
      </c>
      <c r="P54" s="4">
        <f>INT(O$4-$AE$6 &gt; $D62)*MAX(M72-$F$20*M36,0)</f>
        <v>0</v>
      </c>
      <c r="S54" s="4">
        <f>INT(R$4-$AE$6 &gt; $D62)*MAX(P72-$F$20*P36,0)</f>
        <v>2.5499999999999989</v>
      </c>
      <c r="V54" s="4">
        <f>INT(U$4-$AE$6 &gt; $D62)*MAX(S72-$F$20*S36,0)</f>
        <v>19.549999999999997</v>
      </c>
      <c r="Y54" s="4">
        <f>INT(X$4-$AE$6 &gt; $D62)*MAX(V72-$F$20*V36,0)</f>
        <v>30.599999999999994</v>
      </c>
    </row>
    <row r="55" spans="1:30" ht="17" x14ac:dyDescent="0.2">
      <c r="A55" s="40"/>
      <c r="B55" s="38"/>
      <c r="E55" s="14" t="s">
        <v>132</v>
      </c>
      <c r="G55" s="4">
        <v>0</v>
      </c>
      <c r="J55" s="4">
        <f>INT(I$4-$AE$6 &gt; $D63)*MAX(G73-$F$20*G37,0)</f>
        <v>0</v>
      </c>
      <c r="M55" s="4">
        <f>INT(L$4-$AE$6 &gt; $D63)*MAX(J73-$F$20*J37,0)</f>
        <v>0</v>
      </c>
      <c r="P55" s="4">
        <f>INT(O$4-$AE$6 &gt; $D63)*MAX(M73-$F$20*M37,0)</f>
        <v>0</v>
      </c>
      <c r="S55" s="4">
        <f>INT(R$4-$AE$6 &gt; $D63)*MAX(P73-$F$20*P37,0)</f>
        <v>0</v>
      </c>
      <c r="V55" s="4">
        <f>INT(U$4-$AE$6 &gt; $D63)*MAX(S73-$F$20*S37,0)</f>
        <v>2.3999999999999986</v>
      </c>
      <c r="Y55" s="4">
        <f>INT(X$4-$AE$6 &gt; $D63)*MAX(V73-$F$20*V37,0)</f>
        <v>16</v>
      </c>
    </row>
    <row r="56" spans="1:30" ht="17" x14ac:dyDescent="0.2">
      <c r="A56" s="40"/>
      <c r="B56" s="38"/>
      <c r="D56" s="28" t="s">
        <v>161</v>
      </c>
      <c r="E56" s="14" t="s">
        <v>133</v>
      </c>
      <c r="G56" s="4">
        <v>0</v>
      </c>
      <c r="J56" s="4">
        <f>INT(I$4-$AE$6 &gt; $D64)*MAX(G74-$F$20*G38,0)</f>
        <v>0</v>
      </c>
      <c r="M56" s="4">
        <f>INT(L$4-$AE$6 &gt; $D64)*MAX(J74-$F$20*J38,0)</f>
        <v>0</v>
      </c>
      <c r="P56" s="4">
        <f>INT(O$4-$AE$6 &gt; $D64)*MAX(M74-$F$20*M38,0)</f>
        <v>0</v>
      </c>
      <c r="S56" s="4">
        <f>INT(R$4-$AE$6 &gt; $D64)*MAX(P74-$F$20*P38,0)</f>
        <v>0</v>
      </c>
      <c r="V56" s="4">
        <f>INT(U$4-$AE$6 &gt; $D64)*MAX(S74-$F$20*S38,0)</f>
        <v>0</v>
      </c>
      <c r="Y56" s="4">
        <f>INT(X$4-$AE$6 &gt; $D64)*MAX(V74-$F$20*V38,0)</f>
        <v>2.76</v>
      </c>
    </row>
    <row r="57" spans="1:30" ht="17" x14ac:dyDescent="0.2">
      <c r="A57" s="40"/>
      <c r="B57" s="38"/>
      <c r="D57" s="28"/>
      <c r="E57" s="14" t="s">
        <v>134</v>
      </c>
      <c r="G57" s="4">
        <v>0</v>
      </c>
      <c r="J57" s="4">
        <f>INT(I$4-$AE$6 &gt; $D65)*MAX(G75-$F$20*G39,0)</f>
        <v>0</v>
      </c>
      <c r="M57" s="4">
        <f>SUM(M53:M56)</f>
        <v>0</v>
      </c>
      <c r="P57" s="4">
        <f>INT(O$4-$AE$6 &gt; $D65)*MAX(M75-$F$20*M39,0)</f>
        <v>0</v>
      </c>
      <c r="S57" s="4">
        <f>INT(R$4-$AE$6 &gt; $D65)*MAX(P75-$F$20*P39,0)</f>
        <v>0</v>
      </c>
      <c r="V57" s="4">
        <f>INT(U$4-$AE$6 &gt; $D65)*MAX(S75-$F$20*S39,0)</f>
        <v>0</v>
      </c>
      <c r="Y57" s="4">
        <f>INT(X$4-$AE$6 &gt; $D65)*MAX(V75-$F$20*V39,0)</f>
        <v>0</v>
      </c>
    </row>
    <row r="58" spans="1:30" ht="17" x14ac:dyDescent="0.2">
      <c r="A58" s="33" t="s">
        <v>237</v>
      </c>
      <c r="B58" s="41" t="s">
        <v>201</v>
      </c>
      <c r="D58" s="28"/>
      <c r="E58" s="14" t="s">
        <v>154</v>
      </c>
      <c r="G58" s="4"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2.5499999999999989</v>
      </c>
      <c r="V58" s="4">
        <f>SUM(V54:V57)</f>
        <v>21.949999999999996</v>
      </c>
      <c r="Y58" s="4">
        <f>SUM(Y54:Y57)</f>
        <v>49.359999999999992</v>
      </c>
      <c r="AD58" t="s">
        <v>106</v>
      </c>
    </row>
    <row r="59" spans="1:30" x14ac:dyDescent="0.2">
      <c r="D59" s="28"/>
      <c r="E59" s="14"/>
      <c r="AB59" t="s">
        <v>85</v>
      </c>
      <c r="AD59" t="s">
        <v>107</v>
      </c>
    </row>
    <row r="60" spans="1:30" ht="17" customHeight="1" x14ac:dyDescent="0.2">
      <c r="A60" s="39" t="s">
        <v>213</v>
      </c>
      <c r="B60" s="38" t="s">
        <v>201</v>
      </c>
      <c r="E60" s="14" t="s">
        <v>88</v>
      </c>
      <c r="F60" s="4">
        <v>0</v>
      </c>
      <c r="I60" s="4">
        <v>0</v>
      </c>
      <c r="L60" s="4">
        <v>0</v>
      </c>
      <c r="O60" s="4">
        <v>0</v>
      </c>
      <c r="R60" s="4">
        <v>0</v>
      </c>
      <c r="U60" s="4">
        <v>0</v>
      </c>
      <c r="X60" s="4">
        <v>0</v>
      </c>
      <c r="AB60" t="s">
        <v>86</v>
      </c>
    </row>
    <row r="61" spans="1:30" ht="17" x14ac:dyDescent="0.2">
      <c r="A61" s="39"/>
      <c r="B61" s="38"/>
      <c r="E61" s="14" t="s">
        <v>156</v>
      </c>
      <c r="F61" s="4">
        <f>SUM(G$54:G54)</f>
        <v>0</v>
      </c>
      <c r="G61" s="4">
        <f>IF(F61&gt;=F$101, IF(F60&lt;F$101, F$101-F60, 0),G54)</f>
        <v>0</v>
      </c>
      <c r="I61" s="4">
        <f>SUM(J$54:J54)</f>
        <v>0</v>
      </c>
      <c r="J61" s="4">
        <f>IF(I61&gt;=I$101, IF(I60&lt;I$101, I$101-I60, 0),J54)</f>
        <v>0</v>
      </c>
      <c r="L61" s="4">
        <f>SUM(M$54:M54)</f>
        <v>0</v>
      </c>
      <c r="M61" s="4">
        <f>IF(L61&gt;=L$101, IF(L60&lt;L$101, L$101-L60, 0),M54)</f>
        <v>0</v>
      </c>
      <c r="O61" s="4">
        <f>SUM(P$54:P54)</f>
        <v>0</v>
      </c>
      <c r="P61" s="4">
        <f>IF(O61&gt;=O$101, IF(O60&lt;O$101, O$101-O60, 0),P54)</f>
        <v>0</v>
      </c>
      <c r="R61" s="4">
        <f>SUM(S$54:S54)</f>
        <v>2.5499999999999989</v>
      </c>
      <c r="S61" s="4">
        <f>IF(R61&gt;=R$101, IF(R60&lt;R$101, R$101-R60, 0),S54)</f>
        <v>0</v>
      </c>
      <c r="U61" s="4">
        <f>SUM(V$54:V54)</f>
        <v>19.549999999999997</v>
      </c>
      <c r="V61" s="4">
        <f>IF(U61&gt;=U$101, IF(U60&lt;U$101, U$101-U60, 0),V54)</f>
        <v>19.549999999999997</v>
      </c>
      <c r="X61" s="4">
        <f>SUM(Y$54:Y54)</f>
        <v>30.599999999999994</v>
      </c>
      <c r="Y61" s="4">
        <f>IF(X61&gt;=X$101, IF(X60&lt;X$101, X$101-X60, 0),Y54)</f>
        <v>30.599999999999994</v>
      </c>
    </row>
    <row r="62" spans="1:30" ht="17" x14ac:dyDescent="0.2">
      <c r="A62" s="39"/>
      <c r="B62" s="38"/>
      <c r="D62" s="22">
        <v>0</v>
      </c>
      <c r="E62" s="14" t="s">
        <v>157</v>
      </c>
      <c r="F62" s="4">
        <f>SUM(G$54:G55)</f>
        <v>0</v>
      </c>
      <c r="G62" s="4">
        <f>IF(F62&gt;=F$101, IF(F61&lt;F$101, F$101-F61, 0),G55)</f>
        <v>0</v>
      </c>
      <c r="I62" s="4">
        <f>SUM(J$54:J55)</f>
        <v>0</v>
      </c>
      <c r="J62" s="4">
        <f>IF(I62&gt;=I$101, IF(I61&lt;I$101, I$101-I61, 0),J55)</f>
        <v>0</v>
      </c>
      <c r="L62" s="4">
        <f>SUM(M$54:M55)</f>
        <v>0</v>
      </c>
      <c r="M62" s="4">
        <f>IF(L62&gt;=L$101, IF(L61&lt;L$101, L$101-L61, 0),M55)</f>
        <v>0</v>
      </c>
      <c r="O62" s="4">
        <f>SUM(P$54:P55)</f>
        <v>0</v>
      </c>
      <c r="P62" s="4">
        <f>IF(O62&gt;=O$101, IF(O61&lt;O$101, O$101-O61, 0),P55)</f>
        <v>0</v>
      </c>
      <c r="R62" s="4">
        <f>SUM(S$54:S55)</f>
        <v>2.5499999999999989</v>
      </c>
      <c r="S62" s="4">
        <f>IF(R62&gt;=R$101, IF(R61&lt;R$101, R$101-R61, 0),S55)</f>
        <v>0</v>
      </c>
      <c r="U62" s="4">
        <f>SUM(V$54:V55)</f>
        <v>21.949999999999996</v>
      </c>
      <c r="V62" s="4">
        <f>IF(U62&gt;=U$101, IF(U61&lt;U$101, U$101-U61, 0),V55)</f>
        <v>2.3999999999999986</v>
      </c>
      <c r="X62" s="4">
        <f>SUM(Y$54:Y55)</f>
        <v>46.599999999999994</v>
      </c>
      <c r="Y62" s="4">
        <f>IF(X62&gt;=X$101, IF(X61&lt;X$101, X$101-X61, 0),Y55)</f>
        <v>16</v>
      </c>
    </row>
    <row r="63" spans="1:30" ht="17" x14ac:dyDescent="0.2">
      <c r="A63" s="39"/>
      <c r="B63" s="38"/>
      <c r="D63" s="22">
        <v>1</v>
      </c>
      <c r="E63" s="14" t="s">
        <v>158</v>
      </c>
      <c r="F63" s="4">
        <f>SUM(G$54:G56)</f>
        <v>0</v>
      </c>
      <c r="G63" s="4">
        <f>IF(F63&gt;=F$101, IF(F62&lt;F$101, F$101-F62, 0),G56)</f>
        <v>0</v>
      </c>
      <c r="I63" s="4">
        <f>SUM(J$54:J56)</f>
        <v>0</v>
      </c>
      <c r="J63" s="4">
        <f>IF(I63&gt;=I$101, IF(I62&lt;I$101, I$101-I62, 0),J56)</f>
        <v>0</v>
      </c>
      <c r="L63" s="4">
        <f>SUM(M$54:M56)</f>
        <v>0</v>
      </c>
      <c r="M63" s="4">
        <f>IF(L63&gt;=L$101, IF(L62&lt;L$101, L$101-L62, 0),M56)</f>
        <v>0</v>
      </c>
      <c r="O63" s="4">
        <f>SUM(P$54:P56)</f>
        <v>0</v>
      </c>
      <c r="P63" s="4">
        <f>IF(O63&gt;=O$101, IF(O62&lt;O$101, O$101-O62, 0),P56)</f>
        <v>0</v>
      </c>
      <c r="R63" s="4">
        <f>SUM(S$54:S56)</f>
        <v>2.5499999999999989</v>
      </c>
      <c r="S63" s="4">
        <f>IF(R63&gt;=R$101, IF(R62&lt;R$101, R$101-R62, 0),S56)</f>
        <v>0</v>
      </c>
      <c r="U63" s="4">
        <f>SUM(V$54:V56)</f>
        <v>21.949999999999996</v>
      </c>
      <c r="V63" s="4">
        <f>IF(U63&gt;=U$101, IF(U62&lt;U$101, U$101-U62, 0),V56)</f>
        <v>0</v>
      </c>
      <c r="X63" s="4">
        <f>SUM(Y$54:Y56)</f>
        <v>49.359999999999992</v>
      </c>
      <c r="Y63" s="4">
        <f>IF(X63&gt;=X$101, IF(X62&lt;X$101, X$101-X62, 0),Y56)</f>
        <v>2.759999999999998</v>
      </c>
    </row>
    <row r="64" spans="1:30" ht="17" x14ac:dyDescent="0.2">
      <c r="D64" s="22">
        <v>2</v>
      </c>
      <c r="E64" s="14" t="s">
        <v>159</v>
      </c>
      <c r="F64" s="4">
        <f>SUM(G$54:G57)</f>
        <v>0</v>
      </c>
      <c r="G64" s="4">
        <f>IF(F64&gt;=F$101, IF(F63&lt;F$101, F$101-F63, 0),G57)</f>
        <v>0</v>
      </c>
      <c r="I64" s="4">
        <f>SUM(J$54:J57)</f>
        <v>0</v>
      </c>
      <c r="J64" s="4">
        <f>IF(I64&gt;=I$101, IF(I63&lt;I$101, I$101-I63, 0),J57)</f>
        <v>0</v>
      </c>
      <c r="L64" s="4">
        <f>SUM(M$54:M57)</f>
        <v>0</v>
      </c>
      <c r="M64" s="4">
        <f>IF(L64&gt;=L$101, IF(L63&lt;L$101, L$101-L63, 0),M57)</f>
        <v>0</v>
      </c>
      <c r="O64" s="4">
        <f>SUM(P$54:P57)</f>
        <v>0</v>
      </c>
      <c r="P64" s="4">
        <f>IF(O64&gt;=O$101, IF(O63&lt;O$101, O$101-O63, 0),P57)</f>
        <v>0</v>
      </c>
      <c r="R64" s="4">
        <f>SUM(S$54:S57)</f>
        <v>2.5499999999999989</v>
      </c>
      <c r="S64" s="4">
        <f>IF(R64&gt;=R$101, IF(R63&lt;R$101, R$101-R63, 0),S57)</f>
        <v>0</v>
      </c>
      <c r="U64" s="4">
        <f>SUM(V$54:V57)</f>
        <v>21.949999999999996</v>
      </c>
      <c r="V64" s="4">
        <f>IF(U64&gt;=U$101, IF(U63&lt;U$101, U$101-U63, 0),V57)</f>
        <v>0</v>
      </c>
      <c r="X64" s="4">
        <f>SUM(Y$54:Y57)</f>
        <v>49.359999999999992</v>
      </c>
      <c r="Y64" s="4">
        <f>IF(X64&gt;=X$101, IF(X63&lt;X$101, X$101-X63, 0),Y57)</f>
        <v>0</v>
      </c>
    </row>
    <row r="65" spans="1:25" x14ac:dyDescent="0.2">
      <c r="D65" s="22">
        <v>3</v>
      </c>
      <c r="E65" s="14"/>
    </row>
    <row r="66" spans="1:25" x14ac:dyDescent="0.2">
      <c r="E66" s="14"/>
      <c r="I66" s="4" t="s">
        <v>141</v>
      </c>
      <c r="L66" s="4" t="s">
        <v>141</v>
      </c>
      <c r="O66" s="4" t="s">
        <v>141</v>
      </c>
      <c r="R66" s="4" t="s">
        <v>141</v>
      </c>
      <c r="U66" s="4" t="s">
        <v>141</v>
      </c>
      <c r="X66" s="4" t="s">
        <v>141</v>
      </c>
    </row>
    <row r="67" spans="1:25" ht="17" x14ac:dyDescent="0.2">
      <c r="A67" s="39" t="s">
        <v>216</v>
      </c>
      <c r="B67" s="38" t="s">
        <v>201</v>
      </c>
      <c r="E67" s="14" t="s">
        <v>136</v>
      </c>
      <c r="G67" s="4">
        <f>G42</f>
        <v>0</v>
      </c>
      <c r="I67" s="4">
        <f>IF(G72=0,1,MIN(MAX((G72/G48-$F$15)/($F$17-$F$15), 0), 1))</f>
        <v>1</v>
      </c>
      <c r="J67" s="4">
        <f>J42*I67</f>
        <v>0.01</v>
      </c>
      <c r="L67" s="4">
        <f>IF(J72=0,1,MIN(MAX((J72/J48-$F$15)/($F$17-$F$15), 0), 1))</f>
        <v>1</v>
      </c>
      <c r="M67" s="4">
        <f>M42*L67</f>
        <v>0.05</v>
      </c>
      <c r="O67" s="4">
        <f>IF(M72=0,1,MIN(MAX((M72/M48-$F$15)/($F$17-$F$15), 0), 1))</f>
        <v>1</v>
      </c>
      <c r="P67" s="4">
        <f>P42*O67</f>
        <v>0.12</v>
      </c>
      <c r="R67" s="4">
        <f>IF(P72=0,1,MIN(MAX((P72/P48-$F$15)/($F$17-$F$15), 0), 1))</f>
        <v>1</v>
      </c>
      <c r="S67" s="4">
        <f>S42*R67</f>
        <v>0.2</v>
      </c>
      <c r="U67" s="4">
        <f>IF(S72=0,1,MIN(MAX((S72/S48-$F$15)/($F$17-$F$15), 0), 1))</f>
        <v>1</v>
      </c>
      <c r="V67" s="4">
        <f>V42*U67</f>
        <v>0.36</v>
      </c>
      <c r="X67" s="4">
        <f>IF(V72=0,1,MIN(MAX((V72/V48-$F$15)/($F$17-$F$15), 0), 1))</f>
        <v>1</v>
      </c>
      <c r="Y67" s="4">
        <f>Y42*X67</f>
        <v>0.6</v>
      </c>
    </row>
    <row r="68" spans="1:25" ht="17" x14ac:dyDescent="0.2">
      <c r="A68" s="39"/>
      <c r="B68" s="38"/>
      <c r="E68" s="14" t="s">
        <v>137</v>
      </c>
      <c r="G68" s="4">
        <f>G43</f>
        <v>0</v>
      </c>
      <c r="I68" s="4">
        <f>IF(G73=0,1,MIN(MAX((G73/G49-$F$15)/($F$17-$F$15), 0), 1))</f>
        <v>1</v>
      </c>
      <c r="J68" s="4">
        <f>J43</f>
        <v>0</v>
      </c>
      <c r="L68" s="4">
        <f>IF(J73=0,1,MIN(MAX((J73/J49-$F$15)/($F$17-$F$15), 0), 1))</f>
        <v>1</v>
      </c>
      <c r="M68" s="4">
        <f>M43</f>
        <v>0.01</v>
      </c>
      <c r="O68" s="4">
        <f>IF(M73=0,1,MIN(MAX((M73/M49-$F$15)/($F$17-$F$15), 0), 1))</f>
        <v>1</v>
      </c>
      <c r="P68" s="4">
        <f>P43</f>
        <v>0.05</v>
      </c>
      <c r="R68" s="4">
        <f>IF(P73=0,1,MIN(MAX((P73/P49-$F$15)/($F$17-$F$15), 0), 1))</f>
        <v>1</v>
      </c>
      <c r="S68" s="4">
        <f>S43</f>
        <v>0.12</v>
      </c>
      <c r="U68" s="4">
        <f>IF(S73=0,1,MIN(MAX((S73/S49-$F$15)/($F$17-$F$15), 0), 1))</f>
        <v>1</v>
      </c>
      <c r="V68" s="4">
        <f>V43</f>
        <v>0.2</v>
      </c>
      <c r="X68" s="4">
        <f>IF(V73=0,1,MIN(MAX((V73/V49-$F$15)/($F$17-$F$15), 0), 1))</f>
        <v>1</v>
      </c>
      <c r="Y68" s="4">
        <f>Y43</f>
        <v>0.36</v>
      </c>
    </row>
    <row r="69" spans="1:25" ht="17" x14ac:dyDescent="0.2">
      <c r="A69" s="39"/>
      <c r="B69" s="38"/>
      <c r="E69" s="14" t="s">
        <v>138</v>
      </c>
      <c r="G69" s="4">
        <f>G44</f>
        <v>0</v>
      </c>
      <c r="I69" s="4">
        <f>IF(G74=0,1,MIN(MAX((G74/G50-$F$15)/($F$17-$F$15), 0), 1))</f>
        <v>1</v>
      </c>
      <c r="J69" s="4">
        <f>J44</f>
        <v>0</v>
      </c>
      <c r="L69" s="4">
        <f>IF(J74=0,1,MIN(MAX((J74/J50-$F$15)/($F$17-$F$15), 0), 1))</f>
        <v>1</v>
      </c>
      <c r="M69" s="4">
        <f>M44</f>
        <v>0</v>
      </c>
      <c r="O69" s="4">
        <f>IF(M74=0,1,MIN(MAX((M74/M50-$F$15)/($F$17-$F$15), 0), 1))</f>
        <v>1</v>
      </c>
      <c r="P69" s="4">
        <f>P44</f>
        <v>0.01</v>
      </c>
      <c r="R69" s="4">
        <f>IF(P74=0,1,MIN(MAX((P74/P50-$F$15)/($F$17-$F$15), 0), 1))</f>
        <v>1</v>
      </c>
      <c r="S69" s="4">
        <f>S44</f>
        <v>0.05</v>
      </c>
      <c r="U69" s="4">
        <f>IF(S74=0,1,MIN(MAX((S74/S50-$F$15)/($F$17-$F$15), 0), 1))</f>
        <v>1</v>
      </c>
      <c r="V69" s="4">
        <f>V44</f>
        <v>0.12</v>
      </c>
      <c r="X69" s="4">
        <f>IF(V74=0,1,MIN(MAX((V74/V50-$F$15)/($F$17-$F$15), 0), 1))</f>
        <v>1</v>
      </c>
      <c r="Y69" s="4">
        <f>Y44</f>
        <v>0.2</v>
      </c>
    </row>
    <row r="70" spans="1:25" ht="17" x14ac:dyDescent="0.2">
      <c r="A70" s="39"/>
      <c r="B70" s="38"/>
      <c r="E70" s="14" t="s">
        <v>139</v>
      </c>
      <c r="G70" s="4">
        <f>G45</f>
        <v>0</v>
      </c>
      <c r="I70" s="4">
        <f>IF(G75=0,1,MIN(MAX((G75/G51-$F$15)/($F$17-$F$15), 0), 1))</f>
        <v>1</v>
      </c>
      <c r="J70" s="4">
        <f>J45</f>
        <v>0</v>
      </c>
      <c r="L70" s="4">
        <f>IF(J75=0,1,MIN(MAX((J75/J51-$F$15)/($F$17-$F$15), 0), 1))</f>
        <v>1</v>
      </c>
      <c r="M70" s="4">
        <f>M45</f>
        <v>0</v>
      </c>
      <c r="O70" s="4">
        <f>IF(M75=0,1,MIN(MAX((M75/M51-$F$15)/($F$17-$F$15), 0), 1))</f>
        <v>1</v>
      </c>
      <c r="P70" s="4">
        <f>P45</f>
        <v>0</v>
      </c>
      <c r="R70" s="4">
        <f>IF(P75=0,1,MIN(MAX((P75/P51-$F$15)/($F$17-$F$15), 0), 1))</f>
        <v>1</v>
      </c>
      <c r="S70" s="4">
        <f>S45</f>
        <v>0.01</v>
      </c>
      <c r="U70" s="4">
        <f>IF(S75=0,1,MIN(MAX((S75/S51-$F$15)/($F$17-$F$15), 0), 1))</f>
        <v>1</v>
      </c>
      <c r="V70" s="4">
        <f>V45</f>
        <v>0.05</v>
      </c>
      <c r="X70" s="4">
        <f>IF(V75=0,1,MIN(MAX((V75/V51-$F$15)/($F$17-$F$15), 0), 1))</f>
        <v>1</v>
      </c>
      <c r="Y70" s="4">
        <f>Y45</f>
        <v>0.12</v>
      </c>
    </row>
    <row r="71" spans="1:25" x14ac:dyDescent="0.2">
      <c r="E71" s="14"/>
    </row>
    <row r="72" spans="1:25" ht="17" x14ac:dyDescent="0.2">
      <c r="A72" s="39" t="s">
        <v>215</v>
      </c>
      <c r="B72" s="38" t="s">
        <v>201</v>
      </c>
      <c r="E72" s="14" t="s">
        <v>70</v>
      </c>
      <c r="G72" s="4">
        <f>G42*G36</f>
        <v>0</v>
      </c>
      <c r="J72" s="4">
        <f>G72+J36*J67-J61</f>
        <v>0.85</v>
      </c>
      <c r="M72" s="4">
        <f>J72+M36*M67-M61</f>
        <v>5.0999999999999996</v>
      </c>
      <c r="P72" s="4">
        <f>M72+P36*P67-P61</f>
        <v>15.299999999999999</v>
      </c>
      <c r="S72" s="4">
        <f>P72+S36*S67-S61</f>
        <v>32.299999999999997</v>
      </c>
      <c r="V72" s="4">
        <f>S72+V36*V67-V61</f>
        <v>43.349999999999994</v>
      </c>
      <c r="Y72" s="4">
        <f>V72+Y36*Y67-Y61</f>
        <v>63.75</v>
      </c>
    </row>
    <row r="73" spans="1:25" ht="17" x14ac:dyDescent="0.2">
      <c r="A73" s="39"/>
      <c r="B73" s="38"/>
      <c r="E73" s="14" t="s">
        <v>71</v>
      </c>
      <c r="G73" s="4">
        <f>G43*G37</f>
        <v>0</v>
      </c>
      <c r="J73" s="4">
        <f>G73+J37*J68-J62</f>
        <v>0</v>
      </c>
      <c r="M73" s="4">
        <f>J73+M37*M68-M62</f>
        <v>0.8</v>
      </c>
      <c r="P73" s="4">
        <f>M73+P37*P68-P62</f>
        <v>4.8</v>
      </c>
      <c r="S73" s="4">
        <f>P73+S37*S68-S62</f>
        <v>14.399999999999999</v>
      </c>
      <c r="V73" s="4">
        <f>S73+V37*V68-V62</f>
        <v>28</v>
      </c>
      <c r="Y73" s="4">
        <f>V73+Y37*Y68-Y62</f>
        <v>40.799999999999997</v>
      </c>
    </row>
    <row r="74" spans="1:25" ht="17" x14ac:dyDescent="0.2">
      <c r="A74" s="39"/>
      <c r="B74" s="38"/>
      <c r="E74" s="14" t="s">
        <v>72</v>
      </c>
      <c r="G74" s="4">
        <f>G44*G38</f>
        <v>0</v>
      </c>
      <c r="J74" s="4">
        <f t="shared" ref="J73:J75" si="11">G74+J38*J69-J63</f>
        <v>0</v>
      </c>
      <c r="M74" s="4">
        <f t="shared" ref="M74" si="12">J74+M38*M69-M63</f>
        <v>0</v>
      </c>
      <c r="P74" s="4">
        <f t="shared" ref="P74" si="13">M74+P38*P69-P63</f>
        <v>0.92</v>
      </c>
      <c r="S74" s="4">
        <f t="shared" ref="S74" si="14">P74+S38*S69-S63</f>
        <v>5.5200000000000005</v>
      </c>
      <c r="V74" s="4">
        <f t="shared" ref="V74" si="15">S74+V38*V69-V63</f>
        <v>16.559999999999999</v>
      </c>
      <c r="Y74" s="4">
        <f t="shared" ref="Y74" si="16">V74+Y38*Y69-Y63</f>
        <v>32.200000000000003</v>
      </c>
    </row>
    <row r="75" spans="1:25" ht="17" x14ac:dyDescent="0.2">
      <c r="A75" s="39"/>
      <c r="B75" s="38"/>
      <c r="D75" s="28" t="s">
        <v>135</v>
      </c>
      <c r="E75" s="14" t="s">
        <v>81</v>
      </c>
      <c r="G75" s="4">
        <f>G45*G39</f>
        <v>0</v>
      </c>
      <c r="J75" s="4">
        <f>G75+J39*J70-J64</f>
        <v>0</v>
      </c>
      <c r="M75" s="4">
        <f>J75+M39*M70-M64</f>
        <v>0</v>
      </c>
      <c r="P75" s="4">
        <f>M75+P39*P70-P64</f>
        <v>0</v>
      </c>
      <c r="S75" s="4">
        <f>P75+S39*S70-S64</f>
        <v>0.43</v>
      </c>
      <c r="V75" s="4">
        <f>S75+V39*V70-V64</f>
        <v>2.58</v>
      </c>
      <c r="Y75" s="4">
        <f>V75+Y39*Y70-Y64</f>
        <v>7.74</v>
      </c>
    </row>
    <row r="76" spans="1:25" x14ac:dyDescent="0.2">
      <c r="D76" s="28"/>
      <c r="E76" s="14"/>
    </row>
    <row r="77" spans="1:25" ht="17" x14ac:dyDescent="0.2">
      <c r="D77" s="28"/>
      <c r="E77" s="15" t="s">
        <v>146</v>
      </c>
      <c r="F77" s="8" t="s">
        <v>127</v>
      </c>
      <c r="G77" s="8"/>
    </row>
    <row r="78" spans="1:25" ht="17" x14ac:dyDescent="0.2">
      <c r="A78" s="33" t="s">
        <v>220</v>
      </c>
      <c r="B78" s="45" t="s">
        <v>217</v>
      </c>
      <c r="D78" s="28"/>
      <c r="E78" s="14" t="s">
        <v>90</v>
      </c>
      <c r="F78" s="4">
        <f>$F$27</f>
        <v>0.3</v>
      </c>
      <c r="G78" s="4">
        <f>$G$27</f>
        <v>0.92</v>
      </c>
      <c r="I78" s="4">
        <f>$F$27</f>
        <v>0.3</v>
      </c>
      <c r="J78" s="4">
        <f>$G$27</f>
        <v>0.92</v>
      </c>
      <c r="L78" s="4">
        <f>$F$27</f>
        <v>0.3</v>
      </c>
      <c r="M78" s="4">
        <f>$G$27</f>
        <v>0.92</v>
      </c>
      <c r="O78" s="4">
        <f>$F$27</f>
        <v>0.3</v>
      </c>
      <c r="P78" s="4">
        <f>$G$27</f>
        <v>0.92</v>
      </c>
      <c r="R78" s="4">
        <f>$F$27</f>
        <v>0.3</v>
      </c>
      <c r="S78" s="4">
        <f>$G$27</f>
        <v>0.92</v>
      </c>
      <c r="U78" s="4">
        <f>$F$27</f>
        <v>0.3</v>
      </c>
      <c r="V78" s="4">
        <f>$G$27</f>
        <v>0.92</v>
      </c>
      <c r="X78" s="4">
        <f>$F$27</f>
        <v>0.3</v>
      </c>
      <c r="Y78" s="4">
        <f>$G$27</f>
        <v>0.92</v>
      </c>
    </row>
    <row r="79" spans="1:25" ht="17" x14ac:dyDescent="0.2">
      <c r="A79" s="33" t="s">
        <v>219</v>
      </c>
      <c r="B79" s="41" t="s">
        <v>201</v>
      </c>
      <c r="E79" s="14" t="s">
        <v>147</v>
      </c>
      <c r="F79" s="4">
        <f>F7*$F$18</f>
        <v>1500000</v>
      </c>
      <c r="G79" s="4">
        <f>G7*$G$18</f>
        <v>25000000</v>
      </c>
      <c r="I79" s="4">
        <f>I7*$F$18</f>
        <v>1492500</v>
      </c>
      <c r="J79" s="4">
        <f>J7*$G$18</f>
        <v>24990000</v>
      </c>
      <c r="L79" s="4">
        <f>L7*$F$18</f>
        <v>1483200</v>
      </c>
      <c r="M79" s="4">
        <f>M7*$G$18</f>
        <v>24979000</v>
      </c>
      <c r="O79" s="4">
        <f>O7*$F$18</f>
        <v>1474500</v>
      </c>
      <c r="P79" s="4">
        <f>P7*$G$18</f>
        <v>24969600</v>
      </c>
      <c r="R79" s="4">
        <f>R7*$F$18</f>
        <v>1464000</v>
      </c>
      <c r="S79" s="4">
        <f>S7*$G$18</f>
        <v>24950400</v>
      </c>
      <c r="U79" s="4">
        <f>U7*$F$18</f>
        <v>1449000</v>
      </c>
      <c r="V79" s="4">
        <f>V7*$G$18</f>
        <v>24946500</v>
      </c>
      <c r="X79" s="4">
        <f>X7*$F$18</f>
        <v>1434300</v>
      </c>
      <c r="Y79" s="4">
        <f>Y7*$G$18</f>
        <v>24936000</v>
      </c>
    </row>
    <row r="80" spans="1:25" ht="17" x14ac:dyDescent="0.2">
      <c r="A80" s="33" t="s">
        <v>218</v>
      </c>
      <c r="B80" s="41" t="s">
        <v>201</v>
      </c>
      <c r="E80" s="14" t="s">
        <v>186</v>
      </c>
      <c r="F80" s="4">
        <v>1</v>
      </c>
      <c r="G80" s="4">
        <v>1</v>
      </c>
      <c r="I80" s="4">
        <f>IF(F82=0,0,MIN(MAX((F82/F79-$F$15)/($F$17-$F$15), 0), 1))</f>
        <v>1</v>
      </c>
      <c r="J80" s="4">
        <f>IF(G82=0,0,MIN(MAX((G82/G79-$F$15)/($F$17-$F$15), 0), 1))</f>
        <v>1</v>
      </c>
      <c r="L80" s="4">
        <f>IF(I82=0,0,MIN(MAX((I82/I79-$F$15)/($F$17-$F$15), 0), 1))</f>
        <v>1</v>
      </c>
      <c r="M80" s="4">
        <f>IF(J82=0,0,MIN(MAX((J82/J79-$F$15)/($F$17-$F$15), 0), 1))</f>
        <v>1</v>
      </c>
      <c r="O80" s="4">
        <f>IF(L82=0,0,MIN(MAX((L82/L79-$F$15)/($F$17-$F$15), 0), 1))</f>
        <v>1</v>
      </c>
      <c r="P80" s="4">
        <f>IF(M82=0,0,MIN(MAX((M82/M79-$F$15)/($F$17-$F$15), 0), 1))</f>
        <v>1</v>
      </c>
      <c r="R80" s="4">
        <f>IF(O82=0,0,MIN(MAX((O82/O79-$F$15)/($F$17-$F$15), 0), 1))</f>
        <v>1</v>
      </c>
      <c r="S80" s="4">
        <f>IF(P82=0,0,MIN(MAX((P82/P79-$F$15)/($F$17-$F$15), 0), 1))</f>
        <v>1</v>
      </c>
      <c r="U80" s="4">
        <f>IF(R82=0,0,MIN(MAX((R82/R79-$F$15)/($F$17-$F$15), 0), 1))</f>
        <v>1</v>
      </c>
      <c r="V80" s="4">
        <f>IF(S82=0,0,MIN(MAX((S82/S79-$F$15)/($F$17-$F$15), 0), 1))</f>
        <v>1</v>
      </c>
      <c r="X80" s="4">
        <f>IF(U82=0,0,MIN(MAX((U82/U79-$F$15)/($F$17-$F$15), 0), 1))</f>
        <v>1</v>
      </c>
      <c r="Y80" s="4">
        <f>IF(V82=0,0,MIN(MAX((V82/V79-$F$15)/($F$17-$F$15), 0), 1))</f>
        <v>0.89139235505764625</v>
      </c>
    </row>
    <row r="81" spans="1:28" ht="17" x14ac:dyDescent="0.2">
      <c r="A81" s="33" t="s">
        <v>221</v>
      </c>
      <c r="B81" s="44" t="s">
        <v>185</v>
      </c>
      <c r="E81" s="14" t="s">
        <v>136</v>
      </c>
      <c r="F81" s="4">
        <f>F78</f>
        <v>0.3</v>
      </c>
      <c r="G81" s="4">
        <f>G78</f>
        <v>0.92</v>
      </c>
      <c r="I81" s="4">
        <f xml:space="preserve"> I78*I80</f>
        <v>0.3</v>
      </c>
      <c r="J81" s="4">
        <f>J78*J80</f>
        <v>0.92</v>
      </c>
      <c r="L81" s="4">
        <f xml:space="preserve"> L78*L80</f>
        <v>0.3</v>
      </c>
      <c r="M81" s="4">
        <f>M78*M80</f>
        <v>0.92</v>
      </c>
      <c r="O81" s="4">
        <f xml:space="preserve"> O78*O80</f>
        <v>0.3</v>
      </c>
      <c r="P81" s="4">
        <f>P78*P80</f>
        <v>0.92</v>
      </c>
      <c r="R81" s="4">
        <f xml:space="preserve"> R78*R80</f>
        <v>0.3</v>
      </c>
      <c r="S81" s="4">
        <f>S78*S80</f>
        <v>0.92</v>
      </c>
      <c r="U81" s="4">
        <f xml:space="preserve"> U78*U80</f>
        <v>0.3</v>
      </c>
      <c r="V81" s="4">
        <f>V78*V80</f>
        <v>0.92</v>
      </c>
      <c r="X81" s="4">
        <f xml:space="preserve"> X78*X80</f>
        <v>0.3</v>
      </c>
      <c r="Y81" s="4">
        <f>Y78*Y80</f>
        <v>0.82008096665303454</v>
      </c>
    </row>
    <row r="82" spans="1:28" ht="17" x14ac:dyDescent="0.2">
      <c r="A82" s="33" t="s">
        <v>222</v>
      </c>
      <c r="B82" s="44" t="s">
        <v>185</v>
      </c>
      <c r="E82" s="14" t="s">
        <v>196</v>
      </c>
      <c r="F82" s="4">
        <f>F7*F18</f>
        <v>1500000</v>
      </c>
      <c r="G82" s="4">
        <f>G7*G18</f>
        <v>25000000</v>
      </c>
      <c r="I82" s="4">
        <f>(F82 - F102 - F90)*(1 - $F$28) +I81*I7</f>
        <v>1421016.5802484024</v>
      </c>
      <c r="J82" s="4">
        <f>(G82 - G102 - G90)*(1 - $F$28) +J81*J7</f>
        <v>23245411.419751596</v>
      </c>
      <c r="L82" s="4">
        <f>(I82 - I102 - I90)*(1 - $F$28) +L81*L7</f>
        <v>1338234.0119069477</v>
      </c>
      <c r="M82" s="4">
        <f>(J82 - J102 - J90)*(1 - $F$28) +M81*M7</f>
        <v>21446685.855861954</v>
      </c>
      <c r="O82" s="4">
        <f>(L82 - L102 - L90)*(1 - $F$28) +O81*O7</f>
        <v>1261074.3620328091</v>
      </c>
      <c r="P82" s="4">
        <f>(M82 - M102 - M90)*(1 - $F$28) +P81*P7</f>
        <v>19589276.419903073</v>
      </c>
      <c r="R82" s="4">
        <f>(O82 - O102 - O90)*(1 - $F$28) +R81*R7</f>
        <v>1186570.0048549743</v>
      </c>
      <c r="S82" s="4">
        <f>(P82 - P102 - P90)*(1 - $F$28) +S81*S7</f>
        <v>17624976.777235985</v>
      </c>
      <c r="U82" s="4">
        <f>(R82 - R102 - R90)*(1 - $F$28) +U81*U7</f>
        <v>1095867.5027670106</v>
      </c>
      <c r="V82" s="4">
        <f>(S82 - S102 - S90)*(1 - $F$28) +V81*V7</f>
        <v>14901579.368863089</v>
      </c>
      <c r="X82" s="4">
        <f>(U82 - U102 - U90)*(1 - $F$28) +X81*X7</f>
        <v>818384.25432780851</v>
      </c>
      <c r="Y82" s="4">
        <f>(V82 - V102 - V90)*(1 - $F$28) +Y81*Y7</f>
        <v>3175368.0905289678</v>
      </c>
    </row>
    <row r="83" spans="1:28" ht="17" x14ac:dyDescent="0.2">
      <c r="A83" s="33" t="s">
        <v>223</v>
      </c>
      <c r="B83" s="44" t="s">
        <v>185</v>
      </c>
      <c r="E83" s="14" t="s">
        <v>148</v>
      </c>
      <c r="F83" s="4">
        <f>F82/F7</f>
        <v>150</v>
      </c>
      <c r="G83" s="4">
        <f>G82/G7</f>
        <v>100</v>
      </c>
      <c r="I83" s="4">
        <f>I82/I7</f>
        <v>142.81573670838216</v>
      </c>
      <c r="J83" s="4">
        <f>J82/J7</f>
        <v>93.018853220294503</v>
      </c>
      <c r="L83" s="4">
        <f>L82/L7</f>
        <v>135.33920023330782</v>
      </c>
      <c r="M83" s="4">
        <f>M82/M7</f>
        <v>85.858864869938571</v>
      </c>
      <c r="O83" s="4">
        <f>O82/O7</f>
        <v>128.28833794840378</v>
      </c>
      <c r="P83" s="4">
        <f>P82/P7</f>
        <v>78.452503924384345</v>
      </c>
      <c r="R83" s="4">
        <f>R82/R7</f>
        <v>121.5747955794031</v>
      </c>
      <c r="S83" s="4">
        <f>S82/S7</f>
        <v>70.640056981996224</v>
      </c>
      <c r="U83" s="4">
        <f>U82/U7</f>
        <v>113.44384086615017</v>
      </c>
      <c r="V83" s="4">
        <f>V82/V7</f>
        <v>59.73414855335654</v>
      </c>
      <c r="X83" s="4">
        <f>X82/X7</f>
        <v>85.587142263941487</v>
      </c>
      <c r="Y83" s="4">
        <f>Y82/Y7</f>
        <v>12.73407158537443</v>
      </c>
    </row>
    <row r="84" spans="1:28" x14ac:dyDescent="0.2">
      <c r="E84" s="13"/>
    </row>
    <row r="85" spans="1:28" ht="17" x14ac:dyDescent="0.2">
      <c r="E85" s="11" t="s">
        <v>58</v>
      </c>
      <c r="F85" s="12"/>
      <c r="G85" s="12"/>
      <c r="I85" s="12"/>
      <c r="J85" s="12"/>
      <c r="L85" s="12"/>
      <c r="M85" s="12"/>
      <c r="O85" s="12"/>
      <c r="P85" s="12"/>
      <c r="R85" s="12"/>
      <c r="S85" s="12"/>
      <c r="U85" s="12"/>
      <c r="V85" s="12"/>
      <c r="X85" s="12"/>
      <c r="Y85" s="12"/>
    </row>
    <row r="86" spans="1:28" ht="17" x14ac:dyDescent="0.2">
      <c r="A86" s="33" t="s">
        <v>222</v>
      </c>
      <c r="B86" s="45" t="s">
        <v>217</v>
      </c>
      <c r="E86" s="10" t="s">
        <v>123</v>
      </c>
      <c r="F86" s="4">
        <f>F83*F7</f>
        <v>1500000</v>
      </c>
      <c r="G86" s="4">
        <f>G83*G7</f>
        <v>25000000</v>
      </c>
      <c r="I86" s="4">
        <f>I83*I7</f>
        <v>1421016.5802484024</v>
      </c>
      <c r="J86" s="4">
        <f>J83*J7</f>
        <v>23245411.419751596</v>
      </c>
      <c r="L86" s="4">
        <f>L83*L7</f>
        <v>1338234.0119069477</v>
      </c>
      <c r="M86" s="4">
        <f>M83*M7</f>
        <v>21446685.855861954</v>
      </c>
      <c r="O86" s="4">
        <f>O83*O7</f>
        <v>1261074.3620328091</v>
      </c>
      <c r="P86" s="4">
        <f>P83*P7</f>
        <v>19589276.419903073</v>
      </c>
      <c r="R86" s="4">
        <f>R83*R7</f>
        <v>1186570.0048549743</v>
      </c>
      <c r="S86" s="4">
        <f>S83*S7</f>
        <v>17624976.777235985</v>
      </c>
      <c r="U86" s="4">
        <f>U83*U7</f>
        <v>1095867.5027670106</v>
      </c>
      <c r="V86" s="4">
        <f>V83*V7</f>
        <v>14901579.368863089</v>
      </c>
      <c r="X86" s="4">
        <f>X83*X7</f>
        <v>818384.25432780851</v>
      </c>
      <c r="Y86" s="4">
        <f>Y83*Y7</f>
        <v>3175368.0905289678</v>
      </c>
    </row>
    <row r="87" spans="1:28" ht="17" x14ac:dyDescent="0.2">
      <c r="A87" s="33" t="s">
        <v>224</v>
      </c>
      <c r="B87" s="44" t="s">
        <v>185</v>
      </c>
      <c r="E87" s="10" t="s">
        <v>124</v>
      </c>
      <c r="G87" s="4">
        <f>SUM(G72:G75)</f>
        <v>0</v>
      </c>
      <c r="J87" s="4">
        <f>SUM(J72:J75)</f>
        <v>0.85</v>
      </c>
      <c r="M87" s="4">
        <f>SUM(M72:M75)</f>
        <v>5.8999999999999995</v>
      </c>
      <c r="P87" s="4">
        <f>SUM(P72:P75)</f>
        <v>21.02</v>
      </c>
      <c r="S87" s="4">
        <f>SUM(S72:S75)</f>
        <v>52.65</v>
      </c>
      <c r="V87" s="4">
        <f>SUM(V72:V75)</f>
        <v>90.49</v>
      </c>
      <c r="Y87" s="4">
        <f>SUM(Y72:Y75)</f>
        <v>144.49</v>
      </c>
    </row>
    <row r="88" spans="1:28" ht="17" x14ac:dyDescent="0.2">
      <c r="A88" s="33" t="s">
        <v>225</v>
      </c>
      <c r="B88" s="44" t="s">
        <v>185</v>
      </c>
      <c r="E88" s="10" t="s">
        <v>121</v>
      </c>
      <c r="F88" s="4">
        <f>F86+F87</f>
        <v>1500000</v>
      </c>
      <c r="G88" s="4">
        <f>G86+G87</f>
        <v>25000000</v>
      </c>
      <c r="I88" s="4">
        <f>I86+I87</f>
        <v>1421016.5802484024</v>
      </c>
      <c r="J88" s="4">
        <f>J86+J87</f>
        <v>23245412.269751597</v>
      </c>
      <c r="L88" s="4">
        <f>L86+L87</f>
        <v>1338234.0119069477</v>
      </c>
      <c r="M88" s="4">
        <f>M86+M87</f>
        <v>21446691.755861953</v>
      </c>
      <c r="O88" s="4">
        <f>O86+O87</f>
        <v>1261074.3620328091</v>
      </c>
      <c r="P88" s="4">
        <f>P86+P87</f>
        <v>19589297.439903073</v>
      </c>
      <c r="R88" s="4">
        <f>R86+R87</f>
        <v>1186570.0048549743</v>
      </c>
      <c r="S88" s="4">
        <f>S86+S87</f>
        <v>17625029.427235983</v>
      </c>
      <c r="U88" s="4">
        <f>U86+U87</f>
        <v>1095867.5027670106</v>
      </c>
      <c r="V88" s="4">
        <f>V86+V87</f>
        <v>14901669.858863089</v>
      </c>
      <c r="X88" s="4">
        <f>X86+X87</f>
        <v>818384.25432780851</v>
      </c>
      <c r="Y88" s="4">
        <f>Y86+Y87</f>
        <v>3175512.580528968</v>
      </c>
    </row>
    <row r="90" spans="1:28" ht="17" x14ac:dyDescent="0.2">
      <c r="A90" s="33" t="s">
        <v>214</v>
      </c>
      <c r="B90" s="41" t="s">
        <v>201</v>
      </c>
      <c r="E90" s="10" t="s">
        <v>188</v>
      </c>
      <c r="F90" s="4">
        <f>F9*F83</f>
        <v>7500</v>
      </c>
      <c r="G90" s="4">
        <f>G9*G83</f>
        <v>10000</v>
      </c>
      <c r="I90" s="4">
        <f>I9*I83</f>
        <v>8854.5756759196938</v>
      </c>
      <c r="J90" s="4">
        <f>J9*J83</f>
        <v>10232.073854232396</v>
      </c>
      <c r="L90" s="4">
        <f>L9*L83</f>
        <v>7849.6736135318533</v>
      </c>
      <c r="M90" s="4">
        <f>M9*M83</f>
        <v>8070.7332977742253</v>
      </c>
      <c r="O90" s="4">
        <f>O9*O83</f>
        <v>8980.1836563882644</v>
      </c>
      <c r="P90" s="4">
        <f>P9*P83</f>
        <v>15062.880753481793</v>
      </c>
      <c r="R90" s="4">
        <f>R9*R83</f>
        <v>12157.479557940311</v>
      </c>
      <c r="S90" s="4">
        <f>S9*S83</f>
        <v>2754.9622222978528</v>
      </c>
      <c r="U90" s="4">
        <f>U9*U83</f>
        <v>11117.496404882717</v>
      </c>
      <c r="V90" s="4">
        <f>V9*V83</f>
        <v>6272.085598102437</v>
      </c>
      <c r="X90" s="4">
        <f>X9*X83</f>
        <v>8387.5399418662655</v>
      </c>
      <c r="Y90" s="4">
        <f>Y9*Y83</f>
        <v>1337.0775164643151</v>
      </c>
    </row>
    <row r="91" spans="1:28" ht="17" x14ac:dyDescent="0.2">
      <c r="A91" s="33" t="s">
        <v>200</v>
      </c>
      <c r="B91" s="44" t="s">
        <v>185</v>
      </c>
      <c r="E91" s="10" t="s">
        <v>129</v>
      </c>
      <c r="F91" s="4">
        <f>F90*$F$14</f>
        <v>5250</v>
      </c>
      <c r="G91" s="4">
        <f>G90*$F$14</f>
        <v>7000</v>
      </c>
      <c r="I91" s="4">
        <f>I90*$F$14</f>
        <v>6198.2029731437851</v>
      </c>
      <c r="J91" s="4">
        <f>J90*$F$14</f>
        <v>7162.4516979626769</v>
      </c>
      <c r="L91" s="4">
        <f>L90*$F$14</f>
        <v>5494.7715294722966</v>
      </c>
      <c r="M91" s="4">
        <f>M90*$F$14</f>
        <v>5649.5133084419576</v>
      </c>
      <c r="O91" s="4">
        <f>O90*$F$14</f>
        <v>6286.1285594717847</v>
      </c>
      <c r="P91" s="4">
        <f>P90*$F$14</f>
        <v>10544.016527437254</v>
      </c>
      <c r="R91" s="4">
        <f>R90*$F$14</f>
        <v>8510.2356905582164</v>
      </c>
      <c r="S91" s="4">
        <f>S90*$F$14</f>
        <v>1928.4735556084968</v>
      </c>
      <c r="U91" s="4">
        <f>U90*$F$14</f>
        <v>7782.2474834179011</v>
      </c>
      <c r="V91" s="4">
        <f>V90*$F$14</f>
        <v>4390.459918671706</v>
      </c>
      <c r="X91" s="4">
        <f>X90*$F$14</f>
        <v>5871.2779593063851</v>
      </c>
      <c r="Y91" s="4">
        <f>Y90*$F$14</f>
        <v>935.95426152502046</v>
      </c>
    </row>
    <row r="92" spans="1:28" ht="17" x14ac:dyDescent="0.2">
      <c r="A92" s="33" t="s">
        <v>204</v>
      </c>
      <c r="B92" s="44" t="s">
        <v>185</v>
      </c>
      <c r="E92" s="10" t="s">
        <v>189</v>
      </c>
      <c r="F92" s="4">
        <f>F90*(1-$F$14)</f>
        <v>2250.0000000000005</v>
      </c>
      <c r="G92" s="4">
        <f>G90*(1-$F$14)</f>
        <v>3000.0000000000005</v>
      </c>
      <c r="I92" s="4">
        <f>I90*(1-$F$14)</f>
        <v>2656.3727027759087</v>
      </c>
      <c r="J92" s="4">
        <f>J90*(1-$F$14)</f>
        <v>3069.6221562697192</v>
      </c>
      <c r="L92" s="4">
        <f>L90*(1-$F$14)</f>
        <v>2354.9020840595563</v>
      </c>
      <c r="M92" s="4">
        <f>M90*(1-$F$14)</f>
        <v>2421.2199893322681</v>
      </c>
      <c r="O92" s="4">
        <f>O90*(1-$F$14)</f>
        <v>2694.0550969164797</v>
      </c>
      <c r="P92" s="4">
        <f>P90*(1-$F$14)</f>
        <v>4518.8642260445386</v>
      </c>
      <c r="R92" s="4">
        <f>R90*(1-$F$14)</f>
        <v>3647.2438673820939</v>
      </c>
      <c r="S92" s="4">
        <f>S90*(1-$F$14)</f>
        <v>826.48866668935591</v>
      </c>
      <c r="U92" s="4">
        <f>U90*(1-$F$14)</f>
        <v>3335.2489214648153</v>
      </c>
      <c r="V92" s="4">
        <f>V90*(1-$F$14)</f>
        <v>1881.6256794307315</v>
      </c>
      <c r="X92" s="4">
        <f>X90*(1-$F$14)</f>
        <v>2516.2619825598799</v>
      </c>
      <c r="Y92" s="4">
        <f>Y90*(1-$F$14)</f>
        <v>401.12325493929455</v>
      </c>
    </row>
    <row r="93" spans="1:28" ht="17" x14ac:dyDescent="0.2">
      <c r="A93" s="33" t="s">
        <v>205</v>
      </c>
      <c r="B93" s="44" t="s">
        <v>185</v>
      </c>
      <c r="E93" s="10" t="s">
        <v>190</v>
      </c>
      <c r="F93" s="4">
        <f>F90*$F19</f>
        <v>2250</v>
      </c>
      <c r="G93" s="4">
        <f>G90*$G19</f>
        <v>2500</v>
      </c>
    </row>
    <row r="94" spans="1:28" x14ac:dyDescent="0.2">
      <c r="Z94">
        <v>1.1000000000000001</v>
      </c>
      <c r="AA94">
        <f>SUM(Z$6:Z94)</f>
        <v>1.1000000000000001</v>
      </c>
      <c r="AB94">
        <v>20</v>
      </c>
    </row>
    <row r="95" spans="1:28" ht="34" x14ac:dyDescent="0.2">
      <c r="A95" s="33" t="s">
        <v>226</v>
      </c>
      <c r="B95" s="41" t="s">
        <v>201</v>
      </c>
      <c r="E95" s="10" t="s">
        <v>122</v>
      </c>
      <c r="F95" s="4">
        <f>MAX(F13-F25, 0)*F104</f>
        <v>741757.5</v>
      </c>
      <c r="G95" s="4">
        <f>MAX(G13-G25, 0)*G104</f>
        <v>19970010</v>
      </c>
      <c r="I95" s="4">
        <f>MAX(I13-I25, 0)*I104</f>
        <v>697350.12103057199</v>
      </c>
      <c r="J95" s="4">
        <f>MAX(J13-J25, 0)*J104</f>
        <v>18564257.684882641</v>
      </c>
      <c r="L95" s="4">
        <f>MAX(L13-L25, 0)*L104</f>
        <v>585369.23701022286</v>
      </c>
      <c r="M95" s="4">
        <f>MAX(M13-M25, 0)*M104</f>
        <v>17125702.279067256</v>
      </c>
      <c r="O95" s="4">
        <f>MAX(O13-O25, 0)*O104</f>
        <v>481800.1506859982</v>
      </c>
      <c r="P95" s="4">
        <f>MAX(P13-P25, 0)*P104</f>
        <v>15631637.942930376</v>
      </c>
      <c r="R95" s="4">
        <f>MAX(R13-R25, 0)*R104</f>
        <v>383702.35403091379</v>
      </c>
      <c r="S95" s="4">
        <f>MAX(S13-S25, 0)*S104</f>
        <v>14140812.522895874</v>
      </c>
      <c r="U95" s="4">
        <f>MAX(U13-U25, 0)*U104</f>
        <v>267600.05212584668</v>
      </c>
      <c r="V95" s="4">
        <f>MAX(V13-V25, 0)*V104</f>
        <v>11918480.929873837</v>
      </c>
      <c r="X95" s="4">
        <f>MAX(X13-X25, 0)*X104</f>
        <v>193429.69008556352</v>
      </c>
      <c r="Y95" s="4">
        <f>MAX(Y13-Y25, 0)*Y104</f>
        <v>2523718.9695364693</v>
      </c>
    </row>
    <row r="97" spans="1:28" ht="17" x14ac:dyDescent="0.2">
      <c r="E97" s="15" t="s">
        <v>73</v>
      </c>
      <c r="F97" s="8"/>
      <c r="G97" s="8"/>
      <c r="I97" s="8"/>
      <c r="J97" s="8"/>
      <c r="L97" s="8"/>
      <c r="M97" s="8"/>
      <c r="O97" s="8"/>
      <c r="P97" s="8"/>
      <c r="R97" s="8"/>
      <c r="S97" s="8"/>
      <c r="U97" s="8"/>
      <c r="V97" s="8"/>
      <c r="X97" s="8"/>
      <c r="Y97" s="8"/>
    </row>
    <row r="98" spans="1:28" ht="17" x14ac:dyDescent="0.2">
      <c r="A98" s="33" t="s">
        <v>227</v>
      </c>
      <c r="B98" s="41" t="s">
        <v>201</v>
      </c>
      <c r="E98" s="10" t="s">
        <v>120</v>
      </c>
      <c r="F98" s="4">
        <f>MIN(F109,F31)</f>
        <v>2000000</v>
      </c>
      <c r="I98" s="4">
        <f>MIN(I109,I31)</f>
        <v>2050000</v>
      </c>
      <c r="L98" s="4">
        <f>MIN(L109,L31)</f>
        <v>2110000</v>
      </c>
      <c r="O98" s="4">
        <f>MIN(O109,O31)</f>
        <v>2210000</v>
      </c>
      <c r="R98" s="4">
        <f>MIN(R109,R31)</f>
        <v>3000000</v>
      </c>
      <c r="U98" s="4">
        <f>MIN(U109,U31)</f>
        <v>12186080.981999684</v>
      </c>
      <c r="X98" s="4">
        <f>MIN(X109,X31)</f>
        <v>1776649.2395067073</v>
      </c>
    </row>
    <row r="99" spans="1:28" ht="17" x14ac:dyDescent="0.2">
      <c r="A99" s="33" t="s">
        <v>228</v>
      </c>
      <c r="B99" s="41" t="s">
        <v>201</v>
      </c>
      <c r="E99" s="10" t="s">
        <v>126</v>
      </c>
      <c r="F99" s="4">
        <f>F31-F98</f>
        <v>0</v>
      </c>
      <c r="I99" s="4">
        <f>I31-I98</f>
        <v>0</v>
      </c>
      <c r="L99" s="4">
        <f>L31-L98</f>
        <v>0</v>
      </c>
      <c r="O99" s="4">
        <f>O31-O98</f>
        <v>0</v>
      </c>
      <c r="R99" s="4">
        <f>R31-R98</f>
        <v>0</v>
      </c>
      <c r="U99" s="4">
        <f>U31-U98</f>
        <v>12813919.018000316</v>
      </c>
      <c r="X99" s="4">
        <f>X31-X98</f>
        <v>743350.76049329271</v>
      </c>
    </row>
    <row r="100" spans="1:28" ht="17" x14ac:dyDescent="0.2">
      <c r="A100" s="33" t="s">
        <v>229</v>
      </c>
      <c r="B100" s="44" t="s">
        <v>185</v>
      </c>
      <c r="E100" s="10" t="s">
        <v>187</v>
      </c>
      <c r="F100" s="4">
        <f>MIN(F31,F98)</f>
        <v>2000000</v>
      </c>
      <c r="I100" s="4">
        <f>MIN(I31,I98)</f>
        <v>2050000</v>
      </c>
      <c r="L100" s="4">
        <f>MIN(L31,L98)</f>
        <v>2110000</v>
      </c>
      <c r="O100" s="4">
        <f>MIN(O31,O98)</f>
        <v>2210000</v>
      </c>
      <c r="R100" s="4">
        <f>MIN(R31,R98)</f>
        <v>3000000</v>
      </c>
      <c r="U100" s="4">
        <f>MIN(U31,U98)</f>
        <v>12186080.981999684</v>
      </c>
      <c r="X100" s="4">
        <f>MIN(X31,X98)</f>
        <v>1776649.2395067073</v>
      </c>
    </row>
    <row r="101" spans="1:28" ht="17" x14ac:dyDescent="0.2">
      <c r="A101" s="33" t="s">
        <v>207</v>
      </c>
      <c r="B101" s="44" t="s">
        <v>185</v>
      </c>
      <c r="E101" s="10" t="s">
        <v>153</v>
      </c>
      <c r="F101" s="4">
        <f>MIN(F99,G58)</f>
        <v>0</v>
      </c>
      <c r="I101" s="4">
        <f>MIN(I99,J58)</f>
        <v>0</v>
      </c>
      <c r="L101" s="4">
        <f>MIN(L99,M58)</f>
        <v>0</v>
      </c>
      <c r="O101" s="4">
        <f>MIN(O99,P58)</f>
        <v>0</v>
      </c>
      <c r="R101" s="4">
        <f>MIN(R99,S58)</f>
        <v>0</v>
      </c>
      <c r="U101" s="4">
        <f>MIN(U99,V58)</f>
        <v>21.949999999999996</v>
      </c>
      <c r="X101" s="4">
        <f>MIN(X99,Y58)</f>
        <v>49.359999999999992</v>
      </c>
    </row>
    <row r="102" spans="1:28" ht="17" x14ac:dyDescent="0.2">
      <c r="A102" s="33" t="s">
        <v>206</v>
      </c>
      <c r="B102" s="44" t="s">
        <v>185</v>
      </c>
      <c r="E102" s="10" t="s">
        <v>149</v>
      </c>
      <c r="F102" s="4">
        <f>F110*F100</f>
        <v>71626.673097793318</v>
      </c>
      <c r="G102" s="4">
        <f>G110*F100</f>
        <v>1928373.3269022068</v>
      </c>
      <c r="I102" s="4">
        <f>I110*I100</f>
        <v>74218.505667725345</v>
      </c>
      <c r="J102" s="4">
        <f>J110*I100</f>
        <v>1975781.4943322747</v>
      </c>
      <c r="L102" s="4">
        <f>L110*L100</f>
        <v>69737.68294992001</v>
      </c>
      <c r="M102" s="4">
        <f>M110*L100</f>
        <v>2040262.31705008</v>
      </c>
      <c r="O102" s="4">
        <f>O110*O100</f>
        <v>66080.145455604972</v>
      </c>
      <c r="P102" s="4">
        <f>P110*O100</f>
        <v>2143919.8545443951</v>
      </c>
      <c r="R102" s="4">
        <f>R110*R100</f>
        <v>79252.702885199687</v>
      </c>
      <c r="S102" s="4">
        <f>S110*R100</f>
        <v>2920747.2971148002</v>
      </c>
      <c r="U102" s="4">
        <f>U110*U100</f>
        <v>267600.05212584668</v>
      </c>
      <c r="V102" s="4">
        <f>V110*U100</f>
        <v>11918480.929873837</v>
      </c>
      <c r="X102" s="4">
        <f>X110*X100</f>
        <v>193429.69008556352</v>
      </c>
      <c r="Y102" s="4">
        <f>Y110*X100</f>
        <v>1583219.5494211437</v>
      </c>
    </row>
    <row r="103" spans="1:28" ht="17" x14ac:dyDescent="0.2">
      <c r="E103" s="15" t="s">
        <v>74</v>
      </c>
      <c r="F103" s="8"/>
      <c r="G103" s="8"/>
      <c r="I103" s="8"/>
      <c r="J103" s="8"/>
      <c r="L103" s="8"/>
      <c r="M103" s="8"/>
      <c r="O103" s="8"/>
      <c r="P103" s="8"/>
      <c r="R103" s="8"/>
      <c r="S103" s="8"/>
      <c r="U103" s="8"/>
      <c r="V103" s="8"/>
      <c r="X103" s="8"/>
      <c r="Y103" s="8"/>
    </row>
    <row r="104" spans="1:28" ht="34" x14ac:dyDescent="0.2">
      <c r="A104" s="33" t="s">
        <v>223</v>
      </c>
      <c r="B104" s="41" t="s">
        <v>201</v>
      </c>
      <c r="E104" s="10" t="s">
        <v>75</v>
      </c>
      <c r="F104" s="4">
        <f>MAX(F83-$F20,0)</f>
        <v>149.85</v>
      </c>
      <c r="G104" s="4">
        <f>MAX(G83-$G20,0)</f>
        <v>99.9</v>
      </c>
      <c r="I104" s="4">
        <f>MAX(I83-$F20,0)</f>
        <v>142.66573670838216</v>
      </c>
      <c r="J104" s="4">
        <f>MAX(J83-$G20,0)</f>
        <v>92.918853220294508</v>
      </c>
      <c r="L104" s="4">
        <f>MAX(L83-$F20,0)</f>
        <v>135.18920023330782</v>
      </c>
      <c r="M104" s="4">
        <f>MAX(M83-$G20,0)</f>
        <v>85.758864869938577</v>
      </c>
      <c r="O104" s="4">
        <f>MAX(O83-$F20,0)</f>
        <v>128.13833794840377</v>
      </c>
      <c r="P104" s="4">
        <f>MAX(P83-$G20,0)</f>
        <v>78.352503924384351</v>
      </c>
      <c r="R104" s="4">
        <f>MAX(R83-$F20,0)</f>
        <v>121.4247955794031</v>
      </c>
      <c r="S104" s="4">
        <f>MAX(S83-$G20,0)</f>
        <v>70.54005698199623</v>
      </c>
      <c r="U104" s="4">
        <f>MAX(U83-$F20,0)</f>
        <v>113.29384086615016</v>
      </c>
      <c r="V104" s="4">
        <f>MAX(V83-$G20,0)</f>
        <v>59.634148553356539</v>
      </c>
      <c r="X104" s="4">
        <f>MAX(X83-$F20,0)</f>
        <v>85.437142263941482</v>
      </c>
      <c r="Y104" s="4">
        <f>MAX(Y83-$G20,0)</f>
        <v>12.63407158537443</v>
      </c>
    </row>
    <row r="105" spans="1:28" ht="34" x14ac:dyDescent="0.2">
      <c r="A105" s="33" t="s">
        <v>230</v>
      </c>
      <c r="B105" s="41" t="s">
        <v>201</v>
      </c>
      <c r="E105" s="10" t="s">
        <v>142</v>
      </c>
      <c r="F105" s="4">
        <f>F104/$F$21</f>
        <v>1</v>
      </c>
      <c r="G105" s="4">
        <f>G104/$G$21</f>
        <v>1</v>
      </c>
      <c r="I105" s="4">
        <f>I104/$F$21</f>
        <v>0.95205696835757203</v>
      </c>
      <c r="J105" s="4">
        <f>J104/$G$21</f>
        <v>0.93011865085379886</v>
      </c>
      <c r="L105" s="4">
        <f>L104/$F$21</f>
        <v>0.90216349838710586</v>
      </c>
      <c r="M105" s="4">
        <f>M104/$G$21</f>
        <v>0.85844709579518086</v>
      </c>
      <c r="O105" s="4">
        <f>O104/$F$21</f>
        <v>0.85511069701971154</v>
      </c>
      <c r="P105" s="4">
        <f>P104/$G$21</f>
        <v>0.78430934859243595</v>
      </c>
      <c r="R105" s="4">
        <f>R104/$F$21</f>
        <v>0.81030894614216287</v>
      </c>
      <c r="S105" s="4">
        <f>S104/$G$21</f>
        <v>0.70610667649645875</v>
      </c>
      <c r="U105" s="4">
        <f>U104/$F$21</f>
        <v>0.75604832076176287</v>
      </c>
      <c r="V105" s="4">
        <f>V104/$G$21</f>
        <v>0.59693842395752283</v>
      </c>
      <c r="X105" s="4">
        <f>X104/$F$21</f>
        <v>0.57015109952580234</v>
      </c>
      <c r="Y105" s="4">
        <f>Y104/$G$21</f>
        <v>0.12646718303678109</v>
      </c>
      <c r="Z105">
        <v>0.5</v>
      </c>
      <c r="AA105">
        <f>SUM(Z$6:Z105)</f>
        <v>1.6</v>
      </c>
      <c r="AB105">
        <v>20</v>
      </c>
    </row>
    <row r="106" spans="1:28" ht="17" x14ac:dyDescent="0.2">
      <c r="A106" s="33" t="s">
        <v>231</v>
      </c>
      <c r="B106" s="41" t="s">
        <v>201</v>
      </c>
      <c r="E106" s="10" t="s">
        <v>232</v>
      </c>
      <c r="F106" s="4">
        <f>MAX(MIN(F105/$F$16, 1), 0)</f>
        <v>1</v>
      </c>
      <c r="G106" s="4">
        <f>MAX(MIN((G105-$F$15)/$F$16, 1), 0)</f>
        <v>1</v>
      </c>
      <c r="I106" s="4">
        <f>MAX(MIN(I105/$F$16, 1), 0)</f>
        <v>1</v>
      </c>
      <c r="J106" s="4">
        <f>MAX(MIN((J105-$F$15)/$F$16, 1), 0)</f>
        <v>1</v>
      </c>
      <c r="L106" s="4">
        <f>MAX(MIN(L105/$F$16, 1), 0)</f>
        <v>1</v>
      </c>
      <c r="M106" s="4">
        <f>MAX(MIN((M105-$F$15)/$F$16, 1), 0)</f>
        <v>1</v>
      </c>
      <c r="O106" s="4">
        <f>MAX(MIN(O105/$F$16, 1), 0)</f>
        <v>1</v>
      </c>
      <c r="P106" s="4">
        <f>MAX(MIN((P105-$F$15)/$F$16, 1), 0)</f>
        <v>1</v>
      </c>
      <c r="R106" s="4">
        <f>MAX(MIN(R105/$F$16, 1), 0)</f>
        <v>1</v>
      </c>
      <c r="S106" s="4">
        <f>MAX(MIN((S105-$F$15)/$F$16, 1), 0)</f>
        <v>1</v>
      </c>
      <c r="U106" s="4">
        <f>MAX(MIN(U105/$F$16, 1), 0)</f>
        <v>1</v>
      </c>
      <c r="V106" s="4">
        <f>MAX(MIN((V105-$F$15)/$F$16, 1), 0)</f>
        <v>1</v>
      </c>
      <c r="X106" s="4">
        <f>MAX(MIN(X105/$F$16, 1), 0)</f>
        <v>1</v>
      </c>
      <c r="Y106" s="4">
        <f>MAX(MIN((Y105-$F$15)/$F$16, 1), 0)</f>
        <v>0.62733591518390541</v>
      </c>
      <c r="Z106">
        <v>0.3</v>
      </c>
      <c r="AA106">
        <f>SUM(Z$6:Z106)</f>
        <v>1.9000000000000001</v>
      </c>
      <c r="AB106">
        <v>20</v>
      </c>
    </row>
    <row r="107" spans="1:28" x14ac:dyDescent="0.2">
      <c r="Z107">
        <v>0.2</v>
      </c>
      <c r="AA107">
        <f>SUM(Z$6:Z107)</f>
        <v>2.1</v>
      </c>
      <c r="AB107">
        <v>20</v>
      </c>
    </row>
    <row r="108" spans="1:28" ht="17" x14ac:dyDescent="0.2">
      <c r="A108" s="33" t="s">
        <v>233</v>
      </c>
      <c r="B108" s="41" t="s">
        <v>201</v>
      </c>
      <c r="E108" s="10" t="s">
        <v>76</v>
      </c>
      <c r="F108" s="4">
        <f>F95*F106</f>
        <v>741757.5</v>
      </c>
      <c r="G108" s="4">
        <f>G95*G106</f>
        <v>19970010</v>
      </c>
      <c r="I108" s="4">
        <f>I95*I106</f>
        <v>697350.12103057199</v>
      </c>
      <c r="J108" s="4">
        <f>J95*J106</f>
        <v>18564257.684882641</v>
      </c>
      <c r="L108" s="4">
        <f>L95*L106</f>
        <v>585369.23701022286</v>
      </c>
      <c r="M108" s="4">
        <f>M95*M106</f>
        <v>17125702.279067256</v>
      </c>
      <c r="O108" s="4">
        <f>O95*O106</f>
        <v>481800.1506859982</v>
      </c>
      <c r="P108" s="4">
        <f>P95*P106</f>
        <v>15631637.942930376</v>
      </c>
      <c r="R108" s="4">
        <f>R95*R106</f>
        <v>383702.35403091379</v>
      </c>
      <c r="S108" s="4">
        <f>S95*S106</f>
        <v>14140812.522895874</v>
      </c>
      <c r="U108" s="4">
        <f>U95*U106</f>
        <v>267600.05212584668</v>
      </c>
      <c r="V108" s="4">
        <f>V95*V106</f>
        <v>11918480.929873837</v>
      </c>
      <c r="X108" s="4">
        <f>X95*X106</f>
        <v>193429.69008556352</v>
      </c>
      <c r="Y108" s="4">
        <f>Y95*Y106</f>
        <v>1583219.5494211437</v>
      </c>
      <c r="Z108">
        <v>0.125</v>
      </c>
      <c r="AA108">
        <f>SUM(Z$6:Z126)</f>
        <v>2.2250000000000001</v>
      </c>
      <c r="AB108">
        <v>20</v>
      </c>
    </row>
    <row r="109" spans="1:28" ht="17" x14ac:dyDescent="0.2">
      <c r="A109" s="33" t="s">
        <v>234</v>
      </c>
      <c r="B109" s="41" t="s">
        <v>201</v>
      </c>
      <c r="E109" s="10" t="s">
        <v>125</v>
      </c>
      <c r="F109" s="4">
        <f>F108+G108</f>
        <v>20711767.5</v>
      </c>
      <c r="G109" s="4">
        <f>F109</f>
        <v>20711767.5</v>
      </c>
      <c r="I109" s="4">
        <f>I108+J108</f>
        <v>19261607.805913214</v>
      </c>
      <c r="J109" s="4">
        <f>I109</f>
        <v>19261607.805913214</v>
      </c>
      <c r="L109" s="4">
        <f>L108+M108</f>
        <v>17711071.516077477</v>
      </c>
      <c r="M109" s="4">
        <f>L109</f>
        <v>17711071.516077477</v>
      </c>
      <c r="O109" s="4">
        <f>O108+P108</f>
        <v>16113438.093616374</v>
      </c>
      <c r="P109" s="4">
        <f>O109</f>
        <v>16113438.093616374</v>
      </c>
      <c r="R109" s="4">
        <f>R108+S108</f>
        <v>14524514.876926789</v>
      </c>
      <c r="S109" s="4">
        <f>R109</f>
        <v>14524514.876926789</v>
      </c>
      <c r="U109" s="4">
        <f>U108+V108</f>
        <v>12186080.981999684</v>
      </c>
      <c r="V109" s="4">
        <f>U109</f>
        <v>12186080.981999684</v>
      </c>
      <c r="X109" s="4">
        <f>X108+Y108</f>
        <v>1776649.2395067073</v>
      </c>
      <c r="Y109" s="4">
        <f>X109</f>
        <v>1776649.2395067073</v>
      </c>
    </row>
    <row r="110" spans="1:28" ht="17" x14ac:dyDescent="0.2">
      <c r="A110" s="33" t="s">
        <v>235</v>
      </c>
      <c r="B110" s="41" t="s">
        <v>201</v>
      </c>
      <c r="E110" s="10" t="s">
        <v>119</v>
      </c>
      <c r="F110" s="4">
        <f>F108/F109</f>
        <v>3.5813336548896658E-2</v>
      </c>
      <c r="G110" s="4">
        <f>G108/G109</f>
        <v>0.96418666345110338</v>
      </c>
      <c r="I110" s="4">
        <f>I108/I109</f>
        <v>3.6204149106207485E-2</v>
      </c>
      <c r="J110" s="4">
        <f>J108/J109</f>
        <v>0.96379585089379249</v>
      </c>
      <c r="L110" s="4">
        <f>L108/L109</f>
        <v>3.3051034573421803E-2</v>
      </c>
      <c r="M110" s="4">
        <f>M108/M109</f>
        <v>0.96694896542657827</v>
      </c>
      <c r="O110" s="4">
        <f>O108/O109</f>
        <v>2.9900518305703606E-2</v>
      </c>
      <c r="P110" s="4">
        <f>P108/P109</f>
        <v>0.97009948169429638</v>
      </c>
      <c r="R110" s="4">
        <f>R108/R109</f>
        <v>2.6417567628399894E-2</v>
      </c>
      <c r="S110" s="4">
        <f>S108/S109</f>
        <v>0.97358243237160003</v>
      </c>
      <c r="U110" s="4">
        <f>U108/U109</f>
        <v>2.1959484145979691E-2</v>
      </c>
      <c r="V110" s="4">
        <f>V108/V109</f>
        <v>0.9780405158540203</v>
      </c>
      <c r="X110" s="4">
        <f>X108/X109</f>
        <v>0.10887331375509435</v>
      </c>
      <c r="Y110" s="4">
        <f>Y108/Y109</f>
        <v>0.89112668624490565</v>
      </c>
    </row>
    <row r="112" spans="1:28" ht="17" x14ac:dyDescent="0.2">
      <c r="E112" s="15" t="s">
        <v>197</v>
      </c>
      <c r="F112" s="8"/>
      <c r="G112" s="8"/>
    </row>
    <row r="113" spans="5:28" ht="17" x14ac:dyDescent="0.2">
      <c r="E113" s="10" t="s">
        <v>236</v>
      </c>
    </row>
    <row r="114" spans="5:28" x14ac:dyDescent="0.2">
      <c r="E114" s="36"/>
    </row>
    <row r="127" spans="5:28" x14ac:dyDescent="0.2">
      <c r="Z127">
        <v>0.1225</v>
      </c>
      <c r="AA127">
        <f>SUM(Z$6:Z127)</f>
        <v>2.3475000000000001</v>
      </c>
      <c r="AB127">
        <v>20</v>
      </c>
    </row>
    <row r="128" spans="5:28" x14ac:dyDescent="0.2">
      <c r="Z128">
        <v>0.12239999999999999</v>
      </c>
      <c r="AA128">
        <f>SUM(Z$6:Z128)</f>
        <v>2.4699</v>
      </c>
      <c r="AB128">
        <v>20</v>
      </c>
    </row>
    <row r="129" spans="26:28" x14ac:dyDescent="0.2">
      <c r="Z129">
        <v>0.12230000000000001</v>
      </c>
      <c r="AA129">
        <f>SUM(Z$6:Z129)</f>
        <v>2.5922000000000001</v>
      </c>
      <c r="AB129">
        <v>20</v>
      </c>
    </row>
  </sheetData>
  <mergeCells count="29">
    <mergeCell ref="B67:B70"/>
    <mergeCell ref="A72:A75"/>
    <mergeCell ref="B72:B75"/>
    <mergeCell ref="D27:D28"/>
    <mergeCell ref="B36:B39"/>
    <mergeCell ref="A36:A39"/>
    <mergeCell ref="A42:A45"/>
    <mergeCell ref="B42:B45"/>
    <mergeCell ref="A48:A51"/>
    <mergeCell ref="B48:B51"/>
    <mergeCell ref="A54:A57"/>
    <mergeCell ref="B54:B57"/>
    <mergeCell ref="A60:A63"/>
    <mergeCell ref="B60:B63"/>
    <mergeCell ref="A67:A70"/>
    <mergeCell ref="AC4:AE4"/>
    <mergeCell ref="H2:I2"/>
    <mergeCell ref="H3:I3"/>
    <mergeCell ref="I5:J5"/>
    <mergeCell ref="L5:M5"/>
    <mergeCell ref="D16:D17"/>
    <mergeCell ref="D50:D53"/>
    <mergeCell ref="D56:D59"/>
    <mergeCell ref="D75:D78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2026-01-09T20:10:39Z</dcterms:modified>
</cp:coreProperties>
</file>