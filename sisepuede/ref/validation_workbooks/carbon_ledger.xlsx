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CD09B239-9DD4-0540-ADDC-8B25C9444167}" xr6:coauthVersionLast="47" xr6:coauthVersionMax="47" xr10:uidLastSave="{00000000-0000-0000-0000-000000000000}"/>
  <bookViews>
    <workbookView xWindow="620" yWindow="500" windowWidth="37780" windowHeight="1904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46" i="3" l="1"/>
  <c r="X146" i="3"/>
  <c r="V146" i="3"/>
  <c r="U146" i="3"/>
  <c r="S146" i="3"/>
  <c r="R146" i="3"/>
  <c r="P146" i="3"/>
  <c r="O146" i="3"/>
  <c r="M146" i="3"/>
  <c r="L146" i="3"/>
  <c r="J146" i="3"/>
  <c r="I146" i="3"/>
  <c r="F146" i="3"/>
  <c r="F145" i="3"/>
  <c r="G146" i="3"/>
  <c r="G145" i="3"/>
  <c r="G122" i="3"/>
  <c r="G120" i="3"/>
  <c r="G121" i="3"/>
  <c r="G136" i="3"/>
  <c r="F136" i="3"/>
  <c r="F135" i="3"/>
  <c r="J109" i="3"/>
  <c r="I109" i="3"/>
  <c r="G21" i="3"/>
  <c r="F118" i="3"/>
  <c r="F116" i="3"/>
  <c r="F21" i="3"/>
  <c r="M67" i="3" l="1"/>
  <c r="P68" i="3"/>
  <c r="G46" i="3"/>
  <c r="G50" i="3"/>
  <c r="G56" i="3"/>
  <c r="G90" i="3" s="1"/>
  <c r="J43" i="3"/>
  <c r="G55" i="3"/>
  <c r="F111" i="3"/>
  <c r="F112" i="3" s="1"/>
  <c r="G111" i="3"/>
  <c r="I107" i="3"/>
  <c r="F108" i="3"/>
  <c r="G108" i="3"/>
  <c r="J87" i="3"/>
  <c r="J86" i="3"/>
  <c r="F80" i="3"/>
  <c r="F79" i="3"/>
  <c r="F81" i="3"/>
  <c r="G48" i="3"/>
  <c r="G49" i="3"/>
  <c r="J44" i="3"/>
  <c r="M39" i="3"/>
  <c r="J38" i="3"/>
  <c r="J68" i="3" s="1"/>
  <c r="G37" i="3"/>
  <c r="H37" i="3" s="1"/>
  <c r="H38" i="3"/>
  <c r="G10" i="3"/>
  <c r="F22" i="3"/>
  <c r="M45" i="3"/>
  <c r="M58" i="3" s="1"/>
  <c r="M87" i="3"/>
  <c r="G13" i="3"/>
  <c r="G26" i="3" s="1"/>
  <c r="G51" i="3"/>
  <c r="J61" i="3"/>
  <c r="J45" i="3"/>
  <c r="J58" i="3" s="1"/>
  <c r="M44" i="3"/>
  <c r="M57" i="3" s="1"/>
  <c r="G57" i="3"/>
  <c r="G91" i="3" s="1"/>
  <c r="G58" i="3"/>
  <c r="G92" i="3" s="1"/>
  <c r="P45" i="3"/>
  <c r="P58" i="3" s="1"/>
  <c r="H36" i="3"/>
  <c r="K36" i="3"/>
  <c r="F29" i="3"/>
  <c r="G29" i="3" s="1"/>
  <c r="F107" i="3"/>
  <c r="F110" i="3" s="1"/>
  <c r="F82" i="3"/>
  <c r="AE10" i="3"/>
  <c r="F13" i="3"/>
  <c r="F26" i="3" s="1"/>
  <c r="Y107" i="3"/>
  <c r="X107" i="3"/>
  <c r="V107" i="3"/>
  <c r="U107" i="3"/>
  <c r="S107" i="3"/>
  <c r="R107" i="3"/>
  <c r="P107" i="3"/>
  <c r="O107" i="3"/>
  <c r="M107" i="3"/>
  <c r="L107" i="3"/>
  <c r="J107" i="3"/>
  <c r="G107" i="3"/>
  <c r="G110" i="3" s="1"/>
  <c r="G61" i="3"/>
  <c r="G85" i="3" s="1"/>
  <c r="P88" i="3"/>
  <c r="M88" i="3"/>
  <c r="Y64" i="3"/>
  <c r="Y88" i="3" s="1"/>
  <c r="Y63" i="3"/>
  <c r="Y87" i="3" s="1"/>
  <c r="Y62" i="3"/>
  <c r="Y86" i="3" s="1"/>
  <c r="Y61" i="3"/>
  <c r="V61" i="3"/>
  <c r="W36" i="3"/>
  <c r="J88" i="3"/>
  <c r="G87" i="3"/>
  <c r="G86" i="3"/>
  <c r="G88" i="3"/>
  <c r="G96" i="3"/>
  <c r="I86" i="3" s="1"/>
  <c r="G97" i="3"/>
  <c r="G98" i="3"/>
  <c r="I88" i="3" s="1"/>
  <c r="P40" i="3"/>
  <c r="T36" i="3"/>
  <c r="Q36" i="3"/>
  <c r="N36" i="3"/>
  <c r="P63" i="3"/>
  <c r="P87" i="3" s="1"/>
  <c r="M62" i="3"/>
  <c r="M86" i="3" s="1"/>
  <c r="S61" i="3"/>
  <c r="P61" i="3"/>
  <c r="G8" i="3"/>
  <c r="J8" i="3" s="1"/>
  <c r="F8" i="3"/>
  <c r="G52" i="3" l="1"/>
  <c r="G53" i="3" s="1"/>
  <c r="H39" i="3"/>
  <c r="G59" i="3"/>
  <c r="M70" i="3"/>
  <c r="J74" i="3"/>
  <c r="F113" i="3"/>
  <c r="G119" i="3"/>
  <c r="F125" i="3"/>
  <c r="F138" i="3" s="1"/>
  <c r="I110" i="3"/>
  <c r="P70" i="3"/>
  <c r="G95" i="3"/>
  <c r="J73" i="3"/>
  <c r="M69" i="3"/>
  <c r="F119" i="3"/>
  <c r="F120" i="3"/>
  <c r="J56" i="3"/>
  <c r="G67" i="3"/>
  <c r="G102" i="3"/>
  <c r="J75" i="3"/>
  <c r="G25" i="3"/>
  <c r="G11" i="3" s="1"/>
  <c r="I87" i="3"/>
  <c r="I7" i="3"/>
  <c r="I13" i="3" s="1"/>
  <c r="J57" i="3"/>
  <c r="G103" i="3"/>
  <c r="G101" i="3"/>
  <c r="G93" i="3"/>
  <c r="G112" i="3"/>
  <c r="J110" i="3"/>
  <c r="J7" i="3"/>
  <c r="H40" i="3"/>
  <c r="G22" i="3"/>
  <c r="G117" i="3" l="1"/>
  <c r="J108" i="3"/>
  <c r="J13" i="3"/>
  <c r="G100" i="3"/>
  <c r="L7" i="3"/>
  <c r="L13" i="3" s="1"/>
  <c r="O7" i="3" s="1"/>
  <c r="O13" i="3" s="1"/>
  <c r="R7" i="3" s="1"/>
  <c r="R13" i="3" s="1"/>
  <c r="U7" i="3" s="1"/>
  <c r="U13" i="3" s="1"/>
  <c r="U26" i="3" s="1"/>
  <c r="I26" i="3"/>
  <c r="G113" i="3"/>
  <c r="I85" i="3"/>
  <c r="J85" i="3" s="1"/>
  <c r="I8" i="3"/>
  <c r="I108" i="3"/>
  <c r="F121" i="3"/>
  <c r="F122" i="3" s="1"/>
  <c r="G116" i="3"/>
  <c r="G118" i="3" s="1"/>
  <c r="J10" i="3"/>
  <c r="M8" i="3"/>
  <c r="U108" i="3" l="1"/>
  <c r="R108" i="3"/>
  <c r="F123" i="3"/>
  <c r="L26" i="3"/>
  <c r="O26" i="3"/>
  <c r="R26" i="3"/>
  <c r="L108" i="3"/>
  <c r="O108" i="3"/>
  <c r="G125" i="3"/>
  <c r="G135" i="3"/>
  <c r="J26" i="3"/>
  <c r="J25" i="3"/>
  <c r="J11" i="3" s="1"/>
  <c r="M7" i="3"/>
  <c r="P8" i="3"/>
  <c r="M108" i="3" l="1"/>
  <c r="M13" i="3"/>
  <c r="M26" i="3" s="1"/>
  <c r="G138" i="3"/>
  <c r="F139" i="3" s="1"/>
  <c r="G124" i="3"/>
  <c r="F124" i="3"/>
  <c r="I39" i="3"/>
  <c r="J50" i="3" s="1"/>
  <c r="I37" i="3"/>
  <c r="I38" i="3"/>
  <c r="J49" i="3" s="1"/>
  <c r="I40" i="3"/>
  <c r="J51" i="3" s="1"/>
  <c r="M10" i="3"/>
  <c r="S8" i="3"/>
  <c r="V62" i="3"/>
  <c r="V86" i="3" s="1"/>
  <c r="V63" i="3"/>
  <c r="V87" i="3" s="1"/>
  <c r="S62" i="3"/>
  <c r="S86" i="3" s="1"/>
  <c r="M61" i="3"/>
  <c r="S64" i="3"/>
  <c r="S88" i="3" s="1"/>
  <c r="V64" i="3"/>
  <c r="V88" i="3" s="1"/>
  <c r="S63" i="3"/>
  <c r="S87" i="3" s="1"/>
  <c r="P62" i="3"/>
  <c r="P86" i="3" s="1"/>
  <c r="AE14" i="3"/>
  <c r="AE16" i="3"/>
  <c r="AE17" i="3"/>
  <c r="AE18" i="3"/>
  <c r="AE19" i="3"/>
  <c r="AE21" i="3"/>
  <c r="AE22" i="3"/>
  <c r="AE23" i="3"/>
  <c r="AE24" i="3"/>
  <c r="AE25" i="3"/>
  <c r="AE26" i="3"/>
  <c r="AE27" i="3"/>
  <c r="AE12" i="3"/>
  <c r="AE9" i="3"/>
  <c r="AE11" i="3"/>
  <c r="AE8" i="3"/>
  <c r="AB159" i="3"/>
  <c r="AB158" i="3"/>
  <c r="AB157" i="3"/>
  <c r="AB138" i="3"/>
  <c r="AB137" i="3"/>
  <c r="AB136" i="3"/>
  <c r="AB135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28" i="3" l="1"/>
  <c r="F140" i="3"/>
  <c r="J42" i="3"/>
  <c r="J37" i="3"/>
  <c r="M25" i="3"/>
  <c r="F149" i="3"/>
  <c r="J46" i="3"/>
  <c r="P7" i="3"/>
  <c r="P108" i="3" s="1"/>
  <c r="P13" i="3"/>
  <c r="P26" i="3" s="1"/>
  <c r="P10" i="3"/>
  <c r="V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J55" i="3" l="1"/>
  <c r="J72" i="3"/>
  <c r="F129" i="3"/>
  <c r="F130" i="3" s="1"/>
  <c r="F131" i="3" s="1"/>
  <c r="G139" i="3"/>
  <c r="G140" i="3" s="1"/>
  <c r="J67" i="3"/>
  <c r="K38" i="3"/>
  <c r="K39" i="3"/>
  <c r="J48" i="3"/>
  <c r="J52" i="3" s="1"/>
  <c r="J53" i="3" s="1"/>
  <c r="J59" i="3"/>
  <c r="M11" i="3"/>
  <c r="P25" i="3"/>
  <c r="S7" i="3"/>
  <c r="S13" i="3" s="1"/>
  <c r="S26" i="3" s="1"/>
  <c r="Y8" i="3"/>
  <c r="K37" i="3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32" i="3" l="1"/>
  <c r="G133" i="3"/>
  <c r="G144" i="3"/>
  <c r="G143" i="3"/>
  <c r="S108" i="3"/>
  <c r="G81" i="3"/>
  <c r="G149" i="3"/>
  <c r="F132" i="3"/>
  <c r="I79" i="3"/>
  <c r="I82" i="3"/>
  <c r="J76" i="3"/>
  <c r="I80" i="3"/>
  <c r="I81" i="3"/>
  <c r="S10" i="3"/>
  <c r="L37" i="3"/>
  <c r="M37" i="3" s="1"/>
  <c r="L38" i="3"/>
  <c r="M38" i="3" s="1"/>
  <c r="M68" i="3" s="1"/>
  <c r="S25" i="3"/>
  <c r="V7" i="3"/>
  <c r="Y7" i="3" s="1"/>
  <c r="Y13" i="3" s="1"/>
  <c r="Y26" i="3" s="1"/>
  <c r="P11" i="3"/>
  <c r="K40" i="3"/>
  <c r="O8" i="3"/>
  <c r="Q3" i="2"/>
  <c r="AA4" i="2" s="1"/>
  <c r="F144" i="3" l="1"/>
  <c r="F143" i="3"/>
  <c r="F151" i="3"/>
  <c r="V10" i="3"/>
  <c r="V108" i="3"/>
  <c r="F133" i="3"/>
  <c r="V13" i="3"/>
  <c r="V26" i="3" s="1"/>
  <c r="Y25" i="3"/>
  <c r="S11" i="3"/>
  <c r="Y10" i="3"/>
  <c r="Y11" i="3" s="1"/>
  <c r="Y108" i="3"/>
  <c r="G79" i="3"/>
  <c r="N37" i="3"/>
  <c r="O37" i="3" s="1"/>
  <c r="P37" i="3" s="1"/>
  <c r="P67" i="3" s="1"/>
  <c r="L39" i="3"/>
  <c r="M50" i="3" s="1"/>
  <c r="L40" i="3"/>
  <c r="M51" i="3" s="1"/>
  <c r="R8" i="3"/>
  <c r="F4" i="2"/>
  <c r="R7" i="2"/>
  <c r="G4" i="2"/>
  <c r="K4" i="2"/>
  <c r="J4" i="2"/>
  <c r="V25" i="3" l="1"/>
  <c r="V11" i="3" s="1"/>
  <c r="I111" i="3"/>
  <c r="L109" i="3" s="1"/>
  <c r="N38" i="3"/>
  <c r="O38" i="3" s="1"/>
  <c r="P38" i="3" s="1"/>
  <c r="F152" i="3"/>
  <c r="G80" i="3"/>
  <c r="G82" i="3"/>
  <c r="U8" i="3"/>
  <c r="X7" i="3"/>
  <c r="X108" i="3" s="1"/>
  <c r="Q37" i="3"/>
  <c r="R37" i="3" s="1"/>
  <c r="S37" i="3" s="1"/>
  <c r="S67" i="3" s="1"/>
  <c r="U4" i="2"/>
  <c r="R8" i="2"/>
  <c r="I119" i="3" l="1"/>
  <c r="N39" i="3"/>
  <c r="N40" i="3"/>
  <c r="O39" i="3"/>
  <c r="P39" i="3" s="1"/>
  <c r="J111" i="3"/>
  <c r="M109" i="3" s="1"/>
  <c r="Q38" i="3"/>
  <c r="R38" i="3" s="1"/>
  <c r="S38" i="3" s="1"/>
  <c r="S68" i="3" s="1"/>
  <c r="O40" i="3"/>
  <c r="P51" i="3" s="1"/>
  <c r="X8" i="3"/>
  <c r="X13" i="3"/>
  <c r="T37" i="3"/>
  <c r="U37" i="3" s="1"/>
  <c r="V37" i="3" s="1"/>
  <c r="V67" i="3" s="1"/>
  <c r="O4" i="2"/>
  <c r="P4" i="2" s="1"/>
  <c r="X5" i="2" s="1"/>
  <c r="Z5" i="2" s="1"/>
  <c r="J5" i="2" s="1"/>
  <c r="R9" i="2"/>
  <c r="Q40" i="3" l="1"/>
  <c r="P69" i="3"/>
  <c r="Q39" i="3"/>
  <c r="J119" i="3"/>
  <c r="X26" i="3"/>
  <c r="M110" i="3"/>
  <c r="J112" i="3"/>
  <c r="I112" i="3"/>
  <c r="L110" i="3"/>
  <c r="R40" i="3"/>
  <c r="S40" i="3" s="1"/>
  <c r="S70" i="3" s="1"/>
  <c r="R39" i="3"/>
  <c r="S39" i="3" s="1"/>
  <c r="T38" i="3"/>
  <c r="U38" i="3" s="1"/>
  <c r="V38" i="3" s="1"/>
  <c r="V68" i="3" s="1"/>
  <c r="W37" i="3"/>
  <c r="X37" i="3" s="1"/>
  <c r="Y37" i="3" s="1"/>
  <c r="Y67" i="3" s="1"/>
  <c r="Q4" i="2"/>
  <c r="Y5" i="2" s="1"/>
  <c r="AA5" i="2" s="1"/>
  <c r="F5" i="2"/>
  <c r="R10" i="2"/>
  <c r="I113" i="3" l="1"/>
  <c r="I125" i="3" s="1"/>
  <c r="J120" i="3"/>
  <c r="J113" i="3"/>
  <c r="J125" i="3" s="1"/>
  <c r="I120" i="3"/>
  <c r="I116" i="3"/>
  <c r="I118" i="3" s="1"/>
  <c r="S69" i="3"/>
  <c r="J116" i="3"/>
  <c r="T40" i="3"/>
  <c r="T39" i="3"/>
  <c r="U39" i="3" s="1"/>
  <c r="V39" i="3" s="1"/>
  <c r="W38" i="3"/>
  <c r="X38" i="3" s="1"/>
  <c r="Y38" i="3" s="1"/>
  <c r="Y68" i="3" s="1"/>
  <c r="R11" i="2"/>
  <c r="G5" i="2"/>
  <c r="U5" i="2" s="1"/>
  <c r="O5" i="2" s="1"/>
  <c r="Q5" i="2" s="1"/>
  <c r="K5" i="2"/>
  <c r="V69" i="3" l="1"/>
  <c r="J135" i="3"/>
  <c r="J136" i="3" s="1"/>
  <c r="I121" i="3"/>
  <c r="I122" i="3" s="1"/>
  <c r="J121" i="3"/>
  <c r="J122" i="3" s="1"/>
  <c r="I135" i="3"/>
  <c r="I136" i="3" s="1"/>
  <c r="U40" i="3"/>
  <c r="V40" i="3" s="1"/>
  <c r="W39" i="3"/>
  <c r="X39" i="3" s="1"/>
  <c r="Y39" i="3" s="1"/>
  <c r="Y6" i="2"/>
  <c r="AA6" i="2" s="1"/>
  <c r="K6" i="2" s="1"/>
  <c r="R12" i="2"/>
  <c r="P5" i="2"/>
  <c r="X6" i="2" s="1"/>
  <c r="Z6" i="2" s="1"/>
  <c r="J6" i="2" s="1"/>
  <c r="I138" i="3" l="1"/>
  <c r="W40" i="3"/>
  <c r="V70" i="3"/>
  <c r="Y69" i="3"/>
  <c r="J124" i="3"/>
  <c r="I124" i="3"/>
  <c r="I123" i="3"/>
  <c r="J145" i="3" s="1"/>
  <c r="J138" i="3"/>
  <c r="X40" i="3"/>
  <c r="Y40" i="3" s="1"/>
  <c r="G6" i="2"/>
  <c r="R13" i="2"/>
  <c r="F6" i="2"/>
  <c r="U6" i="2" s="1"/>
  <c r="W6" i="2" s="1"/>
  <c r="O6" i="2" s="1"/>
  <c r="I145" i="3" l="1"/>
  <c r="I139" i="3"/>
  <c r="I140" i="3" s="1"/>
  <c r="Y70" i="3"/>
  <c r="I149" i="3"/>
  <c r="I128" i="3"/>
  <c r="R14" i="2"/>
  <c r="Y7" i="2"/>
  <c r="AA7" i="2" s="1"/>
  <c r="J139" i="3" l="1"/>
  <c r="J140" i="3" s="1"/>
  <c r="I129" i="3"/>
  <c r="I132" i="3" s="1"/>
  <c r="I133" i="3" s="1"/>
  <c r="X7" i="2"/>
  <c r="Z7" i="2" s="1"/>
  <c r="R15" i="2"/>
  <c r="G7" i="2"/>
  <c r="K7" i="2"/>
  <c r="I130" i="3" l="1"/>
  <c r="I131" i="3" s="1"/>
  <c r="J149" i="3" s="1"/>
  <c r="I144" i="3"/>
  <c r="I143" i="3"/>
  <c r="J132" i="3"/>
  <c r="J7" i="2"/>
  <c r="F7" i="2"/>
  <c r="U7" i="2" s="1"/>
  <c r="O7" i="2" s="1"/>
  <c r="R16" i="2"/>
  <c r="J80" i="3" l="1"/>
  <c r="J91" i="3" s="1"/>
  <c r="J79" i="3"/>
  <c r="J81" i="3"/>
  <c r="J92" i="3" s="1"/>
  <c r="J133" i="3"/>
  <c r="J144" i="3"/>
  <c r="I151" i="3"/>
  <c r="I152" i="3" s="1"/>
  <c r="J82" i="3"/>
  <c r="J93" i="3" s="1"/>
  <c r="P7" i="2"/>
  <c r="X8" i="2" s="1"/>
  <c r="Z8" i="2" s="1"/>
  <c r="Q7" i="2"/>
  <c r="Y8" i="2" s="1"/>
  <c r="AA8" i="2" s="1"/>
  <c r="G8" i="2" s="1"/>
  <c r="J8" i="2"/>
  <c r="R17" i="2"/>
  <c r="F8" i="2"/>
  <c r="J90" i="3" l="1"/>
  <c r="J96" i="3"/>
  <c r="J97" i="3"/>
  <c r="J102" i="3" s="1"/>
  <c r="J98" i="3"/>
  <c r="L111" i="3"/>
  <c r="O109" i="3" s="1"/>
  <c r="K8" i="2"/>
  <c r="W8" i="2"/>
  <c r="R18" i="2"/>
  <c r="J95" i="3" l="1"/>
  <c r="J143" i="3"/>
  <c r="M111" i="3" s="1"/>
  <c r="P109" i="3" s="1"/>
  <c r="J117" i="3"/>
  <c r="J100" i="3"/>
  <c r="M74" i="3"/>
  <c r="L85" i="3"/>
  <c r="M85" i="3" s="1"/>
  <c r="M42" i="3"/>
  <c r="M55" i="3" s="1"/>
  <c r="L119" i="3"/>
  <c r="M75" i="3"/>
  <c r="J103" i="3"/>
  <c r="L88" i="3"/>
  <c r="M43" i="3"/>
  <c r="L87" i="3"/>
  <c r="L112" i="3"/>
  <c r="O110" i="3"/>
  <c r="O8" i="2"/>
  <c r="Q8" i="2" s="1"/>
  <c r="Y9" i="2" s="1"/>
  <c r="AA9" i="2" s="1"/>
  <c r="R19" i="2"/>
  <c r="M112" i="3" l="1"/>
  <c r="M119" i="3"/>
  <c r="P110" i="3"/>
  <c r="M49" i="3"/>
  <c r="M56" i="3"/>
  <c r="M48" i="3"/>
  <c r="M72" i="3"/>
  <c r="L79" i="3" s="1"/>
  <c r="J118" i="3"/>
  <c r="L86" i="3"/>
  <c r="L120" i="3"/>
  <c r="L116" i="3"/>
  <c r="L118" i="3" s="1"/>
  <c r="J101" i="3"/>
  <c r="L113" i="3"/>
  <c r="L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M113" i="3" l="1"/>
  <c r="M125" i="3" s="1"/>
  <c r="M116" i="3"/>
  <c r="M120" i="3"/>
  <c r="M52" i="3"/>
  <c r="M59" i="3"/>
  <c r="M73" i="3"/>
  <c r="L81" i="3" s="1"/>
  <c r="L121" i="3"/>
  <c r="L122" i="3" s="1"/>
  <c r="L135" i="3"/>
  <c r="L136" i="3" s="1"/>
  <c r="M46" i="3"/>
  <c r="M53" i="3" s="1"/>
  <c r="Q9" i="2"/>
  <c r="Y10" i="2" s="1"/>
  <c r="AA10" i="2" s="1"/>
  <c r="G10" i="2" s="1"/>
  <c r="R21" i="2"/>
  <c r="F10" i="2"/>
  <c r="M121" i="3" l="1"/>
  <c r="M135" i="3"/>
  <c r="M136" i="3" s="1"/>
  <c r="L138" i="3"/>
  <c r="L80" i="3"/>
  <c r="L82" i="3"/>
  <c r="M76" i="3"/>
  <c r="U10" i="2"/>
  <c r="W10" i="2" s="1"/>
  <c r="O10" i="2" s="1"/>
  <c r="Q10" i="2" s="1"/>
  <c r="K10" i="2"/>
  <c r="R22" i="2"/>
  <c r="M138" i="3" l="1"/>
  <c r="L139" i="3" s="1"/>
  <c r="M122" i="3"/>
  <c r="M124" i="3" s="1"/>
  <c r="Y11" i="2"/>
  <c r="P10" i="2"/>
  <c r="X11" i="2" s="1"/>
  <c r="Z11" i="2" s="1"/>
  <c r="J11" i="2" s="1"/>
  <c r="R23" i="2"/>
  <c r="L123" i="3" l="1"/>
  <c r="M145" i="3" s="1"/>
  <c r="L124" i="3"/>
  <c r="L140" i="3"/>
  <c r="M139" i="3"/>
  <c r="M140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L128" i="3" l="1"/>
  <c r="L129" i="3" s="1"/>
  <c r="L132" i="3" s="1"/>
  <c r="L133" i="3" s="1"/>
  <c r="L145" i="3"/>
  <c r="L149" i="3" s="1"/>
  <c r="K11" i="2"/>
  <c r="Q11" i="2"/>
  <c r="R25" i="2"/>
  <c r="F12" i="2"/>
  <c r="M132" i="3" l="1"/>
  <c r="L143" i="3"/>
  <c r="O111" i="3" s="1"/>
  <c r="R109" i="3" s="1"/>
  <c r="R110" i="3" s="1"/>
  <c r="L144" i="3"/>
  <c r="L130" i="3"/>
  <c r="L131" i="3" s="1"/>
  <c r="M149" i="3" s="1"/>
  <c r="L151" i="3"/>
  <c r="L152" i="3" s="1"/>
  <c r="O119" i="3"/>
  <c r="O112" i="3"/>
  <c r="Y12" i="2"/>
  <c r="AA12" i="2" s="1"/>
  <c r="R26" i="2"/>
  <c r="M133" i="3" l="1"/>
  <c r="M144" i="3"/>
  <c r="M82" i="3"/>
  <c r="M93" i="3" s="1"/>
  <c r="M81" i="3"/>
  <c r="M92" i="3" s="1"/>
  <c r="M80" i="3"/>
  <c r="M91" i="3" s="1"/>
  <c r="M96" i="3" s="1"/>
  <c r="P43" i="3" s="1"/>
  <c r="P49" i="3" s="1"/>
  <c r="M79" i="3"/>
  <c r="M90" i="3" s="1"/>
  <c r="M98" i="3"/>
  <c r="O88" i="3" s="1"/>
  <c r="M97" i="3"/>
  <c r="O87" i="3" s="1"/>
  <c r="O120" i="3"/>
  <c r="O116" i="3"/>
  <c r="O118" i="3" s="1"/>
  <c r="O113" i="3"/>
  <c r="O125" i="3" s="1"/>
  <c r="G12" i="2"/>
  <c r="U12" i="2" s="1"/>
  <c r="W12" i="2" s="1"/>
  <c r="O12" i="2" s="1"/>
  <c r="Q12" i="2" s="1"/>
  <c r="K12" i="2"/>
  <c r="R27" i="2"/>
  <c r="M95" i="3" l="1"/>
  <c r="M100" i="3" s="1"/>
  <c r="M143" i="3"/>
  <c r="P111" i="3" s="1"/>
  <c r="P42" i="3"/>
  <c r="P55" i="3" s="1"/>
  <c r="M101" i="3"/>
  <c r="P44" i="3"/>
  <c r="P50" i="3" s="1"/>
  <c r="P75" i="3"/>
  <c r="P56" i="3"/>
  <c r="O85" i="3"/>
  <c r="P85" i="3" s="1"/>
  <c r="M102" i="3"/>
  <c r="P73" i="3"/>
  <c r="O86" i="3"/>
  <c r="M117" i="3"/>
  <c r="M118" i="3" s="1"/>
  <c r="M103" i="3"/>
  <c r="O121" i="3"/>
  <c r="O122" i="3" s="1"/>
  <c r="O135" i="3"/>
  <c r="O136" i="3" s="1"/>
  <c r="Y13" i="2"/>
  <c r="AA13" i="2" s="1"/>
  <c r="G13" i="2" s="1"/>
  <c r="P12" i="2"/>
  <c r="X13" i="2" s="1"/>
  <c r="Z13" i="2" s="1"/>
  <c r="J13" i="2" s="1"/>
  <c r="R28" i="2"/>
  <c r="P119" i="3" l="1"/>
  <c r="S109" i="3"/>
  <c r="S110" i="3" s="1"/>
  <c r="P112" i="3"/>
  <c r="P48" i="3"/>
  <c r="P52" i="3" s="1"/>
  <c r="P72" i="3"/>
  <c r="O79" i="3" s="1"/>
  <c r="P116" i="3"/>
  <c r="P113" i="3"/>
  <c r="P120" i="3"/>
  <c r="P74" i="3"/>
  <c r="P57" i="3"/>
  <c r="P46" i="3"/>
  <c r="P59" i="3"/>
  <c r="O80" i="3"/>
  <c r="O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82" i="3" l="1"/>
  <c r="P121" i="3"/>
  <c r="P53" i="3"/>
  <c r="P125" i="3"/>
  <c r="P135" i="3"/>
  <c r="P136" i="3" s="1"/>
  <c r="O81" i="3"/>
  <c r="P76" i="3"/>
  <c r="K14" i="2"/>
  <c r="P13" i="2"/>
  <c r="X14" i="2" s="1"/>
  <c r="Z14" i="2" s="1"/>
  <c r="J14" i="2" s="1"/>
  <c r="P122" i="3" l="1"/>
  <c r="P124" i="3" s="1"/>
  <c r="P138" i="3"/>
  <c r="O139" i="3" s="1"/>
  <c r="O140" i="3" s="1"/>
  <c r="F14" i="2"/>
  <c r="U14" i="2" s="1"/>
  <c r="W14" i="2" s="1"/>
  <c r="O14" i="2" s="1"/>
  <c r="P14" i="2" s="1"/>
  <c r="X15" i="2" s="1"/>
  <c r="Z15" i="2" s="1"/>
  <c r="J15" i="2" s="1"/>
  <c r="O124" i="3" l="1"/>
  <c r="P139" i="3"/>
  <c r="P140" i="3" s="1"/>
  <c r="O123" i="3"/>
  <c r="O128" i="3" s="1"/>
  <c r="O129" i="3" s="1"/>
  <c r="O132" i="3" s="1"/>
  <c r="O133" i="3" s="1"/>
  <c r="F15" i="2"/>
  <c r="Q14" i="2"/>
  <c r="Y15" i="2" s="1"/>
  <c r="AA15" i="2" s="1"/>
  <c r="G15" i="2" s="1"/>
  <c r="U15" i="2" s="1"/>
  <c r="W15" i="2" s="1"/>
  <c r="O15" i="2" s="1"/>
  <c r="Q15" i="2" s="1"/>
  <c r="O145" i="3" l="1"/>
  <c r="O149" i="3" s="1"/>
  <c r="P145" i="3"/>
  <c r="O144" i="3"/>
  <c r="P132" i="3"/>
  <c r="O151" i="3" s="1"/>
  <c r="O152" i="3" s="1"/>
  <c r="O143" i="3"/>
  <c r="O130" i="3"/>
  <c r="O131" i="3" s="1"/>
  <c r="P80" i="3" s="1"/>
  <c r="R111" i="3"/>
  <c r="U109" i="3" s="1"/>
  <c r="K15" i="2"/>
  <c r="Y16" i="2" s="1"/>
  <c r="AA16" i="2" s="1"/>
  <c r="G16" i="2" s="1"/>
  <c r="P15" i="2"/>
  <c r="X16" i="2" s="1"/>
  <c r="Z16" i="2" s="1"/>
  <c r="J16" i="2" s="1"/>
  <c r="P82" i="3" l="1"/>
  <c r="P93" i="3" s="1"/>
  <c r="P144" i="3"/>
  <c r="P81" i="3"/>
  <c r="P92" i="3" s="1"/>
  <c r="P91" i="3"/>
  <c r="P96" i="3" s="1"/>
  <c r="P133" i="3"/>
  <c r="P79" i="3"/>
  <c r="P90" i="3" s="1"/>
  <c r="P149" i="3"/>
  <c r="P98" i="3"/>
  <c r="R119" i="3"/>
  <c r="R112" i="3"/>
  <c r="U110" i="3"/>
  <c r="K16" i="2"/>
  <c r="F16" i="2"/>
  <c r="U16" i="2" s="1"/>
  <c r="W16" i="2" s="1"/>
  <c r="O16" i="2" s="1"/>
  <c r="P16" i="2" s="1"/>
  <c r="X17" i="2" s="1"/>
  <c r="Z17" i="2" s="1"/>
  <c r="J17" i="2" s="1"/>
  <c r="P97" i="3" l="1"/>
  <c r="P143" i="3"/>
  <c r="S111" i="3" s="1"/>
  <c r="P95" i="3"/>
  <c r="P117" i="3" s="1"/>
  <c r="P118" i="3" s="1"/>
  <c r="P101" i="3"/>
  <c r="R86" i="3"/>
  <c r="S43" i="3"/>
  <c r="S49" i="3" s="1"/>
  <c r="S42" i="3"/>
  <c r="S48" i="3" s="1"/>
  <c r="R85" i="3"/>
  <c r="S85" i="3" s="1"/>
  <c r="P100" i="3"/>
  <c r="R87" i="3"/>
  <c r="P103" i="3"/>
  <c r="S45" i="3"/>
  <c r="S51" i="3" s="1"/>
  <c r="S44" i="3"/>
  <c r="S50" i="3" s="1"/>
  <c r="P102" i="3"/>
  <c r="R88" i="3"/>
  <c r="R120" i="3"/>
  <c r="R116" i="3"/>
  <c r="R118" i="3" s="1"/>
  <c r="R113" i="3"/>
  <c r="R125" i="3" s="1"/>
  <c r="Q16" i="2"/>
  <c r="Y17" i="2" s="1"/>
  <c r="AA17" i="2" s="1"/>
  <c r="K17" i="2" s="1"/>
  <c r="F17" i="2"/>
  <c r="S112" i="3" l="1"/>
  <c r="S120" i="3" s="1"/>
  <c r="V109" i="3"/>
  <c r="V110" i="3" s="1"/>
  <c r="S73" i="3"/>
  <c r="S72" i="3"/>
  <c r="R80" i="3" s="1"/>
  <c r="S56" i="3"/>
  <c r="S74" i="3"/>
  <c r="S119" i="3"/>
  <c r="S113" i="3"/>
  <c r="S125" i="3" s="1"/>
  <c r="S116" i="3"/>
  <c r="S55" i="3"/>
  <c r="S52" i="3"/>
  <c r="S75" i="3"/>
  <c r="S58" i="3"/>
  <c r="S46" i="3"/>
  <c r="S57" i="3"/>
  <c r="R121" i="3"/>
  <c r="R122" i="3" s="1"/>
  <c r="S121" i="3"/>
  <c r="R135" i="3"/>
  <c r="R136" i="3" s="1"/>
  <c r="G17" i="2"/>
  <c r="U17" i="2" s="1"/>
  <c r="W17" i="2" s="1"/>
  <c r="O17" i="2" s="1"/>
  <c r="P17" i="2" s="1"/>
  <c r="X18" i="2" s="1"/>
  <c r="Z18" i="2" s="1"/>
  <c r="J18" i="2" s="1"/>
  <c r="S53" i="3" l="1"/>
  <c r="R79" i="3"/>
  <c r="R82" i="3"/>
  <c r="S135" i="3"/>
  <c r="S59" i="3"/>
  <c r="S76" i="3"/>
  <c r="R81" i="3"/>
  <c r="R138" i="3"/>
  <c r="Q17" i="2"/>
  <c r="Y18" i="2" s="1"/>
  <c r="AA18" i="2" s="1"/>
  <c r="G18" i="2" s="1"/>
  <c r="F18" i="2"/>
  <c r="S136" i="3" l="1"/>
  <c r="S138" i="3" s="1"/>
  <c r="R139" i="3" s="1"/>
  <c r="S139" i="3" s="1"/>
  <c r="S140" i="3" s="1"/>
  <c r="S122" i="3"/>
  <c r="K18" i="2"/>
  <c r="U18" i="2"/>
  <c r="W18" i="2" s="1"/>
  <c r="O18" i="2" s="1"/>
  <c r="Q18" i="2" s="1"/>
  <c r="R124" i="3" l="1"/>
  <c r="R123" i="3"/>
  <c r="S124" i="3"/>
  <c r="R140" i="3"/>
  <c r="Y19" i="2"/>
  <c r="AA19" i="2" s="1"/>
  <c r="G19" i="2" s="1"/>
  <c r="P18" i="2"/>
  <c r="X19" i="2" s="1"/>
  <c r="Z19" i="2" s="1"/>
  <c r="J19" i="2" s="1"/>
  <c r="S145" i="3" l="1"/>
  <c r="R128" i="3"/>
  <c r="R129" i="3" s="1"/>
  <c r="S132" i="3" s="1"/>
  <c r="R145" i="3"/>
  <c r="R149" i="3" s="1"/>
  <c r="K19" i="2"/>
  <c r="F19" i="2"/>
  <c r="U19" i="2" s="1"/>
  <c r="W19" i="2" s="1"/>
  <c r="O19" i="2" s="1"/>
  <c r="P19" i="2" s="1"/>
  <c r="X20" i="2" s="1"/>
  <c r="Z20" i="2" s="1"/>
  <c r="R130" i="3" l="1"/>
  <c r="R131" i="3" s="1"/>
  <c r="S133" i="3" s="1"/>
  <c r="R132" i="3"/>
  <c r="R133" i="3" s="1"/>
  <c r="S149" i="3"/>
  <c r="R144" i="3"/>
  <c r="R151" i="3"/>
  <c r="R152" i="3" s="1"/>
  <c r="S144" i="3"/>
  <c r="S82" i="3"/>
  <c r="S93" i="3" s="1"/>
  <c r="S81" i="3"/>
  <c r="S92" i="3" s="1"/>
  <c r="S79" i="3"/>
  <c r="S90" i="3" s="1"/>
  <c r="Q19" i="2"/>
  <c r="Y20" i="2" s="1"/>
  <c r="AA20" i="2" s="1"/>
  <c r="G20" i="2" s="1"/>
  <c r="J20" i="2"/>
  <c r="F20" i="2"/>
  <c r="R143" i="3" l="1"/>
  <c r="U111" i="3" s="1"/>
  <c r="X109" i="3" s="1"/>
  <c r="S80" i="3"/>
  <c r="S91" i="3" s="1"/>
  <c r="S96" i="3" s="1"/>
  <c r="S101" i="3" s="1"/>
  <c r="S97" i="3"/>
  <c r="S95" i="3"/>
  <c r="S98" i="3"/>
  <c r="U119" i="3"/>
  <c r="V43" i="3"/>
  <c r="V49" i="3" s="1"/>
  <c r="U86" i="3"/>
  <c r="U112" i="3"/>
  <c r="X110" i="3"/>
  <c r="K20" i="2"/>
  <c r="U20" i="2"/>
  <c r="W20" i="2" s="1"/>
  <c r="S143" i="3" l="1"/>
  <c r="V111" i="3" s="1"/>
  <c r="V119" i="3" s="1"/>
  <c r="S100" i="3"/>
  <c r="V42" i="3"/>
  <c r="V48" i="3" s="1"/>
  <c r="U88" i="3"/>
  <c r="U87" i="3"/>
  <c r="V44" i="3"/>
  <c r="V50" i="3" s="1"/>
  <c r="U85" i="3"/>
  <c r="V85" i="3" s="1"/>
  <c r="S102" i="3"/>
  <c r="S117" i="3"/>
  <c r="S118" i="3" s="1"/>
  <c r="V74" i="3"/>
  <c r="S103" i="3"/>
  <c r="V45" i="3"/>
  <c r="V73" i="3"/>
  <c r="U116" i="3"/>
  <c r="U118" i="3" s="1"/>
  <c r="U120" i="3"/>
  <c r="U113" i="3"/>
  <c r="U125" i="3" s="1"/>
  <c r="V56" i="3"/>
  <c r="V72" i="3"/>
  <c r="U79" i="3" s="1"/>
  <c r="O20" i="2"/>
  <c r="P20" i="2" s="1"/>
  <c r="X21" i="2" s="1"/>
  <c r="Z21" i="2" s="1"/>
  <c r="Y109" i="3" l="1"/>
  <c r="Y110" i="3" s="1"/>
  <c r="V112" i="3"/>
  <c r="V55" i="3"/>
  <c r="V57" i="3"/>
  <c r="V51" i="3"/>
  <c r="V52" i="3" s="1"/>
  <c r="V75" i="3"/>
  <c r="U82" i="3" s="1"/>
  <c r="V58" i="3"/>
  <c r="V46" i="3"/>
  <c r="U121" i="3"/>
  <c r="U122" i="3" s="1"/>
  <c r="U135" i="3"/>
  <c r="U136" i="3" s="1"/>
  <c r="V59" i="3"/>
  <c r="U80" i="3"/>
  <c r="U81" i="3"/>
  <c r="J21" i="2"/>
  <c r="F21" i="2"/>
  <c r="Q20" i="2"/>
  <c r="Y21" i="2" s="1"/>
  <c r="AA21" i="2" s="1"/>
  <c r="G21" i="2" s="1"/>
  <c r="V116" i="3" l="1"/>
  <c r="V120" i="3"/>
  <c r="V121" i="3" s="1"/>
  <c r="V113" i="3"/>
  <c r="V76" i="3"/>
  <c r="V53" i="3"/>
  <c r="U138" i="3"/>
  <c r="U21" i="2"/>
  <c r="W21" i="2" s="1"/>
  <c r="O21" i="2" s="1"/>
  <c r="Q21" i="2" s="1"/>
  <c r="K21" i="2"/>
  <c r="V125" i="3" l="1"/>
  <c r="V135" i="3"/>
  <c r="V136" i="3" s="1"/>
  <c r="V122" i="3"/>
  <c r="V124" i="3" s="1"/>
  <c r="U124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U123" i="3" l="1"/>
  <c r="V145" i="3" s="1"/>
  <c r="V138" i="3"/>
  <c r="U139" i="3" s="1"/>
  <c r="U140" i="3" s="1"/>
  <c r="U145" i="3"/>
  <c r="U149" i="3" s="1"/>
  <c r="K22" i="2"/>
  <c r="Y23" i="2" s="1"/>
  <c r="AA23" i="2" s="1"/>
  <c r="P22" i="2"/>
  <c r="X23" i="2" s="1"/>
  <c r="Z23" i="2" s="1"/>
  <c r="J23" i="2" s="1"/>
  <c r="U128" i="3" l="1"/>
  <c r="U129" i="3" s="1"/>
  <c r="U132" i="3" s="1"/>
  <c r="U133" i="3" s="1"/>
  <c r="V139" i="3"/>
  <c r="V140" i="3" s="1"/>
  <c r="G23" i="2"/>
  <c r="K23" i="2"/>
  <c r="F23" i="2"/>
  <c r="U23" i="2" s="1"/>
  <c r="W23" i="2" s="1"/>
  <c r="O23" i="2" s="1"/>
  <c r="Q23" i="2" s="1"/>
  <c r="Y24" i="2" s="1"/>
  <c r="AA24" i="2" s="1"/>
  <c r="U130" i="3" l="1"/>
  <c r="U131" i="3" s="1"/>
  <c r="V132" i="3"/>
  <c r="U143" i="3"/>
  <c r="X111" i="3" s="1"/>
  <c r="U144" i="3"/>
  <c r="V79" i="3"/>
  <c r="V149" i="3"/>
  <c r="V133" i="3"/>
  <c r="X119" i="3"/>
  <c r="V144" i="3"/>
  <c r="U151" i="3"/>
  <c r="U152" i="3" s="1"/>
  <c r="V80" i="3"/>
  <c r="V81" i="3"/>
  <c r="V92" i="3" s="1"/>
  <c r="V82" i="3"/>
  <c r="V93" i="3" s="1"/>
  <c r="X112" i="3"/>
  <c r="P23" i="2"/>
  <c r="X24" i="2" s="1"/>
  <c r="Z24" i="2" s="1"/>
  <c r="J24" i="2" s="1"/>
  <c r="G24" i="2"/>
  <c r="K24" i="2"/>
  <c r="V91" i="3" l="1"/>
  <c r="V96" i="3" s="1"/>
  <c r="Y43" i="3" s="1"/>
  <c r="V90" i="3"/>
  <c r="V95" i="3" s="1"/>
  <c r="V98" i="3"/>
  <c r="V97" i="3"/>
  <c r="X116" i="3"/>
  <c r="X118" i="3" s="1"/>
  <c r="X120" i="3"/>
  <c r="X113" i="3"/>
  <c r="X125" i="3" s="1"/>
  <c r="F24" i="2"/>
  <c r="U24" i="2" s="1"/>
  <c r="W24" i="2" s="1"/>
  <c r="O24" i="2" s="1"/>
  <c r="P24" i="2" s="1"/>
  <c r="X25" i="2" s="1"/>
  <c r="Z25" i="2" s="1"/>
  <c r="J25" i="2" s="1"/>
  <c r="V143" i="3" l="1"/>
  <c r="Y111" i="3" s="1"/>
  <c r="Y119" i="3" s="1"/>
  <c r="Y42" i="3"/>
  <c r="X85" i="3"/>
  <c r="Y85" i="3" s="1"/>
  <c r="V100" i="3"/>
  <c r="V101" i="3"/>
  <c r="Y73" i="3"/>
  <c r="X87" i="3"/>
  <c r="Y44" i="3"/>
  <c r="Y50" i="3" s="1"/>
  <c r="V102" i="3"/>
  <c r="Y45" i="3"/>
  <c r="Y51" i="3" s="1"/>
  <c r="X88" i="3"/>
  <c r="V103" i="3"/>
  <c r="V117" i="3"/>
  <c r="V118" i="3" s="1"/>
  <c r="X86" i="3"/>
  <c r="X121" i="3"/>
  <c r="X122" i="3" s="1"/>
  <c r="X135" i="3"/>
  <c r="X136" i="3" s="1"/>
  <c r="Y49" i="3"/>
  <c r="Y56" i="3"/>
  <c r="Q24" i="2"/>
  <c r="Y25" i="2" s="1"/>
  <c r="AA25" i="2" s="1"/>
  <c r="G25" i="2" s="1"/>
  <c r="F25" i="2"/>
  <c r="Y112" i="3" l="1"/>
  <c r="Y116" i="3" s="1"/>
  <c r="Y120" i="3"/>
  <c r="Y121" i="3" s="1"/>
  <c r="Y74" i="3"/>
  <c r="Y48" i="3"/>
  <c r="Y52" i="3" s="1"/>
  <c r="Y55" i="3"/>
  <c r="Y72" i="3"/>
  <c r="X79" i="3" s="1"/>
  <c r="Y46" i="3"/>
  <c r="Y75" i="3"/>
  <c r="Y58" i="3"/>
  <c r="Y57" i="3"/>
  <c r="X138" i="3"/>
  <c r="K25" i="2"/>
  <c r="U25" i="2"/>
  <c r="W25" i="2" s="1"/>
  <c r="O25" i="2" s="1"/>
  <c r="Q25" i="2" s="1"/>
  <c r="Y26" i="2" s="1"/>
  <c r="AA26" i="2" s="1"/>
  <c r="G26" i="2" s="1"/>
  <c r="Y59" i="3" l="1"/>
  <c r="Y113" i="3"/>
  <c r="X82" i="3"/>
  <c r="X81" i="3"/>
  <c r="X80" i="3"/>
  <c r="Y76" i="3"/>
  <c r="Y53" i="3"/>
  <c r="P25" i="2"/>
  <c r="X26" i="2" s="1"/>
  <c r="Z26" i="2" s="1"/>
  <c r="J26" i="2" s="1"/>
  <c r="K26" i="2"/>
  <c r="Y125" i="3" l="1"/>
  <c r="Y135" i="3"/>
  <c r="Y136" i="3" s="1"/>
  <c r="Y122" i="3"/>
  <c r="Y124" i="3" s="1"/>
  <c r="F26" i="2"/>
  <c r="U26" i="2" s="1"/>
  <c r="W26" i="2" s="1"/>
  <c r="O26" i="2" s="1"/>
  <c r="Q26" i="2" s="1"/>
  <c r="Y27" i="2" s="1"/>
  <c r="AA27" i="2" s="1"/>
  <c r="Y138" i="3" l="1"/>
  <c r="X139" i="3" s="1"/>
  <c r="X123" i="3"/>
  <c r="X128" i="3" s="1"/>
  <c r="X124" i="3"/>
  <c r="P26" i="2"/>
  <c r="X27" i="2" s="1"/>
  <c r="Z27" i="2" s="1"/>
  <c r="J27" i="2" s="1"/>
  <c r="G27" i="2"/>
  <c r="K27" i="2"/>
  <c r="Y139" i="3" l="1"/>
  <c r="Y140" i="3" s="1"/>
  <c r="X140" i="3"/>
  <c r="X129" i="3"/>
  <c r="Y145" i="3"/>
  <c r="X145" i="3"/>
  <c r="X149" i="3" s="1"/>
  <c r="F27" i="2"/>
  <c r="U27" i="2" s="1"/>
  <c r="W27" i="2" s="1"/>
  <c r="O27" i="2" s="1"/>
  <c r="P27" i="2" s="1"/>
  <c r="X28" i="2" s="1"/>
  <c r="Z28" i="2" s="1"/>
  <c r="J28" i="2" s="1"/>
  <c r="Y132" i="3" l="1"/>
  <c r="X130" i="3"/>
  <c r="X131" i="3" s="1"/>
  <c r="Y149" i="3" s="1"/>
  <c r="X132" i="3"/>
  <c r="X133" i="3" s="1"/>
  <c r="Q27" i="2"/>
  <c r="Y28" i="2" s="1"/>
  <c r="AA28" i="2" s="1"/>
  <c r="G28" i="2" s="1"/>
  <c r="F28" i="2"/>
  <c r="X143" i="3" l="1"/>
  <c r="X144" i="3"/>
  <c r="Y144" i="3"/>
  <c r="Y81" i="3"/>
  <c r="Y92" i="3" s="1"/>
  <c r="Y79" i="3"/>
  <c r="Y90" i="3" s="1"/>
  <c r="Y80" i="3"/>
  <c r="Y91" i="3" s="1"/>
  <c r="Y96" i="3" s="1"/>
  <c r="Y82" i="3"/>
  <c r="Y93" i="3" s="1"/>
  <c r="X151" i="3"/>
  <c r="X152" i="3" s="1"/>
  <c r="Y133" i="3"/>
  <c r="Y98" i="3"/>
  <c r="Y95" i="3"/>
  <c r="Y97" i="3"/>
  <c r="U28" i="2"/>
  <c r="W28" i="2" s="1"/>
  <c r="O28" i="2" s="1"/>
  <c r="Q28" i="2" s="1"/>
  <c r="K28" i="2"/>
  <c r="Y143" i="3" l="1"/>
  <c r="Y117" i="3"/>
  <c r="Y118" i="3" s="1"/>
  <c r="Y100" i="3"/>
  <c r="Y102" i="3"/>
  <c r="Y103" i="3"/>
  <c r="Y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<sst xmlns="http://schemas.openxmlformats.org/spreadsheetml/2006/main" count="434" uniqueCount="301">
  <si>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</si>
  <si>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</si>
  <si>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</si>
  <si>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</si>
  <si>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</si>
  <si>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</si>
  <si>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</si>
  <si>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</si>
  <si>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</si>
  <si>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</si>
  <si>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</si>
  <si>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</si>
  <si>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</si>
  <si>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</si>
  <si>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</si>
  <si>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</si>
  <si>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</si>
  <si>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</si>
  <si>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</si>
  <si>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</si>
  <si>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</si>
  <si>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</si>
  <si>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</si>
  <si>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</si>
  <si>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</si>
  <si>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</si>
  <si>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</si>
  <si>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</si>
  <si>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</si>
  <si>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</si>
  <si>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</si>
  <si>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</si>
  <si>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</si>
  <si>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</si>
  <si>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</si>
  <si>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</si>
  <si>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</si>
  <si>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</si>
  <si>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</si>
  <si>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</si>
  <si>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</si>
  <si>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</si>
  <si>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</si>
  <si>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</si>
  <si>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</si>
  <si>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</si>
  <si>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</si>
  <si>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</si>
  <si>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</si>
  <si>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</si>
  <si>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</si>
  <si>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</si>
  <si>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</si>
  <si>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</si>
  <si>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</si>
  <si>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</si>
  <si>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</si>
  <si>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</si>
  <si>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</si>
  <si>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</si>
  <si>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</si>
  <si>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</si>
  <si>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</si>
  <si>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</si>
  <si>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</si>
  <si>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</si>
  <si>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</si>
  <si>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</si>
  <si>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</si>
  <si>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</si>
  <si>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</si>
  <si>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</si>
  <si>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</si>
  <si>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</si>
  <si>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</si>
  <si>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</si>
  <si>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</si>
  <si>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</si>
  <si>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</si>
  <si>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</si>
  <si>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</si>
  <si>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</si>
  <si>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</si>
  <si>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</si>
  <si>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</si>
  <si>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</si>
  <si>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</si>
  <si>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</si>
  <si>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</si>
  <si>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</si>
  <si>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</si>
  <si>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</si>
  <si>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</si>
  <si>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</si>
  <si>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</si>
  <si>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</si>
  <si>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</si>
  <si>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</si>
  <si>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</si>
  <si>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</si>
  <si>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</si>
  <si>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</si>
  <si>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</si>
  <si>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</si>
  <si>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</si>
  <si>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</si>
  <si>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</si>
  <si>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</si>
  <si>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</si>
  <si>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</si>
  <si>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</si>
  <si>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</si>
  <si>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</si>
  <si>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</si>
  <si>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</si>
  <si>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</si>
  <si>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</si>
  <si>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</si>
  <si>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</si>
  <si>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</si>
  <si>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</si>
  <si>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</si>
  <si>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</si>
  <si>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</si>
  <si>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</si>
  <si>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</si>
  <si>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</si>
  <si>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</si>
  <si>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</si>
  <si>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</si>
  <si>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</si>
  <si>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</si>
  <si>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</si>
  <si>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</si>
  <si>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</si>
  <si>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</si>
  <si>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</si>
  <si>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</si>
  <si>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</si>
  <si>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</si>
  <si>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</si>
  <si>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</si>
  <si>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</si>
  <si>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</si>
  <si>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</si>
  <si>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</si>
  <si>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</si>
  <si>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</si>
  <si>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</si>
  <si>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</si>
  <si>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</si>
  <si>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</si>
  <si>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</si>
  <si>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</si>
  <si>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</si>
  <si>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</si>
  <si>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</si>
  <si>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</si>
  <si>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</si>
  <si>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</si>
  <si>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</si>
  <si>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</si>
  <si>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</si>
  <si>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</si>
  <si>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</si>
  <si>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</si>
  <si>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</si>
  <si>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</si>
  <si>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</si>
  <si>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</si>
  <si>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</si>
  <si>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</si>
  <si>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</si>
  <si>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</si>
  <si>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</si>
  <si>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</si>
  <si>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</si>
  <si>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</si>
  <si>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</si>
  <si>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</si>
  <si>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</si>
  <si>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</si>
  <si>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</si>
  <si>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</si>
  <si>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</si>
  <si>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</si>
  <si>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</si>
  <si>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</si>
  <si>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</si>
  <si>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</si>
  <si>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</si>
  <si>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</si>
  <si>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</si>
  <si>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</si>
  <si>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</si>
  <si>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</si>
  <si>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</si>
  <si>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</si>
  <si>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</si>
  <si>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</si>
  <si>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</si>
  <si>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</si>
  <si>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</si>
  <si>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</si>
  <si>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</si>
  <si>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</si>
  <si>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</si>
  <si>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</si>
  <si>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</si>
  <si>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</si>
  <si>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</si>
  <si>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</si>
  <si>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</si>
  <si>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</si>
  <si>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</si>
  <si>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</si>
  <si>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</si>
  <si>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</si>
  <si>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</si>
  <si>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</si>
  <si>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</si>
  <si>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</si>
  <si>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</si>
  <si>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</si>
  <si>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</si>
  <si>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</si>
  <si>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</si>
  <si>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</si>
  <si>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</si>
  <si>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</si>
  <si>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</si>
  <si>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</si>
  <si>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</si>
  <si>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</si>
  <si>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</si>
  <si>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</si>
  <si>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</si>
  <si>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</si>
  <si>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</si>
  <si>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</si>
  <si>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</si>
  <si>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</si>
  <si>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</si>
  <si>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</si>
  <si>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</si>
  <si>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</si>
  <si>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</si>
  <si>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</si>
  <si>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</si>
  <si>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</si>
  <si>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</si>
  <si>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</si>
  <si>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</si>
  <si>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</si>
  <si>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</si>
  <si>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</si>
  <si>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</si>
  <si>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</si>
  <si>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</si>
  <si>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</si>
  <si>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</si>
  <si>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</si>
  <si>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</si>
  <si>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</si>
  <si>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</si>
  <si>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</si>
  <si>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</si>
  <si>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</si>
  <si>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</si>
  <si>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</si>
  <si>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</si>
  <si>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</si>
  <si>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</si>
  <si>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</si>
  <si>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</si>
  <si>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</si>
  <si>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</si>
  <si>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</si>
  <si>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</si>
  <si>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</si>
  <si>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</si>
  <si>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</si>
  <si>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</si>
  <si>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</si>
  <si>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</si>
  <si>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</si>
  <si>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</si>
  <si>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</si>
  <si>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</si>
  <si>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</si>
  <si>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</si>
  <si>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</si>
  <si>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</si>
  <si>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</si>
  <si>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</si>
  <si>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</si>
  <si>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</si>
  <si>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</si>
  <si>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</si>
  <si>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</si>
  <si>
    <t>rrr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</si>
</sst>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13" borderId="0" xfId="0" applyFont="1" applyFill="1" applyAlignment="1">
      <alignment horizontal="right" vertical="center" wrapText="1"/>
    </xf>
    <xf numFmtId="0" fontId="3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0" fillId="3" borderId="0" xfId="0" applyFill="1" applyAlignment="1">
      <alignment horizontal="center" vertical="center" wrapText="1"/>
    </xf>
    <xf numFmtId="0" fontId="3" fillId="1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41" t="s">
        <v>23</v>
      </c>
      <c r="B1" s="41"/>
      <c r="C1" s="42" t="s">
        <v>26</v>
      </c>
      <c r="D1" s="42"/>
      <c r="E1" s="42"/>
      <c r="F1" s="41" t="s">
        <v>30</v>
      </c>
      <c r="G1" s="41"/>
      <c r="H1" s="42" t="s">
        <v>27</v>
      </c>
      <c r="I1" s="42"/>
      <c r="J1" s="41" t="s">
        <v>28</v>
      </c>
      <c r="K1" s="41"/>
      <c r="L1" s="44" t="s">
        <v>29</v>
      </c>
      <c r="M1" s="44"/>
      <c r="N1" s="43" t="s">
        <v>31</v>
      </c>
      <c r="O1" s="43"/>
      <c r="P1" s="43"/>
      <c r="Q1" s="43"/>
      <c r="R1" s="44" t="s">
        <v>48</v>
      </c>
      <c r="S1" s="44"/>
      <c r="T1" s="44"/>
      <c r="U1" s="45" t="s">
        <v>44</v>
      </c>
      <c r="V1" s="45"/>
      <c r="W1" s="4" t="s">
        <v>46</v>
      </c>
      <c r="X1" s="4" t="s">
        <v>47</v>
      </c>
      <c r="AC1" s="41" t="s">
        <v>36</v>
      </c>
      <c r="AD1" s="41"/>
      <c r="AE1" s="41"/>
      <c r="AF1" s="41"/>
      <c r="AG1" s="41"/>
      <c r="AH1" s="41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C1:AH1"/>
    <mergeCell ref="C1:E1"/>
    <mergeCell ref="L1:M1"/>
    <mergeCell ref="U1:V1"/>
    <mergeCell ref="R1:T1"/>
    <mergeCell ref="A1:B1"/>
    <mergeCell ref="F1:G1"/>
    <mergeCell ref="H1:I1"/>
    <mergeCell ref="J1:K1"/>
    <mergeCell ref="N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59"/>
  <sheetViews>
    <sheetView tabSelected="1" topLeftCell="A126" zoomScale="93" zoomScaleNormal="93" workbookViewId="0">
      <selection activeCell="K150" sqref="K150"/>
    </sheetView>
  </sheetViews>
  <sheetFormatPr baseColWidth="10" defaultRowHeight="16" x14ac:dyDescent="0.2"/>
  <cols>
    <col min="1" max="1" width="62.1640625" style="24" customWidth="1"/>
    <col min="2" max="2" width="14" style="27" customWidth="1"/>
    <col min="3" max="3" width="4.1640625" style="23" customWidth="1"/>
    <col min="4" max="4" width="27" style="22" hidden="1" customWidth="1"/>
    <col min="5" max="5" width="44" style="10" hidden="1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6" width="62.1640625" style="2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24"/>
      <c r="B1" s="27"/>
      <c r="C1" s="23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24"/>
    </row>
    <row r="2" spans="1:40" s="7" customFormat="1" x14ac:dyDescent="0.2">
      <c r="A2" s="24"/>
      <c r="B2" s="27"/>
      <c r="C2" s="23"/>
      <c r="D2" s="22"/>
      <c r="E2" s="10"/>
      <c r="F2" s="5" t="s">
        <v>60</v>
      </c>
      <c r="G2" s="5" t="s">
        <v>62</v>
      </c>
      <c r="H2" s="43">
        <v>150</v>
      </c>
      <c r="I2" s="43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  <c r="Z2" s="24"/>
    </row>
    <row r="3" spans="1:40" s="7" customFormat="1" x14ac:dyDescent="0.2">
      <c r="A3" s="24"/>
      <c r="B3" s="27"/>
      <c r="C3" s="23"/>
      <c r="D3" s="22"/>
      <c r="E3" s="10"/>
      <c r="F3" s="5"/>
      <c r="G3" s="5" t="s">
        <v>63</v>
      </c>
      <c r="H3" s="43">
        <v>30</v>
      </c>
      <c r="I3" s="43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24"/>
    </row>
    <row r="4" spans="1:40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D4" s="51" t="s">
        <v>89</v>
      </c>
      <c r="AE4" s="51"/>
      <c r="AF4" s="51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24" t="s">
        <v>155</v>
      </c>
      <c r="B5" s="30" t="s">
        <v>161</v>
      </c>
      <c r="D5" s="7" t="s">
        <v>153</v>
      </c>
      <c r="E5" s="7" t="s">
        <v>154</v>
      </c>
      <c r="F5" s="52" t="s">
        <v>51</v>
      </c>
      <c r="G5" s="52"/>
      <c r="H5" s="17"/>
      <c r="I5" s="52" t="s">
        <v>64</v>
      </c>
      <c r="J5" s="52"/>
      <c r="L5" s="52" t="s">
        <v>65</v>
      </c>
      <c r="M5" s="52"/>
      <c r="O5" s="52" t="s">
        <v>78</v>
      </c>
      <c r="P5" s="52"/>
      <c r="R5" s="52" t="s">
        <v>83</v>
      </c>
      <c r="S5" s="52"/>
      <c r="U5" s="52" t="s">
        <v>84</v>
      </c>
      <c r="V5" s="52"/>
      <c r="X5" s="52" t="s">
        <v>135</v>
      </c>
      <c r="Y5" s="52"/>
      <c r="Z5" s="24" t="s">
        <v>284</v>
      </c>
      <c r="AC5" s="3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B6" s="30"/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38" t="s">
        <v>156</v>
      </c>
      <c r="B7" s="28" t="s">
        <v>174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Z7" s="38" t="s">
        <v>285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38" t="s">
        <v>157</v>
      </c>
      <c r="B8" s="3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249801</v>
      </c>
      <c r="Z8" s="38" t="s">
        <v>286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38" t="s">
        <v>224</v>
      </c>
      <c r="B9" s="3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116</v>
      </c>
      <c r="Z9" s="38" t="s">
        <v>288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38" t="s">
        <v>223</v>
      </c>
      <c r="B10" s="28" t="s">
        <v>174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Z10" s="38" t="s">
        <v>289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38" t="s">
        <v>221</v>
      </c>
      <c r="B11" s="28" t="s">
        <v>174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Z11" s="38" t="s">
        <v>290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38" t="s">
        <v>222</v>
      </c>
      <c r="B12" s="3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49</v>
      </c>
      <c r="Y12" s="4">
        <v>110</v>
      </c>
      <c r="Z12" s="38" t="s">
        <v>287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38" t="s">
        <v>158</v>
      </c>
      <c r="B13" s="28" t="s">
        <v>174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249244</v>
      </c>
      <c r="Z13" s="38" t="s">
        <v>291</v>
      </c>
      <c r="AD13" s="19"/>
      <c r="AE13" s="19"/>
      <c r="AF13" s="19"/>
    </row>
    <row r="14" spans="1:40" ht="32" customHeight="1" x14ac:dyDescent="0.2">
      <c r="A14" s="38" t="s">
        <v>225</v>
      </c>
      <c r="B14" s="3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Z14" s="38" t="s">
        <v>292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38" t="s">
        <v>249</v>
      </c>
      <c r="B15" s="31" t="s">
        <v>162</v>
      </c>
      <c r="D15" s="22" t="s">
        <v>248</v>
      </c>
      <c r="E15" s="10" t="s">
        <v>247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Z15" s="38" t="s">
        <v>296</v>
      </c>
      <c r="AD15" s="19"/>
      <c r="AE15" s="19"/>
      <c r="AF15" s="19"/>
    </row>
    <row r="16" spans="1:40" ht="51" x14ac:dyDescent="0.2">
      <c r="A16" s="38" t="s">
        <v>226</v>
      </c>
      <c r="B16" s="31" t="s">
        <v>162</v>
      </c>
      <c r="E16" s="10" t="s">
        <v>229</v>
      </c>
      <c r="F16" s="4">
        <v>1E-3</v>
      </c>
      <c r="G16" s="4">
        <v>1E-3</v>
      </c>
      <c r="Z16" s="38" t="s">
        <v>293</v>
      </c>
      <c r="AD16" s="19">
        <v>1.8</v>
      </c>
      <c r="AE16" s="19">
        <f>SUM(AD$6:AD16)</f>
        <v>3.34</v>
      </c>
      <c r="AF16" s="19">
        <v>20</v>
      </c>
    </row>
    <row r="17" spans="1:32" ht="34" x14ac:dyDescent="0.2">
      <c r="A17" s="38" t="s">
        <v>227</v>
      </c>
      <c r="B17" s="31" t="s">
        <v>162</v>
      </c>
      <c r="D17" s="49" t="s">
        <v>118</v>
      </c>
      <c r="E17" s="10" t="s">
        <v>117</v>
      </c>
      <c r="F17" s="4">
        <v>0.2</v>
      </c>
      <c r="G17" s="4">
        <v>0.2</v>
      </c>
      <c r="Z17" s="38" t="s">
        <v>294</v>
      </c>
      <c r="AD17" s="19">
        <v>3</v>
      </c>
      <c r="AE17" s="19">
        <f>SUM(AD$6:AD17)</f>
        <v>6.34</v>
      </c>
      <c r="AF17" s="19">
        <v>20</v>
      </c>
    </row>
    <row r="18" spans="1:32" ht="51" x14ac:dyDescent="0.2">
      <c r="A18" s="38" t="s">
        <v>228</v>
      </c>
      <c r="B18" s="31" t="s">
        <v>162</v>
      </c>
      <c r="D18" s="49"/>
      <c r="E18" s="10" t="s">
        <v>138</v>
      </c>
      <c r="F18" s="4">
        <v>0.67</v>
      </c>
      <c r="Z18" s="40" t="s">
        <v>295</v>
      </c>
      <c r="AD18" s="19">
        <v>6</v>
      </c>
      <c r="AE18" s="19">
        <f>SUM(AD$6:AD18)</f>
        <v>12.34</v>
      </c>
      <c r="AF18" s="19">
        <v>20</v>
      </c>
    </row>
    <row r="19" spans="1:32" ht="17" x14ac:dyDescent="0.2">
      <c r="A19" s="38" t="s">
        <v>230</v>
      </c>
      <c r="B19" s="31" t="s">
        <v>162</v>
      </c>
      <c r="E19" s="10" t="s">
        <v>116</v>
      </c>
      <c r="F19" s="4">
        <v>150</v>
      </c>
      <c r="G19" s="4">
        <v>100</v>
      </c>
      <c r="Z19" s="38" t="s">
        <v>297</v>
      </c>
      <c r="AD19" s="19">
        <v>10</v>
      </c>
      <c r="AE19" s="19">
        <f>SUM(AD$6:AD19)</f>
        <v>22.34</v>
      </c>
      <c r="AF19" s="19">
        <v>20</v>
      </c>
    </row>
    <row r="20" spans="1:32" ht="17" x14ac:dyDescent="0.2">
      <c r="A20" s="38" t="s">
        <v>232</v>
      </c>
      <c r="B20" s="31" t="s">
        <v>162</v>
      </c>
      <c r="E20" s="10" t="s">
        <v>173</v>
      </c>
      <c r="F20" s="4">
        <v>0.21</v>
      </c>
      <c r="G20" s="4">
        <v>0.25</v>
      </c>
      <c r="Z20" s="38" t="s">
        <v>298</v>
      </c>
      <c r="AD20" s="19"/>
      <c r="AE20" s="19"/>
      <c r="AF20" s="19"/>
    </row>
    <row r="21" spans="1:32" ht="17" x14ac:dyDescent="0.2">
      <c r="A21" s="38" t="s">
        <v>280</v>
      </c>
      <c r="B21" s="32" t="s">
        <v>174</v>
      </c>
      <c r="E21" s="10" t="s">
        <v>115</v>
      </c>
      <c r="F21" s="4">
        <f>F$19*$F$16</f>
        <v>0.15</v>
      </c>
      <c r="G21" s="4">
        <f>G$19*$G$16</f>
        <v>0.1</v>
      </c>
      <c r="Z21" s="38"/>
      <c r="AD21" s="19">
        <v>12</v>
      </c>
      <c r="AE21" s="19">
        <f>SUM(AD$6:AD21)</f>
        <v>34.340000000000003</v>
      </c>
      <c r="AF21" s="19">
        <v>20</v>
      </c>
    </row>
    <row r="22" spans="1:32" ht="17" x14ac:dyDescent="0.2">
      <c r="A22" s="38" t="s">
        <v>231</v>
      </c>
      <c r="B22" s="32" t="s">
        <v>174</v>
      </c>
      <c r="E22" s="10" t="s">
        <v>175</v>
      </c>
      <c r="F22" s="4">
        <f>F19-F21</f>
        <v>149.85</v>
      </c>
      <c r="G22" s="4">
        <f>G19-G21</f>
        <v>99.9</v>
      </c>
      <c r="Z22" s="38" t="s">
        <v>299</v>
      </c>
      <c r="AD22" s="19">
        <v>13.5</v>
      </c>
      <c r="AE22" s="19">
        <f>SUM(AD$6:AD22)</f>
        <v>47.84</v>
      </c>
      <c r="AF22" s="19">
        <v>20</v>
      </c>
    </row>
    <row r="23" spans="1:32" x14ac:dyDescent="0.2">
      <c r="AD23" s="19">
        <v>12</v>
      </c>
      <c r="AE23" s="19">
        <f>SUM(AD$6:AD23)</f>
        <v>59.84</v>
      </c>
      <c r="AF23" s="19">
        <v>20</v>
      </c>
    </row>
    <row r="24" spans="1:32" ht="17" x14ac:dyDescent="0.2">
      <c r="A24" s="38" t="s">
        <v>159</v>
      </c>
      <c r="B24" s="3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Z24" s="38"/>
      <c r="AD24" s="19">
        <v>10</v>
      </c>
      <c r="AE24" s="19">
        <f>SUM(AD$6:AD24)</f>
        <v>69.84</v>
      </c>
      <c r="AF24" s="19">
        <v>20</v>
      </c>
    </row>
    <row r="25" spans="1:32" ht="17" x14ac:dyDescent="0.2">
      <c r="A25" s="38" t="s">
        <v>279</v>
      </c>
      <c r="B25" s="33" t="s">
        <v>163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Z25" s="38"/>
      <c r="AD25" s="19">
        <v>6</v>
      </c>
      <c r="AE25" s="19">
        <f>SUM(AD$6:AD25)</f>
        <v>75.84</v>
      </c>
      <c r="AF25" s="19">
        <v>20</v>
      </c>
    </row>
    <row r="26" spans="1:32" ht="17" x14ac:dyDescent="0.2">
      <c r="A26" s="38" t="s">
        <v>160</v>
      </c>
      <c r="B26" s="33" t="s">
        <v>163</v>
      </c>
      <c r="E26" s="14" t="s">
        <v>144</v>
      </c>
      <c r="F26" s="4">
        <f>MIN(F13,F24)</f>
        <v>5000</v>
      </c>
      <c r="G26" s="4">
        <f>MIN(G13,G24)</f>
        <v>50000</v>
      </c>
      <c r="I26" s="4">
        <f>MIN(I13,I24)</f>
        <v>5000</v>
      </c>
      <c r="J26" s="4">
        <f>MIN(J13,J24)</f>
        <v>50000</v>
      </c>
      <c r="L26" s="4">
        <f>MIN(L13,L24)</f>
        <v>5500</v>
      </c>
      <c r="M26" s="4">
        <f>MIN(M13,M24)</f>
        <v>50000</v>
      </c>
      <c r="O26" s="4">
        <f>MIN(O13,O24)</f>
        <v>6000</v>
      </c>
      <c r="P26" s="4">
        <f>MIN(P13,P24)</f>
        <v>50000</v>
      </c>
      <c r="R26" s="4">
        <f>MIN(R13,R24)</f>
        <v>6500</v>
      </c>
      <c r="S26" s="4">
        <f>MIN(S13,S24)</f>
        <v>49000</v>
      </c>
      <c r="U26" s="4">
        <f>MIN(U13,U24)</f>
        <v>7200</v>
      </c>
      <c r="V26" s="4">
        <f>MIN(V13,V24)</f>
        <v>49500</v>
      </c>
      <c r="X26" s="4">
        <f>MIN(X13,X24)</f>
        <v>7200</v>
      </c>
      <c r="Y26" s="4">
        <f>MIN(Y13,Y24)</f>
        <v>49500</v>
      </c>
      <c r="Z26" s="38"/>
      <c r="AD26" s="19">
        <v>3</v>
      </c>
      <c r="AE26" s="19">
        <f>SUM(AD$6:AD26)</f>
        <v>78.84</v>
      </c>
      <c r="AF26" s="19">
        <v>20</v>
      </c>
    </row>
    <row r="27" spans="1:32" ht="17" x14ac:dyDescent="0.2">
      <c r="E27" s="15" t="s">
        <v>169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D27" s="19">
        <v>1.8</v>
      </c>
      <c r="AE27" s="19">
        <f>SUM(AD$6:AD27)</f>
        <v>80.64</v>
      </c>
      <c r="AF27" s="19">
        <v>20</v>
      </c>
    </row>
    <row r="28" spans="1:32" ht="73" customHeight="1" x14ac:dyDescent="0.2">
      <c r="A28" s="38" t="s">
        <v>278</v>
      </c>
      <c r="B28" s="31" t="s">
        <v>162</v>
      </c>
      <c r="D28" s="49" t="s">
        <v>170</v>
      </c>
      <c r="E28" s="25" t="s">
        <v>68</v>
      </c>
      <c r="F28" s="4">
        <v>0.3</v>
      </c>
      <c r="G28" s="4">
        <v>0.92</v>
      </c>
      <c r="Z28" s="38"/>
    </row>
    <row r="29" spans="1:32" ht="73" customHeight="1" x14ac:dyDescent="0.2">
      <c r="A29" s="38" t="s">
        <v>233</v>
      </c>
      <c r="B29" s="32" t="s">
        <v>174</v>
      </c>
      <c r="D29" s="49"/>
      <c r="E29" s="25" t="s">
        <v>171</v>
      </c>
      <c r="F29" s="4">
        <f>F28/F19</f>
        <v>2E-3</v>
      </c>
      <c r="G29" s="4">
        <f>F29</f>
        <v>2E-3</v>
      </c>
      <c r="Z29" s="38"/>
    </row>
    <row r="30" spans="1:32" ht="18" customHeight="1" x14ac:dyDescent="0.2">
      <c r="D30" s="26"/>
    </row>
    <row r="31" spans="1:32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2" ht="17" x14ac:dyDescent="0.2">
      <c r="A32" s="38" t="s">
        <v>168</v>
      </c>
      <c r="B32" s="3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  <c r="Z32" s="38"/>
    </row>
    <row r="34" spans="1:27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7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7" ht="17" x14ac:dyDescent="0.2">
      <c r="A36" s="24" t="s">
        <v>179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7" ht="17" x14ac:dyDescent="0.2">
      <c r="A37" s="46" t="s">
        <v>180</v>
      </c>
      <c r="B37" s="47" t="s">
        <v>174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  <c r="Z37" s="37"/>
    </row>
    <row r="38" spans="1:27" ht="17" x14ac:dyDescent="0.2">
      <c r="A38" s="48"/>
      <c r="B38" s="4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0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1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2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3">IF(W38&gt;=Y$11, IF(W37&lt;Y$11, Y$11-W37, 0),V38)</f>
        <v>0</v>
      </c>
      <c r="Y38" s="4">
        <f>V38-X38</f>
        <v>80</v>
      </c>
      <c r="Z38" s="38"/>
    </row>
    <row r="39" spans="1:27" ht="17" x14ac:dyDescent="0.2">
      <c r="A39" s="48"/>
      <c r="B39" s="4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ref="L39:L40" si="4">IF(K39&gt;=M$11, IF(K38&lt;M$11, M$11-K38, 0),J39)</f>
        <v>0</v>
      </c>
      <c r="M39" s="4">
        <f>M12</f>
        <v>92</v>
      </c>
      <c r="N39" s="5">
        <f>SUM(M$36:M39)</f>
        <v>257</v>
      </c>
      <c r="O39" s="4">
        <f t="shared" si="0"/>
        <v>0</v>
      </c>
      <c r="P39" s="4">
        <f>M39-O39</f>
        <v>92</v>
      </c>
      <c r="Q39" s="5">
        <f>SUM(P$36:P39)</f>
        <v>257</v>
      </c>
      <c r="R39" s="4">
        <f t="shared" si="1"/>
        <v>0</v>
      </c>
      <c r="S39" s="4">
        <f>P39-R39</f>
        <v>92</v>
      </c>
      <c r="T39" s="5">
        <f>SUM(S$36:S39)</f>
        <v>257</v>
      </c>
      <c r="U39" s="4">
        <f t="shared" si="2"/>
        <v>0</v>
      </c>
      <c r="V39" s="4">
        <f>S39-U39</f>
        <v>92</v>
      </c>
      <c r="W39" s="5">
        <f>SUM(V$36:V39)</f>
        <v>257</v>
      </c>
      <c r="X39" s="4">
        <f t="shared" si="3"/>
        <v>0</v>
      </c>
      <c r="Y39" s="4">
        <f>V39-X39</f>
        <v>92</v>
      </c>
      <c r="Z39" s="38"/>
    </row>
    <row r="40" spans="1:27" ht="17" x14ac:dyDescent="0.2">
      <c r="A40" s="48"/>
      <c r="B40" s="4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>IF(H40&gt;=J$11, IF(H39&lt;J$11, J$11-H39, 0),G40)</f>
        <v>0</v>
      </c>
      <c r="J40" s="4">
        <v>0</v>
      </c>
      <c r="K40" s="5">
        <f>SUM(J$36:J40)</f>
        <v>165</v>
      </c>
      <c r="L40" s="4">
        <f t="shared" si="4"/>
        <v>0</v>
      </c>
      <c r="M40" s="4">
        <v>0</v>
      </c>
      <c r="N40" s="5">
        <f>SUM(M$36:M40)</f>
        <v>257</v>
      </c>
      <c r="O40" s="4">
        <f t="shared" si="0"/>
        <v>0</v>
      </c>
      <c r="P40" s="4">
        <f>P12</f>
        <v>43</v>
      </c>
      <c r="Q40" s="5">
        <f>SUM(P$36:P40)</f>
        <v>300</v>
      </c>
      <c r="R40" s="4">
        <f t="shared" si="1"/>
        <v>0</v>
      </c>
      <c r="S40" s="4">
        <f>P40-R40</f>
        <v>43</v>
      </c>
      <c r="T40" s="5">
        <f>SUM(S$36:S40)</f>
        <v>300</v>
      </c>
      <c r="U40" s="4">
        <f t="shared" si="2"/>
        <v>0</v>
      </c>
      <c r="V40" s="4">
        <f>S40-U40</f>
        <v>43</v>
      </c>
      <c r="W40" s="5">
        <f>SUM(V$36:V40)</f>
        <v>300</v>
      </c>
      <c r="X40" s="4">
        <f t="shared" si="3"/>
        <v>0</v>
      </c>
      <c r="Y40" s="4">
        <f>V40-X40</f>
        <v>43</v>
      </c>
      <c r="Z40" s="38"/>
    </row>
    <row r="41" spans="1:27" ht="17" x14ac:dyDescent="0.2">
      <c r="E41" s="14" t="s">
        <v>82</v>
      </c>
      <c r="AA41" t="s">
        <v>77</v>
      </c>
    </row>
    <row r="42" spans="1:27" ht="17" x14ac:dyDescent="0.2">
      <c r="A42" s="48" t="s">
        <v>191</v>
      </c>
      <c r="B42" s="47" t="s">
        <v>174</v>
      </c>
      <c r="E42" s="14" t="s">
        <v>195</v>
      </c>
      <c r="G42" s="4">
        <v>0</v>
      </c>
      <c r="J42" s="4">
        <f>IF(G37=0, 0, G95*I37/G37)</f>
        <v>0</v>
      </c>
      <c r="M42" s="4">
        <f>IF(J37=0, 0, J95*L37/J37)</f>
        <v>0</v>
      </c>
      <c r="P42" s="4">
        <f>IF(M37=0, 0, M95*O37/M37)</f>
        <v>0</v>
      </c>
      <c r="S42" s="4">
        <f>IF(P37=0, 0, P95*R37/P37)</f>
        <v>0</v>
      </c>
      <c r="V42" s="4">
        <f>IF(S37=0, 0, S95*U37/S37)</f>
        <v>0</v>
      </c>
      <c r="Y42" s="4">
        <f>IF(V37=0, 0, V95*X37/V37)</f>
        <v>0</v>
      </c>
      <c r="Z42" s="38"/>
    </row>
    <row r="43" spans="1:27" ht="17" x14ac:dyDescent="0.2">
      <c r="A43" s="48"/>
      <c r="B43" s="47"/>
      <c r="E43" s="14" t="s">
        <v>196</v>
      </c>
      <c r="G43" s="4">
        <v>0</v>
      </c>
      <c r="J43" s="4">
        <f>IF(G38=0, 0, G96*I38/G38)</f>
        <v>0</v>
      </c>
      <c r="M43" s="4">
        <f>IF(J38=0, 0, J96*L38/J38)</f>
        <v>0</v>
      </c>
      <c r="P43" s="4">
        <f>IF(M38=0, 0, M96*O38/M38)</f>
        <v>0</v>
      </c>
      <c r="S43" s="4">
        <f>IF(P38=0, 0, P96*R38/P38)</f>
        <v>0</v>
      </c>
      <c r="V43" s="4">
        <f>IF(S38=0, 0, S96*U38/S38)</f>
        <v>0</v>
      </c>
      <c r="Y43" s="4">
        <f>IF(V38=0, 0, V96*X38/V38)</f>
        <v>0</v>
      </c>
      <c r="Z43" s="38"/>
    </row>
    <row r="44" spans="1:27" ht="17" x14ac:dyDescent="0.2">
      <c r="A44" s="48"/>
      <c r="B44" s="47"/>
      <c r="E44" s="14" t="s">
        <v>197</v>
      </c>
      <c r="G44" s="4">
        <v>0</v>
      </c>
      <c r="J44" s="4">
        <f>IF(G39=0, 0, G97*I39/G39)</f>
        <v>0</v>
      </c>
      <c r="M44" s="4">
        <f>IF(J39=0, 0, J97*L39/J39)</f>
        <v>0</v>
      </c>
      <c r="P44" s="4">
        <f>IF(M39=0, 0, M97*O39/M39)</f>
        <v>0</v>
      </c>
      <c r="S44" s="4">
        <f>IF(P39=0, 0, P97*R39/P39)</f>
        <v>0</v>
      </c>
      <c r="V44" s="4">
        <f>IF(S39=0, 0, S97*U39/S39)</f>
        <v>0</v>
      </c>
      <c r="Y44" s="4">
        <f>IF(V39=0, 0, V97*X39/V39)</f>
        <v>0</v>
      </c>
      <c r="Z44" s="38"/>
    </row>
    <row r="45" spans="1:27" ht="17" x14ac:dyDescent="0.2">
      <c r="A45" s="48"/>
      <c r="B45" s="47"/>
      <c r="E45" s="14" t="s">
        <v>198</v>
      </c>
      <c r="G45" s="4">
        <v>0</v>
      </c>
      <c r="J45" s="4">
        <f>IF(G40=0, 0, G98*I40/G40)</f>
        <v>0</v>
      </c>
      <c r="M45" s="4">
        <f>IF(J40=0, 0, J98*L40/J40)</f>
        <v>0</v>
      </c>
      <c r="P45" s="4">
        <f>IF(M40=0, 0, M98*O40/M40)</f>
        <v>0</v>
      </c>
      <c r="S45" s="4">
        <f>IF(P40=0, 0, P98*R40/P40)</f>
        <v>0</v>
      </c>
      <c r="V45" s="4">
        <f>IF(S40=0, 0, S98*U40/S40)</f>
        <v>0</v>
      </c>
      <c r="Y45" s="4">
        <f>IF(V40=0, 0, V98*X40/V40)</f>
        <v>0</v>
      </c>
      <c r="Z45" s="38"/>
    </row>
    <row r="46" spans="1:27" x14ac:dyDescent="0.2">
      <c r="A46" s="38" t="s">
        <v>192</v>
      </c>
      <c r="B46" s="28" t="s">
        <v>174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  <c r="Z46" s="38"/>
    </row>
    <row r="47" spans="1:27" ht="17" x14ac:dyDescent="0.2">
      <c r="E47" s="14" t="s">
        <v>82</v>
      </c>
      <c r="AA47" t="s">
        <v>77</v>
      </c>
    </row>
    <row r="48" spans="1:27" ht="17" x14ac:dyDescent="0.2">
      <c r="A48" s="48" t="s">
        <v>263</v>
      </c>
      <c r="B48" s="47" t="s">
        <v>174</v>
      </c>
      <c r="D48" s="49" t="s">
        <v>251</v>
      </c>
      <c r="E48" s="14" t="s">
        <v>250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  <c r="Z48" s="38"/>
    </row>
    <row r="49" spans="1:26" ht="17" x14ac:dyDescent="0.2">
      <c r="A49" s="48"/>
      <c r="B49" s="47"/>
      <c r="D49" s="49"/>
      <c r="E49" s="14" t="s">
        <v>252</v>
      </c>
      <c r="G49" s="4">
        <f>MIN(G43,G$15*F38)</f>
        <v>0</v>
      </c>
      <c r="J49" s="4">
        <f>MIN(J43,J$15*I38)</f>
        <v>0</v>
      </c>
      <c r="M49" s="4">
        <f>MIN(M43,M$15*L38)</f>
        <v>0</v>
      </c>
      <c r="P49" s="4">
        <f t="shared" ref="P49" si="5">MIN(P43,P$15*O38)</f>
        <v>0</v>
      </c>
      <c r="S49" s="4">
        <f t="shared" ref="S49" si="6">MIN(S43,S$15*R38)</f>
        <v>0</v>
      </c>
      <c r="V49" s="4">
        <f t="shared" ref="V49" si="7">MIN(V43,V$15*U38)</f>
        <v>0</v>
      </c>
      <c r="Y49" s="4">
        <f t="shared" ref="Y49" si="8">MIN(Y43,Y$15*X38)</f>
        <v>0</v>
      </c>
      <c r="Z49" s="38"/>
    </row>
    <row r="50" spans="1:26" ht="17" x14ac:dyDescent="0.2">
      <c r="A50" s="48"/>
      <c r="B50" s="47"/>
      <c r="D50" s="49"/>
      <c r="E50" s="14" t="s">
        <v>253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  <c r="Z50" s="38"/>
    </row>
    <row r="51" spans="1:26" ht="17" x14ac:dyDescent="0.2">
      <c r="A51" s="48"/>
      <c r="B51" s="47"/>
      <c r="D51" s="49"/>
      <c r="E51" s="14" t="s">
        <v>254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  <c r="Z51" s="38"/>
    </row>
    <row r="52" spans="1:26" x14ac:dyDescent="0.2">
      <c r="A52" s="38" t="s">
        <v>264</v>
      </c>
      <c r="B52" s="28" t="s">
        <v>174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  <c r="Z52" s="38"/>
    </row>
    <row r="53" spans="1:26" x14ac:dyDescent="0.2">
      <c r="A53" s="38" t="s">
        <v>266</v>
      </c>
      <c r="B53" s="28"/>
      <c r="E53" s="14"/>
      <c r="G53" s="4">
        <f>G46-G52</f>
        <v>0</v>
      </c>
      <c r="J53" s="4">
        <f>J46-J52</f>
        <v>0</v>
      </c>
      <c r="M53" s="4">
        <f>M46-M52</f>
        <v>0</v>
      </c>
      <c r="P53" s="4">
        <f>P46-P52</f>
        <v>0</v>
      </c>
      <c r="S53" s="4">
        <f>S46-S52</f>
        <v>0</v>
      </c>
      <c r="V53" s="4">
        <f>V46-V52</f>
        <v>0</v>
      </c>
      <c r="Y53" s="4">
        <f>Y46-Y52</f>
        <v>0</v>
      </c>
      <c r="Z53" s="38"/>
    </row>
    <row r="54" spans="1:26" x14ac:dyDescent="0.2">
      <c r="E54" s="14"/>
    </row>
    <row r="55" spans="1:26" ht="17" x14ac:dyDescent="0.2">
      <c r="A55" s="48" t="s">
        <v>193</v>
      </c>
      <c r="B55" s="47" t="s">
        <v>174</v>
      </c>
      <c r="E55" s="14" t="s">
        <v>199</v>
      </c>
      <c r="G55" s="4">
        <f>G42*$G$20</f>
        <v>0</v>
      </c>
      <c r="J55" s="4">
        <f>J42*$G$20</f>
        <v>0</v>
      </c>
      <c r="M55" s="4">
        <f>M42*$G$20</f>
        <v>0</v>
      </c>
      <c r="P55" s="4">
        <f>P42*$G$20</f>
        <v>0</v>
      </c>
      <c r="S55" s="4">
        <f>S42*$G$20</f>
        <v>0</v>
      </c>
      <c r="V55" s="4">
        <f>V42*$G$20</f>
        <v>0</v>
      </c>
      <c r="Y55" s="4">
        <f>Y42*$G$20</f>
        <v>0</v>
      </c>
      <c r="Z55" s="38"/>
    </row>
    <row r="56" spans="1:26" ht="17" x14ac:dyDescent="0.2">
      <c r="A56" s="48"/>
      <c r="B56" s="47"/>
      <c r="E56" s="14" t="s">
        <v>200</v>
      </c>
      <c r="G56" s="4">
        <f>G43*$G$20</f>
        <v>0</v>
      </c>
      <c r="J56" s="4">
        <f>J43*$G$20</f>
        <v>0</v>
      </c>
      <c r="M56" s="4">
        <f>M43*$G$20</f>
        <v>0</v>
      </c>
      <c r="P56" s="4">
        <f>P43*$G$20</f>
        <v>0</v>
      </c>
      <c r="S56" s="4">
        <f>S43*$G$20</f>
        <v>0</v>
      </c>
      <c r="V56" s="4">
        <f>V43*$G$20</f>
        <v>0</v>
      </c>
      <c r="Y56" s="4">
        <f>Y43*$G$20</f>
        <v>0</v>
      </c>
      <c r="Z56" s="38"/>
    </row>
    <row r="57" spans="1:26" ht="17" x14ac:dyDescent="0.2">
      <c r="A57" s="48"/>
      <c r="B57" s="47"/>
      <c r="E57" s="14" t="s">
        <v>201</v>
      </c>
      <c r="G57" s="4">
        <f>G44*$G$20</f>
        <v>0</v>
      </c>
      <c r="J57" s="4">
        <f>J44*$G$20</f>
        <v>0</v>
      </c>
      <c r="M57" s="4">
        <f>M44*$G$20</f>
        <v>0</v>
      </c>
      <c r="P57" s="4">
        <f>P44*$G$20</f>
        <v>0</v>
      </c>
      <c r="S57" s="4">
        <f>S44*$G$20</f>
        <v>0</v>
      </c>
      <c r="V57" s="4">
        <f>V44*$G$20</f>
        <v>0</v>
      </c>
      <c r="Y57" s="4">
        <f>Y44*$G$20</f>
        <v>0</v>
      </c>
      <c r="Z57" s="38"/>
    </row>
    <row r="58" spans="1:26" ht="17" x14ac:dyDescent="0.2">
      <c r="A58" s="48"/>
      <c r="B58" s="47"/>
      <c r="E58" s="14" t="s">
        <v>202</v>
      </c>
      <c r="G58" s="4">
        <f>G45*$G$20</f>
        <v>0</v>
      </c>
      <c r="J58" s="4">
        <f>J45*$G$20</f>
        <v>0</v>
      </c>
      <c r="M58" s="4">
        <f>M45*$G$20</f>
        <v>0</v>
      </c>
      <c r="P58" s="4">
        <f>P45*$G$20</f>
        <v>0</v>
      </c>
      <c r="S58" s="4">
        <f>S45*$G$20</f>
        <v>0</v>
      </c>
      <c r="V58" s="4">
        <f>V45*$G$20</f>
        <v>0</v>
      </c>
      <c r="Y58" s="4">
        <f>Y45*$G$20</f>
        <v>0</v>
      </c>
      <c r="Z58" s="38"/>
    </row>
    <row r="59" spans="1:26" x14ac:dyDescent="0.2">
      <c r="A59" s="38" t="s">
        <v>194</v>
      </c>
      <c r="B59" s="28" t="s">
        <v>174</v>
      </c>
      <c r="E59" s="14"/>
      <c r="G59" s="4">
        <f>SUM(G55:G58)</f>
        <v>0</v>
      </c>
      <c r="J59" s="4">
        <f>SUM(J55:J58)</f>
        <v>0</v>
      </c>
      <c r="M59" s="4">
        <f>SUM(M55:M58)</f>
        <v>0</v>
      </c>
      <c r="P59" s="4">
        <f>SUM(P55:P58)</f>
        <v>0</v>
      </c>
      <c r="S59" s="4">
        <f>SUM(S55:S58)</f>
        <v>0</v>
      </c>
      <c r="V59" s="4">
        <f>SUM(V55:V58)</f>
        <v>0</v>
      </c>
      <c r="Y59" s="4">
        <f>SUM(Y55:Y58)</f>
        <v>0</v>
      </c>
      <c r="Z59" s="38"/>
    </row>
    <row r="60" spans="1:26" x14ac:dyDescent="0.2">
      <c r="E60" s="14"/>
    </row>
    <row r="61" spans="1:26" ht="17" x14ac:dyDescent="0.2">
      <c r="A61" s="48" t="s">
        <v>178</v>
      </c>
      <c r="B61" s="47" t="s">
        <v>174</v>
      </c>
      <c r="E61" s="14" t="s">
        <v>90</v>
      </c>
      <c r="G61" s="4">
        <f>AD6</f>
        <v>0</v>
      </c>
      <c r="J61" s="4">
        <f>AD7</f>
        <v>0.01</v>
      </c>
      <c r="M61" s="4">
        <f>AD8</f>
        <v>0.05</v>
      </c>
      <c r="P61" s="4">
        <f>AD9</f>
        <v>0.12</v>
      </c>
      <c r="S61" s="4">
        <f>AD11</f>
        <v>0.2</v>
      </c>
      <c r="V61" s="4">
        <f>AD12</f>
        <v>0.36</v>
      </c>
      <c r="Y61" s="4">
        <f>AD14</f>
        <v>0.6</v>
      </c>
      <c r="Z61" s="38"/>
    </row>
    <row r="62" spans="1:26" ht="17" x14ac:dyDescent="0.2">
      <c r="A62" s="48"/>
      <c r="B62" s="47"/>
      <c r="E62" s="14" t="s">
        <v>91</v>
      </c>
      <c r="G62" s="4">
        <v>0</v>
      </c>
      <c r="J62" s="4">
        <v>0</v>
      </c>
      <c r="M62" s="4">
        <f>AD7</f>
        <v>0.01</v>
      </c>
      <c r="P62" s="4">
        <f>AD8</f>
        <v>0.05</v>
      </c>
      <c r="S62" s="4">
        <f>AD9</f>
        <v>0.12</v>
      </c>
      <c r="V62" s="4">
        <f>AD11</f>
        <v>0.2</v>
      </c>
      <c r="Y62" s="4">
        <f>AD12</f>
        <v>0.36</v>
      </c>
      <c r="Z62" s="38"/>
    </row>
    <row r="63" spans="1:26" ht="17" x14ac:dyDescent="0.2">
      <c r="A63" s="48"/>
      <c r="B63" s="47"/>
      <c r="E63" s="14" t="s">
        <v>92</v>
      </c>
      <c r="G63" s="4">
        <v>0</v>
      </c>
      <c r="J63" s="4">
        <v>0</v>
      </c>
      <c r="M63" s="4">
        <v>0</v>
      </c>
      <c r="P63" s="4">
        <f>AD7</f>
        <v>0.01</v>
      </c>
      <c r="S63" s="4">
        <f>AD8</f>
        <v>0.05</v>
      </c>
      <c r="V63" s="4">
        <f>AD9</f>
        <v>0.12</v>
      </c>
      <c r="Y63" s="4">
        <f>AD11</f>
        <v>0.2</v>
      </c>
      <c r="Z63" s="38"/>
    </row>
    <row r="64" spans="1:26" ht="17" x14ac:dyDescent="0.2">
      <c r="A64" s="48"/>
      <c r="B64" s="47"/>
      <c r="E64" s="14" t="s">
        <v>93</v>
      </c>
      <c r="G64" s="4">
        <v>0</v>
      </c>
      <c r="J64" s="4">
        <v>0</v>
      </c>
      <c r="M64" s="4">
        <v>0</v>
      </c>
      <c r="P64" s="4">
        <v>0</v>
      </c>
      <c r="S64" s="4">
        <f>AD7</f>
        <v>0.01</v>
      </c>
      <c r="V64" s="4">
        <f>AD8</f>
        <v>0.05</v>
      </c>
      <c r="Y64" s="4">
        <f>AD9</f>
        <v>0.12</v>
      </c>
      <c r="Z64" s="38"/>
    </row>
    <row r="65" spans="1:31" ht="17" x14ac:dyDescent="0.2">
      <c r="E65" s="14" t="s">
        <v>49</v>
      </c>
    </row>
    <row r="66" spans="1:31" x14ac:dyDescent="0.2">
      <c r="E66" s="14"/>
    </row>
    <row r="67" spans="1:31" ht="17" x14ac:dyDescent="0.2">
      <c r="A67" s="48" t="s">
        <v>238</v>
      </c>
      <c r="B67" s="47" t="s">
        <v>174</v>
      </c>
      <c r="E67" s="14" t="s">
        <v>109</v>
      </c>
      <c r="G67" s="4">
        <f>G37*G61</f>
        <v>0</v>
      </c>
      <c r="J67" s="4">
        <f>J37*J61</f>
        <v>0.85</v>
      </c>
      <c r="M67" s="4">
        <f>J67*(1- $F$29)+M37*M61</f>
        <v>5.0983000000000001</v>
      </c>
      <c r="P67" s="4">
        <f>M67*(1- $F$29)+P37*P61</f>
        <v>15.288103399999999</v>
      </c>
      <c r="S67" s="4">
        <f>P67*(1- $F$29)+S37*S61</f>
        <v>32.257527193199998</v>
      </c>
      <c r="V67" s="4">
        <f>S67*(1- $F$29)+V37*V61</f>
        <v>62.793012138813594</v>
      </c>
      <c r="Y67" s="4">
        <f>V67*(1- $F$29)+Y37*Y61</f>
        <v>113.66742611453597</v>
      </c>
      <c r="Z67" s="38"/>
    </row>
    <row r="68" spans="1:31" ht="17" x14ac:dyDescent="0.2">
      <c r="A68" s="48"/>
      <c r="B68" s="47"/>
      <c r="E68" s="14" t="s">
        <v>110</v>
      </c>
      <c r="J68" s="4">
        <f>J38*J62</f>
        <v>0</v>
      </c>
      <c r="M68" s="4">
        <f>J68*(1- $F$29)+M38*M62</f>
        <v>0.8</v>
      </c>
      <c r="P68" s="4">
        <f>M68*(1- $F$29)+P38*P62</f>
        <v>4.7984</v>
      </c>
      <c r="S68" s="4">
        <f>P68*(1- $F$29)+S38*S62</f>
        <v>14.3888032</v>
      </c>
      <c r="V68" s="4">
        <f>S68*(1- $F$29)+V38*V62</f>
        <v>30.3600255936</v>
      </c>
      <c r="Y68" s="4">
        <f>V68*(1- $F$29)+Y38*Y62</f>
        <v>59.099305542412793</v>
      </c>
      <c r="Z68" s="38"/>
    </row>
    <row r="69" spans="1:31" ht="17" x14ac:dyDescent="0.2">
      <c r="A69" s="48"/>
      <c r="B69" s="47"/>
      <c r="D69" s="49"/>
      <c r="E69" s="14" t="s">
        <v>111</v>
      </c>
      <c r="M69" s="4">
        <f>J69*(1- $F$29)+M39*M63</f>
        <v>0</v>
      </c>
      <c r="P69" s="4">
        <f>M69*(1- $F$29)+P39*P63</f>
        <v>0.92</v>
      </c>
      <c r="S69" s="4">
        <f>P69*(1- $F$29)+S39*S63</f>
        <v>5.5181600000000008</v>
      </c>
      <c r="V69" s="4">
        <f>S69*(1- $F$29)+V39*V63</f>
        <v>16.547123679999999</v>
      </c>
      <c r="Y69" s="4">
        <f>V69*(1- $F$29)+Y39*Y63</f>
        <v>34.91402943264</v>
      </c>
      <c r="Z69" s="38"/>
    </row>
    <row r="70" spans="1:31" ht="17" x14ac:dyDescent="0.2">
      <c r="A70" s="48"/>
      <c r="B70" s="47"/>
      <c r="D70" s="49"/>
      <c r="E70" s="14" t="s">
        <v>112</v>
      </c>
      <c r="M70" s="4">
        <f>J70*(1- $F$29)+M40*M64</f>
        <v>0</v>
      </c>
      <c r="P70" s="4">
        <f>M70*(1- $F$29)+P40*P64</f>
        <v>0</v>
      </c>
      <c r="S70" s="4">
        <f>P70*(1- $F$29)+S40*S64</f>
        <v>0.43</v>
      </c>
      <c r="V70" s="4">
        <f>S70*(1- $F$29)+V40*V64</f>
        <v>2.5791399999999998</v>
      </c>
      <c r="Y70" s="4">
        <f>V70*(1- $F$29)+Y40*Y64</f>
        <v>7.7339817200000001</v>
      </c>
      <c r="Z70" s="38"/>
    </row>
    <row r="71" spans="1:31" x14ac:dyDescent="0.2">
      <c r="D71" s="49"/>
      <c r="E71" s="14"/>
    </row>
    <row r="72" spans="1:31" ht="17" x14ac:dyDescent="0.2">
      <c r="A72" s="48" t="s">
        <v>235</v>
      </c>
      <c r="B72" s="47" t="s">
        <v>174</v>
      </c>
      <c r="E72" s="14" t="s">
        <v>127</v>
      </c>
      <c r="G72" s="4">
        <v>0</v>
      </c>
      <c r="J72" s="4">
        <f>INT(I$4-$AF$6 &gt; $D80)*MAX(G95-$G$21*G37-J42,0)</f>
        <v>0</v>
      </c>
      <c r="M72" s="4">
        <f>INT(L$4-$AF$6 &gt; $D80)*MAX(J95-$G$21*J37-M42,0)</f>
        <v>0</v>
      </c>
      <c r="P72" s="4">
        <f>INT(O$4-$AF$6 &gt; $D80)*MAX(M95-$G$21*M37-P42,0)</f>
        <v>0</v>
      </c>
      <c r="S72" s="4">
        <f>INT(R$4-$AF$6 &gt; $D80)*MAX(P95-$G$21*P37-S42,0)</f>
        <v>6.7881033999999989</v>
      </c>
      <c r="V72" s="4">
        <f>INT(U$4-$AF$6 &gt; $D80)*MAX(S95-$G$21*S37-V42,0)</f>
        <v>23.757527193199998</v>
      </c>
      <c r="Y72" s="4">
        <f>INT(X$4-$AF$6 &gt; $D80)*MAX(V95-$G$21*V37-Y42,0)</f>
        <v>30.582999999999998</v>
      </c>
      <c r="Z72" s="38"/>
    </row>
    <row r="73" spans="1:31" ht="17" x14ac:dyDescent="0.2">
      <c r="A73" s="48"/>
      <c r="B73" s="47"/>
      <c r="E73" s="14" t="s">
        <v>128</v>
      </c>
      <c r="G73" s="4">
        <v>0</v>
      </c>
      <c r="J73" s="4">
        <f>INT(I$4-$AF$6 &gt; $D81)*MAX(G96-$G$21*G38-J43,0)</f>
        <v>0</v>
      </c>
      <c r="M73" s="4">
        <f>INT(L$4-$AF$6 &gt; $D81)*MAX(J96-$G$21*J38-M43,0)</f>
        <v>0</v>
      </c>
      <c r="P73" s="4">
        <f>INT(O$4-$AF$6 &gt; $D81)*MAX(M96-$G$21*M38-P43,0)</f>
        <v>0</v>
      </c>
      <c r="S73" s="4">
        <f>INT(R$4-$AF$6 &gt; $D81)*MAX(P96-$G$21*P38-S43,0)</f>
        <v>0</v>
      </c>
      <c r="V73" s="4">
        <f>INT(U$4-$AF$6 &gt; $D81)*MAX(S96-$G$21*S38-V43,0)</f>
        <v>6.3888031999999999</v>
      </c>
      <c r="Y73" s="4">
        <f>INT(X$4-$AF$6 &gt; $D81)*MAX(V96-$G$21*V38-Y43,0)</f>
        <v>15.984000000000002</v>
      </c>
      <c r="Z73" s="38"/>
    </row>
    <row r="74" spans="1:31" ht="17" x14ac:dyDescent="0.2">
      <c r="A74" s="48"/>
      <c r="B74" s="47"/>
      <c r="D74" s="49" t="s">
        <v>152</v>
      </c>
      <c r="E74" s="14" t="s">
        <v>129</v>
      </c>
      <c r="G74" s="4">
        <v>0</v>
      </c>
      <c r="J74" s="4">
        <f>INT(I$4-$AF$6 &gt; $D82)*MAX(G97-$G$21*G39-J44,0)</f>
        <v>0</v>
      </c>
      <c r="M74" s="4">
        <f>INT(L$4-$AF$6 &gt; $D82)*MAX(J97-$G$21*J39-M44,0)</f>
        <v>0</v>
      </c>
      <c r="P74" s="4">
        <f>INT(O$4-$AF$6 &gt; $D82)*MAX(M97-$G$21*M39-P44,0)</f>
        <v>0</v>
      </c>
      <c r="S74" s="4">
        <f>INT(R$4-$AF$6 &gt; $D82)*MAX(P97-$G$21*P39-S44,0)</f>
        <v>0</v>
      </c>
      <c r="V74" s="4">
        <f>INT(U$4-$AF$6 &gt; $D82)*MAX(S97-$G$21*S39-V44,0)</f>
        <v>0</v>
      </c>
      <c r="Y74" s="4">
        <f>INT(X$4-$AF$6 &gt; $D82)*MAX(V97-$G$21*V39-Y44,0)</f>
        <v>7.3471236799999975</v>
      </c>
      <c r="Z74" s="38"/>
    </row>
    <row r="75" spans="1:31" ht="17" x14ac:dyDescent="0.2">
      <c r="A75" s="48"/>
      <c r="B75" s="47"/>
      <c r="D75" s="49"/>
      <c r="E75" s="14" t="s">
        <v>130</v>
      </c>
      <c r="G75" s="4">
        <v>0</v>
      </c>
      <c r="J75" s="4">
        <f>INT(I$4-$AF$6 &gt; $D83)*MAX(G98-$G$21*G40-J45,0)</f>
        <v>0</v>
      </c>
      <c r="M75" s="4">
        <f>INT(L$4-$AF$6 &gt; $D83)*MAX(J98-$G$21*J40-M45,0)</f>
        <v>0</v>
      </c>
      <c r="P75" s="4">
        <f>INT(O$4-$AF$6 &gt; $D83)*MAX(M98-$G$21*M40-P45,0)</f>
        <v>0</v>
      </c>
      <c r="S75" s="4">
        <f>INT(R$4-$AF$6 &gt; $D83)*MAX(P98-$G$21*P40-S45,0)</f>
        <v>0</v>
      </c>
      <c r="V75" s="4">
        <f>INT(U$4-$AF$6 &gt; $D83)*MAX(S98-$G$21*S40-V45,0)</f>
        <v>0</v>
      </c>
      <c r="Y75" s="4">
        <f>INT(X$4-$AF$6 &gt; $D83)*MAX(V98-$G$21*V40-Y45,0)</f>
        <v>0</v>
      </c>
      <c r="Z75" s="38"/>
    </row>
    <row r="76" spans="1:31" ht="17" x14ac:dyDescent="0.2">
      <c r="A76" s="38" t="s">
        <v>236</v>
      </c>
      <c r="B76" s="28" t="s">
        <v>174</v>
      </c>
      <c r="D76" s="49"/>
      <c r="E76" s="14" t="s">
        <v>147</v>
      </c>
      <c r="G76" s="4">
        <v>0</v>
      </c>
      <c r="J76" s="4">
        <f>SUM(J72:J75)</f>
        <v>0</v>
      </c>
      <c r="M76" s="4">
        <f>SUM(M72:M75)</f>
        <v>0</v>
      </c>
      <c r="P76" s="4">
        <f>SUM(P72:P75)</f>
        <v>0</v>
      </c>
      <c r="S76" s="4">
        <f>SUM(S72:S75)</f>
        <v>6.7881033999999989</v>
      </c>
      <c r="V76" s="4">
        <f>SUM(V72:V75)</f>
        <v>30.146330393199996</v>
      </c>
      <c r="Y76" s="4">
        <f>SUM(Y72:Y75)</f>
        <v>53.914123679999996</v>
      </c>
      <c r="Z76" s="38"/>
      <c r="AE76" t="s">
        <v>106</v>
      </c>
    </row>
    <row r="77" spans="1:31" x14ac:dyDescent="0.2">
      <c r="D77" s="49"/>
      <c r="E77" s="14"/>
      <c r="AC77" t="s">
        <v>85</v>
      </c>
      <c r="AE77" t="s">
        <v>107</v>
      </c>
    </row>
    <row r="78" spans="1:31" ht="17" customHeight="1" x14ac:dyDescent="0.2">
      <c r="A78" s="50" t="s">
        <v>237</v>
      </c>
      <c r="B78" s="47" t="s">
        <v>174</v>
      </c>
      <c r="E78" s="14" t="s">
        <v>88</v>
      </c>
      <c r="F78" s="4">
        <v>0</v>
      </c>
      <c r="I78" s="4">
        <v>0</v>
      </c>
      <c r="L78" s="4">
        <v>0</v>
      </c>
      <c r="O78" s="4">
        <v>0</v>
      </c>
      <c r="R78" s="4">
        <v>0</v>
      </c>
      <c r="U78" s="4">
        <v>0</v>
      </c>
      <c r="X78" s="4">
        <v>0</v>
      </c>
      <c r="Z78" s="39"/>
      <c r="AC78" t="s">
        <v>86</v>
      </c>
    </row>
    <row r="79" spans="1:31" ht="17" x14ac:dyDescent="0.2">
      <c r="A79" s="50"/>
      <c r="B79" s="47"/>
      <c r="E79" s="14" t="s">
        <v>148</v>
      </c>
      <c r="F79" s="4">
        <f>SUM(G$72:G72)</f>
        <v>0</v>
      </c>
      <c r="G79" s="4">
        <f>IF(F79&gt;=F$131, IF(F78&lt;F$131, F$131-F78, 0),G72)</f>
        <v>0</v>
      </c>
      <c r="I79" s="4">
        <f>SUM(J$72:J72)</f>
        <v>0</v>
      </c>
      <c r="J79" s="4">
        <f>IF(I79&gt;=I$131, IF(I78&lt;I$131, I$131-I78, 0),J72)</f>
        <v>0</v>
      </c>
      <c r="L79" s="4">
        <f>SUM(M$72:M72)</f>
        <v>0</v>
      </c>
      <c r="M79" s="4">
        <f>IF(L79&gt;=L$131, IF(L78&lt;L$131, L$131-L78, 0),M72)</f>
        <v>0</v>
      </c>
      <c r="O79" s="4">
        <f>SUM(P$72:P72)</f>
        <v>0</v>
      </c>
      <c r="P79" s="4">
        <f>IF(O79&gt;=O$131, IF(O78&lt;O$131, O$131-O78, 0),P72)</f>
        <v>0</v>
      </c>
      <c r="R79" s="4">
        <f>SUM(S$72:S72)</f>
        <v>6.7881033999999989</v>
      </c>
      <c r="S79" s="4">
        <f>IF(R79&gt;=R$131, IF(R78&lt;R$131, R$131-R78, 0),S72)</f>
        <v>0</v>
      </c>
      <c r="U79" s="4">
        <f>SUM(V$72:V72)</f>
        <v>23.757527193199998</v>
      </c>
      <c r="V79" s="4">
        <f>IF(U79&gt;=U$131, IF(U78&lt;U$131, U$131-U78, 0),V72)</f>
        <v>23.757527193199998</v>
      </c>
      <c r="X79" s="4">
        <f>SUM(Y$72:Y72)</f>
        <v>30.582999999999998</v>
      </c>
      <c r="Y79" s="4">
        <f>IF(X79&gt;=X$131, IF(X78&lt;X$131, X$131-X78, 0),Y72)</f>
        <v>30.582999999999998</v>
      </c>
      <c r="Z79" s="39"/>
    </row>
    <row r="80" spans="1:31" ht="17" x14ac:dyDescent="0.2">
      <c r="A80" s="50"/>
      <c r="B80" s="47"/>
      <c r="D80" s="22">
        <v>0</v>
      </c>
      <c r="E80" s="14" t="s">
        <v>149</v>
      </c>
      <c r="F80" s="4">
        <f>SUM(G$72:G73)</f>
        <v>0</v>
      </c>
      <c r="G80" s="4">
        <f>IF(F80&gt;=F$131, IF(F79&lt;F$131, F$131-F79, 0),G73)</f>
        <v>0</v>
      </c>
      <c r="I80" s="4">
        <f>SUM(J$72:J73)</f>
        <v>0</v>
      </c>
      <c r="J80" s="4">
        <f>IF(I80&gt;=I$131, IF(I79&lt;I$131, I$131-I79, 0),J73)</f>
        <v>0</v>
      </c>
      <c r="L80" s="4">
        <f>SUM(M$72:M73)</f>
        <v>0</v>
      </c>
      <c r="M80" s="4">
        <f>IF(L80&gt;=L$131, IF(L79&lt;L$131, L$131-L79, 0),M73)</f>
        <v>0</v>
      </c>
      <c r="O80" s="4">
        <f>SUM(P$72:P73)</f>
        <v>0</v>
      </c>
      <c r="P80" s="4">
        <f>IF(O80&gt;=O$131, IF(O79&lt;O$131, O$131-O79, 0),P73)</f>
        <v>0</v>
      </c>
      <c r="R80" s="4">
        <f>SUM(S$72:S73)</f>
        <v>6.7881033999999989</v>
      </c>
      <c r="S80" s="4">
        <f>IF(R80&gt;=R$131, IF(R79&lt;R$131, R$131-R79, 0),S73)</f>
        <v>0</v>
      </c>
      <c r="U80" s="4">
        <f>SUM(V$72:V73)</f>
        <v>30.146330393199996</v>
      </c>
      <c r="V80" s="4">
        <f>IF(U80&gt;=U$131, IF(U79&lt;U$131, U$131-U79, 0),V73)</f>
        <v>6.3888031999999981</v>
      </c>
      <c r="X80" s="4">
        <f>SUM(Y$72:Y73)</f>
        <v>46.567</v>
      </c>
      <c r="Y80" s="4">
        <f>IF(X80&gt;=X$131, IF(X79&lt;X$131, X$131-X79, 0),Y73)</f>
        <v>15.984000000000002</v>
      </c>
      <c r="Z80" s="39"/>
    </row>
    <row r="81" spans="1:26" ht="17" x14ac:dyDescent="0.2">
      <c r="A81" s="50"/>
      <c r="B81" s="47"/>
      <c r="D81" s="22">
        <v>1</v>
      </c>
      <c r="E81" s="14" t="s">
        <v>150</v>
      </c>
      <c r="F81" s="4">
        <f>SUM(G$72:G74)</f>
        <v>0</v>
      </c>
      <c r="G81" s="4">
        <f>IF(F81&gt;=F$131, IF(F80&lt;F$131, F$131-F80, 0),G74)</f>
        <v>0</v>
      </c>
      <c r="I81" s="4">
        <f>SUM(J$72:J74)</f>
        <v>0</v>
      </c>
      <c r="J81" s="4">
        <f>IF(I81&gt;=I$131, IF(I80&lt;I$131, I$131-I80, 0),J74)</f>
        <v>0</v>
      </c>
      <c r="L81" s="4">
        <f>SUM(M$72:M74)</f>
        <v>0</v>
      </c>
      <c r="M81" s="4">
        <f>IF(L81&gt;=L$131, IF(L80&lt;L$131, L$131-L80, 0),M74)</f>
        <v>0</v>
      </c>
      <c r="O81" s="4">
        <f>SUM(P$72:P74)</f>
        <v>0</v>
      </c>
      <c r="P81" s="4">
        <f>IF(O81&gt;=O$131, IF(O80&lt;O$131, O$131-O80, 0),P74)</f>
        <v>0</v>
      </c>
      <c r="R81" s="4">
        <f>SUM(S$72:S74)</f>
        <v>6.7881033999999989</v>
      </c>
      <c r="S81" s="4">
        <f>IF(R81&gt;=R$131, IF(R80&lt;R$131, R$131-R80, 0),S74)</f>
        <v>0</v>
      </c>
      <c r="U81" s="4">
        <f>SUM(V$72:V74)</f>
        <v>30.146330393199996</v>
      </c>
      <c r="V81" s="4">
        <f>IF(U81&gt;=U$131, IF(U80&lt;U$131, U$131-U80, 0),V74)</f>
        <v>0</v>
      </c>
      <c r="X81" s="4">
        <f>SUM(Y$72:Y74)</f>
        <v>53.914123679999996</v>
      </c>
      <c r="Y81" s="4">
        <f>IF(X81&gt;=X$131, IF(X80&lt;X$131, X$131-X80, 0),Y74)</f>
        <v>7.3471236799999957</v>
      </c>
      <c r="Z81" s="39"/>
    </row>
    <row r="82" spans="1:26" ht="17" x14ac:dyDescent="0.2">
      <c r="A82" s="50"/>
      <c r="B82" s="47"/>
      <c r="D82" s="22">
        <v>2</v>
      </c>
      <c r="E82" s="14" t="s">
        <v>151</v>
      </c>
      <c r="F82" s="4">
        <f>SUM(G$72:G75)</f>
        <v>0</v>
      </c>
      <c r="G82" s="4">
        <f>IF(F82&gt;=F$131, IF(F81&lt;F$131, F$131-F81, 0),G75)</f>
        <v>0</v>
      </c>
      <c r="I82" s="4">
        <f>SUM(J$72:J75)</f>
        <v>0</v>
      </c>
      <c r="J82" s="4">
        <f>IF(I82&gt;=I$131, IF(I81&lt;I$131, I$131-I81, 0),J75)</f>
        <v>0</v>
      </c>
      <c r="L82" s="4">
        <f>SUM(M$72:M75)</f>
        <v>0</v>
      </c>
      <c r="M82" s="4">
        <f>IF(L82&gt;=L$131, IF(L81&lt;L$131, L$131-L81, 0),M75)</f>
        <v>0</v>
      </c>
      <c r="O82" s="4">
        <f>SUM(P$72:P75)</f>
        <v>0</v>
      </c>
      <c r="P82" s="4">
        <f>IF(O82&gt;=O$131, IF(O81&lt;O$131, O$131-O81, 0),P75)</f>
        <v>0</v>
      </c>
      <c r="R82" s="4">
        <f>SUM(S$72:S75)</f>
        <v>6.7881033999999989</v>
      </c>
      <c r="S82" s="4">
        <f>IF(R82&gt;=R$131, IF(R81&lt;R$131, R$131-R81, 0),S75)</f>
        <v>0</v>
      </c>
      <c r="U82" s="4">
        <f>SUM(V$72:V75)</f>
        <v>30.146330393199996</v>
      </c>
      <c r="V82" s="4">
        <f>IF(U82&gt;=U$131, IF(U81&lt;U$131, U$131-U81, 0),V75)</f>
        <v>0</v>
      </c>
      <c r="X82" s="4">
        <f>SUM(Y$72:Y75)</f>
        <v>53.914123679999996</v>
      </c>
      <c r="Y82" s="4">
        <f>IF(X82&gt;=X$131, IF(X81&lt;X$131, X$131-X81, 0),Y75)</f>
        <v>0</v>
      </c>
      <c r="Z82" s="39"/>
    </row>
    <row r="83" spans="1:26" x14ac:dyDescent="0.2">
      <c r="D83" s="22">
        <v>3</v>
      </c>
      <c r="E83" s="14"/>
    </row>
    <row r="84" spans="1:26" x14ac:dyDescent="0.2">
      <c r="E84" s="14"/>
      <c r="I84" s="4" t="s">
        <v>136</v>
      </c>
      <c r="L84" s="4" t="s">
        <v>136</v>
      </c>
      <c r="O84" s="4" t="s">
        <v>136</v>
      </c>
      <c r="R84" s="4" t="s">
        <v>136</v>
      </c>
      <c r="U84" s="4" t="s">
        <v>136</v>
      </c>
      <c r="X84" s="4" t="s">
        <v>136</v>
      </c>
    </row>
    <row r="85" spans="1:26" ht="17" x14ac:dyDescent="0.2">
      <c r="A85" s="46" t="s">
        <v>181</v>
      </c>
      <c r="B85" s="47" t="s">
        <v>174</v>
      </c>
      <c r="E85" s="14" t="s">
        <v>131</v>
      </c>
      <c r="G85" s="4">
        <f>G61</f>
        <v>0</v>
      </c>
      <c r="I85" s="4">
        <f>IF(G95=0,1,MIN(MAX((G95/G67-$F$16)/($F$18-$F$16), 0), 1))</f>
        <v>1</v>
      </c>
      <c r="J85" s="4">
        <f>J61*I85</f>
        <v>0.01</v>
      </c>
      <c r="L85" s="4">
        <f>IF(J95=0,1,MIN(MAX((J95/J67-$F$16)/($F$18-$F$16), 0), 1))</f>
        <v>1</v>
      </c>
      <c r="M85" s="4">
        <f>M61*L85</f>
        <v>0.05</v>
      </c>
      <c r="O85" s="4">
        <f>IF(M95=0,1,MIN(MAX((M95/M67-$F$16)/($F$18-$F$16), 0), 1))</f>
        <v>1</v>
      </c>
      <c r="P85" s="4">
        <f>P61*O85</f>
        <v>0.12</v>
      </c>
      <c r="R85" s="4">
        <f>IF(P95=0,1,MIN(MAX((P95/P67-$F$16)/($F$18-$F$16), 0), 1))</f>
        <v>1</v>
      </c>
      <c r="S85" s="4">
        <f>S61*R85</f>
        <v>0.2</v>
      </c>
      <c r="U85" s="4">
        <f>IF(S95=0,1,MIN(MAX((S95/S67-$F$16)/($F$18-$F$16), 0), 1))</f>
        <v>1</v>
      </c>
      <c r="V85" s="4">
        <f>V61*U85</f>
        <v>0.36</v>
      </c>
      <c r="X85" s="4">
        <f>IF(V95=0,1,MIN(MAX((V95/V67-$F$16)/($F$18-$F$16), 0), 1))</f>
        <v>0.92886400737928387</v>
      </c>
      <c r="Y85" s="4">
        <f>Y61*X85</f>
        <v>0.5573184044275703</v>
      </c>
      <c r="Z85" s="37"/>
    </row>
    <row r="86" spans="1:26" ht="17" x14ac:dyDescent="0.2">
      <c r="A86" s="46"/>
      <c r="B86" s="47"/>
      <c r="E86" s="14" t="s">
        <v>132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0.01</v>
      </c>
      <c r="O86" s="4">
        <f>IF(M96=0,1,MIN(MAX((M96/M68-$F$16)/($F$18-$F$16), 0), 1))</f>
        <v>1</v>
      </c>
      <c r="P86" s="4">
        <f>P62</f>
        <v>0.05</v>
      </c>
      <c r="R86" s="4">
        <f>IF(P96=0,1,MIN(MAX((P96/P68-$F$16)/($F$18-$F$16), 0), 1))</f>
        <v>1</v>
      </c>
      <c r="S86" s="4">
        <f>S62</f>
        <v>0.12</v>
      </c>
      <c r="U86" s="4">
        <f>IF(S96=0,1,MIN(MAX((S96/S68-$F$16)/($F$18-$F$16), 0), 1))</f>
        <v>1</v>
      </c>
      <c r="V86" s="4">
        <f>V62</f>
        <v>0.2</v>
      </c>
      <c r="X86" s="4">
        <f>IF(V96=0,1,MIN(MAX((V96/V68-$F$16)/($F$18-$F$16), 0), 1))</f>
        <v>1</v>
      </c>
      <c r="Y86" s="4">
        <f>Y62</f>
        <v>0.36</v>
      </c>
      <c r="Z86" s="37"/>
    </row>
    <row r="87" spans="1:26" ht="17" x14ac:dyDescent="0.2">
      <c r="A87" s="46"/>
      <c r="B87" s="47"/>
      <c r="E87" s="14" t="s">
        <v>133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0.01</v>
      </c>
      <c r="R87" s="4">
        <f>IF(P97=0,1,MIN(MAX((P97/P69-$F$16)/($F$18-$F$16), 0), 1))</f>
        <v>1</v>
      </c>
      <c r="S87" s="4">
        <f>S63</f>
        <v>0.05</v>
      </c>
      <c r="U87" s="4">
        <f>IF(S97=0,1,MIN(MAX((S97/S69-$F$16)/($F$18-$F$16), 0), 1))</f>
        <v>1</v>
      </c>
      <c r="V87" s="4">
        <f>V63</f>
        <v>0.12</v>
      </c>
      <c r="X87" s="4">
        <f>IF(V97=0,1,MIN(MAX((V97/V69-$F$16)/($F$18-$F$16), 0), 1))</f>
        <v>1</v>
      </c>
      <c r="Y87" s="4">
        <f>Y63</f>
        <v>0.2</v>
      </c>
      <c r="Z87" s="37"/>
    </row>
    <row r="88" spans="1:26" ht="17" x14ac:dyDescent="0.2">
      <c r="A88" s="46"/>
      <c r="B88" s="47"/>
      <c r="E88" s="14" t="s">
        <v>134</v>
      </c>
      <c r="G88" s="4">
        <f>G64</f>
        <v>0</v>
      </c>
      <c r="I88" s="4">
        <f>IF(G98=0,1,MIN(MAX((G98/G70-$F$16)/($F$18-$F$16), 0), 1))</f>
        <v>1</v>
      </c>
      <c r="J88" s="4">
        <f>J64</f>
        <v>0</v>
      </c>
      <c r="L88" s="4">
        <f>IF(J98=0,1,MIN(MAX((J98/J70-$F$16)/($F$18-$F$16), 0), 1))</f>
        <v>1</v>
      </c>
      <c r="M88" s="4">
        <f>M64</f>
        <v>0</v>
      </c>
      <c r="O88" s="4">
        <f>IF(M98=0,1,MIN(MAX((M98/M70-$F$16)/($F$18-$F$16), 0), 1))</f>
        <v>1</v>
      </c>
      <c r="P88" s="4">
        <f>P64</f>
        <v>0</v>
      </c>
      <c r="R88" s="4">
        <f>IF(P98=0,1,MIN(MAX((P98/P70-$F$16)/($F$18-$F$16), 0), 1))</f>
        <v>1</v>
      </c>
      <c r="S88" s="4">
        <f>S64</f>
        <v>0.01</v>
      </c>
      <c r="U88" s="4">
        <f>IF(S98=0,1,MIN(MAX((S98/S70-$F$16)/($F$18-$F$16), 0), 1))</f>
        <v>1</v>
      </c>
      <c r="V88" s="4">
        <f>V64</f>
        <v>0.05</v>
      </c>
      <c r="X88" s="4">
        <f>IF(V98=0,1,MIN(MAX((V98/V70-$F$16)/($F$18-$F$16), 0), 1))</f>
        <v>1</v>
      </c>
      <c r="Y88" s="4">
        <f>Y64</f>
        <v>0.12</v>
      </c>
      <c r="Z88" s="37"/>
    </row>
    <row r="89" spans="1:26" x14ac:dyDescent="0.2">
      <c r="E89" s="14"/>
    </row>
    <row r="90" spans="1:26" ht="17" x14ac:dyDescent="0.2">
      <c r="A90" s="46" t="s">
        <v>204</v>
      </c>
      <c r="B90" s="47" t="s">
        <v>174</v>
      </c>
      <c r="E90" s="14" t="s">
        <v>205</v>
      </c>
      <c r="G90" s="4">
        <f>G56*G32</f>
        <v>0</v>
      </c>
      <c r="J90" s="4">
        <f>(G95-J79-J42)*$F$29</f>
        <v>0</v>
      </c>
      <c r="M90" s="4">
        <f>(J95-M79-M42)*$F$29</f>
        <v>1.6999999999999999E-3</v>
      </c>
      <c r="P90" s="4">
        <f>(M95-P79-P42)*$F$29</f>
        <v>1.01966E-2</v>
      </c>
      <c r="S90" s="4">
        <f>(P95-S79-S42)*$F$29</f>
        <v>3.0576206799999998E-2</v>
      </c>
      <c r="V90" s="4">
        <f>(S95-V79-V42)*$F$29</f>
        <v>1.7000000000000001E-2</v>
      </c>
      <c r="Y90" s="4">
        <f>(V95-Y79-Y42)*$F$29</f>
        <v>1.7000000000000001E-2</v>
      </c>
      <c r="Z90" s="37"/>
    </row>
    <row r="91" spans="1:26" ht="17" x14ac:dyDescent="0.2">
      <c r="A91" s="46"/>
      <c r="B91" s="47"/>
      <c r="E91" s="14" t="s">
        <v>206</v>
      </c>
      <c r="G91" s="4">
        <f>G57*G33</f>
        <v>0</v>
      </c>
      <c r="J91" s="4">
        <f>(G96-J80-J43)*$F$29</f>
        <v>0</v>
      </c>
      <c r="M91" s="4">
        <f>(J96-M80-M43)*$F$29</f>
        <v>0</v>
      </c>
      <c r="P91" s="4">
        <f>(M96-P80-P43)*$F$29</f>
        <v>1.6000000000000001E-3</v>
      </c>
      <c r="S91" s="4">
        <f>(P96-S80-S43)*$F$29</f>
        <v>9.5968000000000008E-3</v>
      </c>
      <c r="V91" s="4">
        <f>(S96-V80-V43)*$F$29</f>
        <v>1.6000000000000004E-2</v>
      </c>
      <c r="Y91" s="4">
        <f>(V96-Y80-Y43)*$F$29</f>
        <v>1.6E-2</v>
      </c>
      <c r="Z91" s="37"/>
    </row>
    <row r="92" spans="1:26" ht="17" x14ac:dyDescent="0.2">
      <c r="A92" s="46"/>
      <c r="B92" s="47"/>
      <c r="E92" s="14" t="s">
        <v>207</v>
      </c>
      <c r="G92" s="4">
        <f>G58*G34</f>
        <v>0</v>
      </c>
      <c r="J92" s="4">
        <f>(G97-J81-J44)*$F$29</f>
        <v>0</v>
      </c>
      <c r="M92" s="4">
        <f>(J97-M81-M44)*$F$29</f>
        <v>0</v>
      </c>
      <c r="P92" s="4">
        <f>(M97-P81-P44)*$F$29</f>
        <v>0</v>
      </c>
      <c r="S92" s="4">
        <f>(P97-S81-S44)*$F$29</f>
        <v>1.8400000000000001E-3</v>
      </c>
      <c r="V92" s="4">
        <f>(S97-V81-V44)*$F$29</f>
        <v>1.1036320000000002E-2</v>
      </c>
      <c r="Y92" s="4">
        <f>(V97-Y81-Y44)*$F$29</f>
        <v>1.8400000000000007E-2</v>
      </c>
      <c r="Z92" s="37"/>
    </row>
    <row r="93" spans="1:26" ht="17" x14ac:dyDescent="0.2">
      <c r="A93" s="46"/>
      <c r="B93" s="47"/>
      <c r="E93" s="14" t="s">
        <v>208</v>
      </c>
      <c r="G93" s="4">
        <f>G59*G35</f>
        <v>0</v>
      </c>
      <c r="J93" s="4">
        <f>(G98-J82-J45)*$F$29</f>
        <v>0</v>
      </c>
      <c r="M93" s="4">
        <f>(J98-M82-M45)*$F$29</f>
        <v>0</v>
      </c>
      <c r="P93" s="4">
        <f>(M98-P82-P45)*$F$29</f>
        <v>0</v>
      </c>
      <c r="S93" s="4">
        <f>(P98-S82-S45)*$F$29</f>
        <v>0</v>
      </c>
      <c r="V93" s="4">
        <f>(S98-V82-V45)*$F$29</f>
        <v>8.5999999999999998E-4</v>
      </c>
      <c r="Y93" s="4">
        <f>(V98-Y82-Y45)*$F$29</f>
        <v>5.1582799999999995E-3</v>
      </c>
      <c r="Z93" s="37"/>
    </row>
    <row r="94" spans="1:26" x14ac:dyDescent="0.2">
      <c r="E94" s="14"/>
    </row>
    <row r="95" spans="1:26" ht="17" x14ac:dyDescent="0.2">
      <c r="A95" s="46" t="s">
        <v>209</v>
      </c>
      <c r="B95" s="47" t="s">
        <v>174</v>
      </c>
      <c r="E95" s="14" t="s">
        <v>70</v>
      </c>
      <c r="G95" s="4">
        <f>G61*G37</f>
        <v>0</v>
      </c>
      <c r="J95" s="4">
        <f>G95 - J79 - J90 - J42 + J37*J85</f>
        <v>0.85</v>
      </c>
      <c r="M95" s="4">
        <f>J95 - M79 - M90 - M42 + M37*M85</f>
        <v>5.0983000000000001</v>
      </c>
      <c r="P95" s="4">
        <f>M95 - P79 - P90 - P42 + P37*P85</f>
        <v>15.288103399999999</v>
      </c>
      <c r="S95" s="4">
        <f>P95 - S79 - S90 - S42 + S37*S85</f>
        <v>32.257527193199998</v>
      </c>
      <c r="V95" s="4">
        <f>S95 - V79 - V90 - V42 + V37*V85</f>
        <v>39.082999999999998</v>
      </c>
      <c r="Y95" s="4">
        <f>V95 - Y79 - Y90 - Y42 + Y37*Y85</f>
        <v>55.855064376343478</v>
      </c>
      <c r="Z95" s="37"/>
    </row>
    <row r="96" spans="1:26" ht="17" x14ac:dyDescent="0.2">
      <c r="A96" s="46"/>
      <c r="B96" s="47"/>
      <c r="E96" s="14" t="s">
        <v>71</v>
      </c>
      <c r="G96" s="4">
        <f>G62*G38</f>
        <v>0</v>
      </c>
      <c r="J96" s="4">
        <f>G96 - J80 - J91 - J43 + J38*J86</f>
        <v>0</v>
      </c>
      <c r="M96" s="4">
        <f>J96 - M80 - M91 - M43 + M38*M86</f>
        <v>0.8</v>
      </c>
      <c r="P96" s="4">
        <f>M96 - P80 - P91 - P43 + P38*P86</f>
        <v>4.7984</v>
      </c>
      <c r="S96" s="4">
        <f>P96 - S80 - S91 - S43 + S38*S86</f>
        <v>14.3888032</v>
      </c>
      <c r="V96" s="4">
        <f>S96 - V80 - V91 - V43 + V38*V86</f>
        <v>23.984000000000002</v>
      </c>
      <c r="Y96" s="4">
        <f>V96 - Y80 - Y91 - Y43 + Y38*Y86</f>
        <v>36.783999999999999</v>
      </c>
      <c r="Z96" s="37"/>
    </row>
    <row r="97" spans="1:26" ht="17" x14ac:dyDescent="0.2">
      <c r="A97" s="46"/>
      <c r="B97" s="47"/>
      <c r="E97" s="14" t="s">
        <v>72</v>
      </c>
      <c r="G97" s="4">
        <f>G63*G39</f>
        <v>0</v>
      </c>
      <c r="J97" s="4">
        <f>G97 - J81 - J92 - J44 + J39*J87</f>
        <v>0</v>
      </c>
      <c r="M97" s="4">
        <f>J97 - M81 - M92 - M44 + M39*M87</f>
        <v>0</v>
      </c>
      <c r="P97" s="4">
        <f>M97 - P81 - P92 - P44 + P39*P87</f>
        <v>0.92</v>
      </c>
      <c r="S97" s="4">
        <f>P97 - S81 - S92 - S44 + S39*S87</f>
        <v>5.5181600000000008</v>
      </c>
      <c r="V97" s="4">
        <f>S97 - V81 - V92 - V44 + V39*V87</f>
        <v>16.547123679999999</v>
      </c>
      <c r="Y97" s="4">
        <f>V97 - Y81 - Y92 - Y44 + Y39*Y87</f>
        <v>27.581600000000005</v>
      </c>
      <c r="Z97" s="37"/>
    </row>
    <row r="98" spans="1:26" ht="17" customHeight="1" x14ac:dyDescent="0.2">
      <c r="A98" s="46"/>
      <c r="B98" s="47"/>
      <c r="E98" s="14" t="s">
        <v>81</v>
      </c>
      <c r="G98" s="4">
        <f>G64*G40</f>
        <v>0</v>
      </c>
      <c r="J98" s="4">
        <f>G98 - J82 - J93 - J45 + J40*J88</f>
        <v>0</v>
      </c>
      <c r="M98" s="4">
        <f>J98 - M82 - M93 - M45 + M40*M88</f>
        <v>0</v>
      </c>
      <c r="P98" s="4">
        <f>M98 - P82 - P93 - P45 + P40*P88</f>
        <v>0</v>
      </c>
      <c r="S98" s="4">
        <f>P98 - S82 - S93 - S45 + S40*S88</f>
        <v>0.43</v>
      </c>
      <c r="V98" s="4">
        <f>S98 - V82 - V93 - V45 + V40*V88</f>
        <v>2.5791399999999998</v>
      </c>
      <c r="Y98" s="4">
        <f>V98 - Y82 - Y93 - Y45 + Y40*Y88</f>
        <v>7.7339817200000001</v>
      </c>
      <c r="Z98" s="37"/>
    </row>
    <row r="99" spans="1:26" x14ac:dyDescent="0.2">
      <c r="D99" s="26"/>
      <c r="E99" s="14"/>
    </row>
    <row r="100" spans="1:26" ht="17" x14ac:dyDescent="0.2">
      <c r="A100" s="46" t="s">
        <v>210</v>
      </c>
      <c r="B100" s="47" t="s">
        <v>174</v>
      </c>
      <c r="D100" s="26"/>
      <c r="E100" s="14" t="s">
        <v>211</v>
      </c>
      <c r="G100" s="4">
        <f>G95*$G$20</f>
        <v>0</v>
      </c>
      <c r="J100" s="4">
        <f>J95*$G$20</f>
        <v>0.21249999999999999</v>
      </c>
      <c r="M100" s="4">
        <f>M95*$G$20</f>
        <v>1.274575</v>
      </c>
      <c r="P100" s="4">
        <f>P95*$G$20</f>
        <v>3.8220258499999997</v>
      </c>
      <c r="S100" s="4">
        <f>S95*$G$20</f>
        <v>8.0643817982999995</v>
      </c>
      <c r="V100" s="4">
        <f>V95*$G$20</f>
        <v>9.7707499999999996</v>
      </c>
      <c r="Y100" s="4">
        <f>Y95*$G$20</f>
        <v>13.963766094085869</v>
      </c>
      <c r="Z100" s="37"/>
    </row>
    <row r="101" spans="1:26" ht="17" x14ac:dyDescent="0.2">
      <c r="A101" s="46"/>
      <c r="B101" s="47"/>
      <c r="D101" s="26"/>
      <c r="E101" s="14" t="s">
        <v>212</v>
      </c>
      <c r="G101" s="4">
        <f t="shared" ref="G101:G103" si="9">G96*$G$20</f>
        <v>0</v>
      </c>
      <c r="J101" s="4">
        <f t="shared" ref="J101:J103" si="10">J96*$G$20</f>
        <v>0</v>
      </c>
      <c r="M101" s="4">
        <f t="shared" ref="M101:M103" si="11">M96*$G$20</f>
        <v>0.2</v>
      </c>
      <c r="P101" s="4">
        <f t="shared" ref="P101:P103" si="12">P96*$G$20</f>
        <v>1.1996</v>
      </c>
      <c r="S101" s="4">
        <f t="shared" ref="S101:S103" si="13">S96*$G$20</f>
        <v>3.5972008</v>
      </c>
      <c r="V101" s="4">
        <f t="shared" ref="V101:V103" si="14">V96*$G$20</f>
        <v>5.9960000000000004</v>
      </c>
      <c r="Y101" s="4">
        <f t="shared" ref="Y101:Y103" si="15">Y96*$G$20</f>
        <v>9.1959999999999997</v>
      </c>
      <c r="Z101" s="37"/>
    </row>
    <row r="102" spans="1:26" ht="17" x14ac:dyDescent="0.2">
      <c r="A102" s="46"/>
      <c r="B102" s="47"/>
      <c r="D102" s="26"/>
      <c r="E102" s="14" t="s">
        <v>213</v>
      </c>
      <c r="G102" s="4">
        <f>G97*$G$20</f>
        <v>0</v>
      </c>
      <c r="J102" s="4">
        <f>J97*$G$20</f>
        <v>0</v>
      </c>
      <c r="M102" s="4">
        <f>M97*$G$20</f>
        <v>0</v>
      </c>
      <c r="P102" s="4">
        <f>P97*$G$20</f>
        <v>0.23</v>
      </c>
      <c r="S102" s="4">
        <f>S97*$G$20</f>
        <v>1.3795400000000002</v>
      </c>
      <c r="V102" s="4">
        <f>V97*$G$20</f>
        <v>4.1367809199999996</v>
      </c>
      <c r="Y102" s="4">
        <f>Y97*$G$20</f>
        <v>6.8954000000000013</v>
      </c>
      <c r="Z102" s="37"/>
    </row>
    <row r="103" spans="1:26" ht="17" x14ac:dyDescent="0.2">
      <c r="A103" s="46"/>
      <c r="B103" s="47"/>
      <c r="D103" s="26"/>
      <c r="E103" s="14" t="s">
        <v>214</v>
      </c>
      <c r="G103" s="4">
        <f t="shared" si="9"/>
        <v>0</v>
      </c>
      <c r="J103" s="4">
        <f t="shared" si="10"/>
        <v>0</v>
      </c>
      <c r="M103" s="4">
        <f t="shared" si="11"/>
        <v>0</v>
      </c>
      <c r="P103" s="4">
        <f t="shared" si="12"/>
        <v>0</v>
      </c>
      <c r="S103" s="4">
        <f t="shared" si="13"/>
        <v>0.1075</v>
      </c>
      <c r="V103" s="4">
        <f t="shared" si="14"/>
        <v>0.64478499999999994</v>
      </c>
      <c r="Y103" s="4">
        <f t="shared" si="15"/>
        <v>1.93349543</v>
      </c>
      <c r="Z103" s="37"/>
    </row>
    <row r="104" spans="1:26" x14ac:dyDescent="0.2">
      <c r="A104" s="29"/>
      <c r="B104" s="35"/>
      <c r="D104" s="26"/>
      <c r="E104" s="14"/>
      <c r="Z104" s="29"/>
    </row>
    <row r="105" spans="1:26" x14ac:dyDescent="0.2">
      <c r="A105" s="29"/>
      <c r="B105" s="35"/>
      <c r="D105" s="26"/>
      <c r="E105" s="14"/>
      <c r="Z105" s="29"/>
    </row>
    <row r="106" spans="1:26" ht="17" x14ac:dyDescent="0.2">
      <c r="D106" s="26"/>
      <c r="E106" s="15" t="s">
        <v>140</v>
      </c>
      <c r="F106" s="8" t="s">
        <v>124</v>
      </c>
      <c r="G106" s="8"/>
    </row>
    <row r="107" spans="1:26" ht="17" x14ac:dyDescent="0.2">
      <c r="A107" s="38" t="s">
        <v>239</v>
      </c>
      <c r="B107" s="34" t="s">
        <v>182</v>
      </c>
      <c r="D107" s="26"/>
      <c r="E107" s="14" t="s">
        <v>90</v>
      </c>
      <c r="F107" s="4">
        <f>$F$28</f>
        <v>0.3</v>
      </c>
      <c r="G107" s="4">
        <f>$G$28</f>
        <v>0.92</v>
      </c>
      <c r="I107" s="4">
        <f>$F$28</f>
        <v>0.3</v>
      </c>
      <c r="J107" s="4">
        <f>$G$28</f>
        <v>0.92</v>
      </c>
      <c r="L107" s="4">
        <f>$F$28</f>
        <v>0.3</v>
      </c>
      <c r="M107" s="4">
        <f>$G$28</f>
        <v>0.92</v>
      </c>
      <c r="O107" s="4">
        <f>$F$28</f>
        <v>0.3</v>
      </c>
      <c r="P107" s="4">
        <f>$G$28</f>
        <v>0.92</v>
      </c>
      <c r="R107" s="4">
        <f>$F$28</f>
        <v>0.3</v>
      </c>
      <c r="S107" s="4">
        <f>$G$28</f>
        <v>0.92</v>
      </c>
      <c r="U107" s="4">
        <f>$F$28</f>
        <v>0.3</v>
      </c>
      <c r="V107" s="4">
        <f>$G$28</f>
        <v>0.92</v>
      </c>
      <c r="X107" s="4">
        <f>$F$28</f>
        <v>0.3</v>
      </c>
      <c r="Y107" s="4">
        <f>$G$28</f>
        <v>0.92</v>
      </c>
      <c r="Z107" s="38"/>
    </row>
    <row r="108" spans="1:26" ht="17" x14ac:dyDescent="0.2">
      <c r="A108" s="38" t="s">
        <v>240</v>
      </c>
      <c r="B108" s="28" t="s">
        <v>174</v>
      </c>
      <c r="E108" s="14" t="s">
        <v>141</v>
      </c>
      <c r="F108" s="4">
        <f>F7*$F$19</f>
        <v>1500000</v>
      </c>
      <c r="G108" s="4">
        <f>G7*$G$19</f>
        <v>25000000</v>
      </c>
      <c r="I108" s="4">
        <f>I7*$F$19</f>
        <v>1492500</v>
      </c>
      <c r="J108" s="4">
        <f>J7*$G$19</f>
        <v>24990000</v>
      </c>
      <c r="L108" s="4">
        <f>L7*$F$19</f>
        <v>1483200</v>
      </c>
      <c r="M108" s="4">
        <f>M7*$G$19</f>
        <v>24979000</v>
      </c>
      <c r="O108" s="4">
        <f>O7*$F$19</f>
        <v>1474500</v>
      </c>
      <c r="P108" s="4">
        <f>P7*$G$19</f>
        <v>24969600</v>
      </c>
      <c r="R108" s="4">
        <f>R7*$F$19</f>
        <v>1464000</v>
      </c>
      <c r="S108" s="4">
        <f>S7*$G$19</f>
        <v>24950400</v>
      </c>
      <c r="U108" s="4">
        <f>U7*$F$19</f>
        <v>1449000</v>
      </c>
      <c r="V108" s="4">
        <f>V7*$G$19</f>
        <v>24946500</v>
      </c>
      <c r="X108" s="4">
        <f>X7*$F$19</f>
        <v>1434300</v>
      </c>
      <c r="Y108" s="4">
        <f>Y7*$G$19</f>
        <v>24936000</v>
      </c>
      <c r="Z108" s="38"/>
    </row>
    <row r="109" spans="1:26" ht="17" x14ac:dyDescent="0.2">
      <c r="A109" s="38" t="s">
        <v>183</v>
      </c>
      <c r="B109" s="28" t="s">
        <v>174</v>
      </c>
      <c r="E109" s="14" t="s">
        <v>164</v>
      </c>
      <c r="F109" s="4">
        <v>1</v>
      </c>
      <c r="G109" s="4">
        <v>1</v>
      </c>
      <c r="I109" s="4">
        <f>IF(F111=0,0,MIN(MAX((F111/F108-$F$16)/($F$18-$F$16), 0), 1))</f>
        <v>1</v>
      </c>
      <c r="J109" s="4">
        <f>IF(G111=0,0,MIN(MAX((G111/G108-$G$16)/($F$18-$G$16), 0), 1))</f>
        <v>1</v>
      </c>
      <c r="L109" s="4">
        <f>IF(I111=0,0,MIN(MAX((I111/I108-$F$16)/($F$18-$F$16), 0), 1))</f>
        <v>1</v>
      </c>
      <c r="M109" s="4">
        <f>IF(J111=0,0,MIN(MAX((J111/J108-$G$16)/($F$18-$G$16), 0), 1))</f>
        <v>1</v>
      </c>
      <c r="O109" s="4">
        <f>IF(L111=0,0,MIN(MAX((L111/L108-$F$16)/($F$18-$F$16), 0), 1))</f>
        <v>1</v>
      </c>
      <c r="P109" s="4">
        <f>IF(M111=0,0,MIN(MAX((M111/M108-$G$16)/($F$18-$G$16), 0), 1))</f>
        <v>1</v>
      </c>
      <c r="R109" s="4">
        <f>IF(O111=0,0,MIN(MAX((O111/O108-$F$16)/($F$18-$F$16), 0), 1))</f>
        <v>1</v>
      </c>
      <c r="S109" s="4">
        <f>IF(P111=0,0,MIN(MAX((P111/P108-$G$16)/($F$18-$G$16), 0), 1))</f>
        <v>1</v>
      </c>
      <c r="U109" s="4">
        <f>IF(R111=0,0,MIN(MAX((R111/R108-$F$16)/($F$18-$F$16), 0), 1))</f>
        <v>1</v>
      </c>
      <c r="V109" s="4">
        <f>IF(S111=0,0,MIN(MAX((S111/S108-$G$16)/($F$18-$G$16), 0), 1))</f>
        <v>1</v>
      </c>
      <c r="X109" s="4">
        <f>IF(U111=0,0,MIN(MAX((U111/U108-$F$16)/($F$18-$F$16), 0), 1))</f>
        <v>1</v>
      </c>
      <c r="Y109" s="4">
        <f>IF(V111=0,0,MIN(MAX((V111/V108-$G$16)/($F$18-$G$16), 0), 1))</f>
        <v>0.89478919993714923</v>
      </c>
      <c r="Z109" s="38" t="s">
        <v>300</v>
      </c>
    </row>
    <row r="110" spans="1:26" ht="17" x14ac:dyDescent="0.2">
      <c r="A110" s="38" t="s">
        <v>184</v>
      </c>
      <c r="B110" s="33" t="s">
        <v>163</v>
      </c>
      <c r="E110" s="14" t="s">
        <v>131</v>
      </c>
      <c r="F110" s="4">
        <f>F107</f>
        <v>0.3</v>
      </c>
      <c r="G110" s="4">
        <f>G107</f>
        <v>0.92</v>
      </c>
      <c r="I110" s="4">
        <f xml:space="preserve"> I107*I109</f>
        <v>0.3</v>
      </c>
      <c r="J110" s="4">
        <f>J107*J109</f>
        <v>0.92</v>
      </c>
      <c r="L110" s="4">
        <f xml:space="preserve"> L107*L109</f>
        <v>0.3</v>
      </c>
      <c r="M110" s="4">
        <f>M107*M109</f>
        <v>0.92</v>
      </c>
      <c r="O110" s="4">
        <f xml:space="preserve"> O107*O109</f>
        <v>0.3</v>
      </c>
      <c r="P110" s="4">
        <f>P107*P109</f>
        <v>0.92</v>
      </c>
      <c r="R110" s="4">
        <f xml:space="preserve"> R107*R109</f>
        <v>0.3</v>
      </c>
      <c r="S110" s="4">
        <f>S107*S109</f>
        <v>0.92</v>
      </c>
      <c r="U110" s="4">
        <f xml:space="preserve"> U107*U109</f>
        <v>0.3</v>
      </c>
      <c r="V110" s="4">
        <f>V107*V109</f>
        <v>0.92</v>
      </c>
      <c r="X110" s="4">
        <f xml:space="preserve"> X107*X109</f>
        <v>0.3</v>
      </c>
      <c r="Y110" s="4">
        <f>Y107*Y109</f>
        <v>0.82320606394217732</v>
      </c>
      <c r="Z110" s="38"/>
    </row>
    <row r="111" spans="1:26" ht="17" x14ac:dyDescent="0.2">
      <c r="A111" s="38" t="s">
        <v>241</v>
      </c>
      <c r="B111" s="33" t="s">
        <v>163</v>
      </c>
      <c r="E111" s="14" t="s">
        <v>172</v>
      </c>
      <c r="F111" s="4">
        <f>F7*F19</f>
        <v>1500000</v>
      </c>
      <c r="G111" s="4">
        <f>G7*G19</f>
        <v>25000000</v>
      </c>
      <c r="I111" s="4">
        <f>F111 - F132 - F120 - F143+I110*I7</f>
        <v>1421423.1421982395</v>
      </c>
      <c r="J111" s="4">
        <f>G111 - G132 - G120 - G143 + J110*J7</f>
        <v>23256357.107801761</v>
      </c>
      <c r="L111" s="4">
        <f>I111 - I132 - I120 - I143+L110*L7</f>
        <v>1339098.0188325029</v>
      </c>
      <c r="M111" s="4">
        <f>J111 - J132 - J120 - J143 + M110*M7</f>
        <v>21469509.138674762</v>
      </c>
      <c r="O111" s="4">
        <f>L111 - L132 - L120 - L143+O110*O7</f>
        <v>1262299.2941418488</v>
      </c>
      <c r="P111" s="4">
        <f>M111 - M132 - M120 - M143 + P110*P7</f>
        <v>19621955.060604014</v>
      </c>
      <c r="R111" s="4">
        <f>O111 - O132 - O120 - O143+R110*R7</f>
        <v>1188284.3985157635</v>
      </c>
      <c r="S111" s="4">
        <f>P111 - P132 - P120 - P143 + S110*S7</f>
        <v>17672326.749100834</v>
      </c>
      <c r="U111" s="4">
        <f>R111 - R132 - R120 - R143+U110*U7</f>
        <v>1097914.9513435864</v>
      </c>
      <c r="V111" s="4">
        <f>S111 - S132 - S120 - S143 + V110*V7</f>
        <v>14958270.021299271</v>
      </c>
      <c r="X111" s="4">
        <f>U111 - U132 - U120 - U143+X110*X7</f>
        <v>819907.25085905532</v>
      </c>
      <c r="Y111" s="4">
        <f>V111 - V132 - V120 - V143 + Y110*Y7</f>
        <v>3187373.6439100648</v>
      </c>
      <c r="Z111" s="38"/>
    </row>
    <row r="112" spans="1:26" ht="17" x14ac:dyDescent="0.2">
      <c r="A112" s="38" t="s">
        <v>244</v>
      </c>
      <c r="B112" s="33" t="s">
        <v>163</v>
      </c>
      <c r="E112" s="14" t="s">
        <v>142</v>
      </c>
      <c r="F112" s="4">
        <f>F111/F7</f>
        <v>150</v>
      </c>
      <c r="G112" s="4">
        <f>G111/G7</f>
        <v>100</v>
      </c>
      <c r="I112" s="4">
        <f>I111/I7</f>
        <v>142.85659720585321</v>
      </c>
      <c r="J112" s="4">
        <f>J111/J7</f>
        <v>93.062653492604085</v>
      </c>
      <c r="L112" s="4">
        <f>L111/L7</f>
        <v>135.42657957448452</v>
      </c>
      <c r="M112" s="4">
        <f>M111/M7</f>
        <v>85.950234751890633</v>
      </c>
      <c r="O112" s="4">
        <f>O111/O7</f>
        <v>128.4129495566479</v>
      </c>
      <c r="P112" s="4">
        <f>P111/P7</f>
        <v>78.583377629613665</v>
      </c>
      <c r="R112" s="4">
        <f>R111/R7</f>
        <v>121.75045066759871</v>
      </c>
      <c r="S112" s="4">
        <f>S111/S7</f>
        <v>70.829833385840843</v>
      </c>
      <c r="U112" s="4">
        <f>U111/U7</f>
        <v>113.65579206455347</v>
      </c>
      <c r="V112" s="4">
        <f>V111/V7</f>
        <v>59.961397475795287</v>
      </c>
      <c r="X112" s="4">
        <f>X111/X7</f>
        <v>85.746418203205948</v>
      </c>
      <c r="Y112" s="4">
        <f>Y111/Y7</f>
        <v>12.782217051291566</v>
      </c>
      <c r="Z112" s="38"/>
    </row>
    <row r="113" spans="1:26" ht="34" x14ac:dyDescent="0.2">
      <c r="A113" s="38" t="s">
        <v>282</v>
      </c>
      <c r="B113" s="28" t="s">
        <v>174</v>
      </c>
      <c r="E113" s="10" t="s">
        <v>75</v>
      </c>
      <c r="F113" s="4">
        <f>MAX(F112-$F21,0)</f>
        <v>149.85</v>
      </c>
      <c r="G113" s="4">
        <f>MAX(G112-$G21,0)</f>
        <v>99.9</v>
      </c>
      <c r="I113" s="4">
        <f>MAX(I112-$F21,0)</f>
        <v>142.7065972058532</v>
      </c>
      <c r="J113" s="4">
        <f>MAX(J112-$G21,0)</f>
        <v>92.96265349260409</v>
      </c>
      <c r="L113" s="4">
        <f>MAX(L112-$F21,0)</f>
        <v>135.27657957448451</v>
      </c>
      <c r="M113" s="4">
        <f>MAX(M112-$G21,0)</f>
        <v>85.850234751890639</v>
      </c>
      <c r="O113" s="4">
        <f>MAX(O112-$F21,0)</f>
        <v>128.2629495566479</v>
      </c>
      <c r="P113" s="4">
        <f>MAX(P112-$G21,0)</f>
        <v>78.48337762961367</v>
      </c>
      <c r="R113" s="4">
        <f>MAX(R112-$F21,0)</f>
        <v>121.60045066759871</v>
      </c>
      <c r="S113" s="4">
        <f>MAX(S112-$G21,0)</f>
        <v>70.729833385840848</v>
      </c>
      <c r="U113" s="4">
        <f>MAX(U112-$F21,0)</f>
        <v>113.50579206455346</v>
      </c>
      <c r="V113" s="4">
        <f>MAX(V112-$G21,0)</f>
        <v>59.861397475795286</v>
      </c>
      <c r="X113" s="4">
        <f>MAX(X112-$F21,0)</f>
        <v>85.596418203205943</v>
      </c>
      <c r="Y113" s="4">
        <f>MAX(Y112-$G21,0)</f>
        <v>12.682217051291566</v>
      </c>
      <c r="Z113" s="38"/>
    </row>
    <row r="114" spans="1:26" x14ac:dyDescent="0.2">
      <c r="E114" s="13"/>
    </row>
    <row r="115" spans="1:26" ht="17" x14ac:dyDescent="0.2">
      <c r="E115" s="11" t="s">
        <v>58</v>
      </c>
      <c r="F115" s="12"/>
      <c r="G115" s="12"/>
      <c r="I115" s="12"/>
      <c r="J115" s="12"/>
      <c r="L115" s="12"/>
      <c r="M115" s="12"/>
      <c r="O115" s="12"/>
      <c r="P115" s="12"/>
      <c r="R115" s="12"/>
      <c r="S115" s="12"/>
      <c r="U115" s="12"/>
      <c r="V115" s="12"/>
      <c r="X115" s="12"/>
      <c r="Y115" s="12"/>
    </row>
    <row r="116" spans="1:26" ht="17" x14ac:dyDescent="0.2">
      <c r="A116" s="38" t="s">
        <v>246</v>
      </c>
      <c r="B116" s="34" t="s">
        <v>182</v>
      </c>
      <c r="E116" s="10" t="s">
        <v>219</v>
      </c>
      <c r="F116" s="4">
        <f>F112*F7</f>
        <v>1500000</v>
      </c>
      <c r="G116" s="4">
        <f>G112*G7</f>
        <v>25000000</v>
      </c>
      <c r="I116" s="4">
        <f>I112*I7</f>
        <v>1421423.1421982395</v>
      </c>
      <c r="J116" s="4">
        <f>J112*J7</f>
        <v>23256357.107801761</v>
      </c>
      <c r="L116" s="4">
        <f>L112*L7</f>
        <v>1339098.0188325029</v>
      </c>
      <c r="M116" s="4">
        <f>M112*M7</f>
        <v>21469509.138674762</v>
      </c>
      <c r="O116" s="4">
        <f>O112*O7</f>
        <v>1262299.2941418488</v>
      </c>
      <c r="P116" s="4">
        <f>P112*P7</f>
        <v>19621955.060604014</v>
      </c>
      <c r="R116" s="4">
        <f>R112*R7</f>
        <v>1188284.3985157635</v>
      </c>
      <c r="S116" s="4">
        <f>S112*S7</f>
        <v>17672326.749100834</v>
      </c>
      <c r="U116" s="4">
        <f>U112*U7</f>
        <v>1097914.9513435864</v>
      </c>
      <c r="V116" s="4">
        <f>V112*V7</f>
        <v>14958270.021299271</v>
      </c>
      <c r="X116" s="4">
        <f>X112*X7</f>
        <v>819907.25085905532</v>
      </c>
      <c r="Y116" s="4">
        <f>Y112*Y7</f>
        <v>3187373.6439100648</v>
      </c>
      <c r="Z116" s="38"/>
    </row>
    <row r="117" spans="1:26" ht="17" x14ac:dyDescent="0.2">
      <c r="A117" s="38" t="s">
        <v>245</v>
      </c>
      <c r="B117" s="33" t="s">
        <v>163</v>
      </c>
      <c r="E117" s="10" t="s">
        <v>218</v>
      </c>
      <c r="G117" s="4">
        <f>SUM(G95:G98)</f>
        <v>0</v>
      </c>
      <c r="J117" s="4">
        <f>SUM(J95:J98)</f>
        <v>0.85</v>
      </c>
      <c r="M117" s="4">
        <f>SUM(M95:M98)</f>
        <v>5.8982999999999999</v>
      </c>
      <c r="P117" s="4">
        <f>SUM(P95:P98)</f>
        <v>21.0065034</v>
      </c>
      <c r="S117" s="4">
        <f>SUM(S95:S98)</f>
        <v>52.594490393199997</v>
      </c>
      <c r="V117" s="4">
        <f>SUM(V95:V98)</f>
        <v>82.193263680000001</v>
      </c>
      <c r="Y117" s="4">
        <f>SUM(Y95:Y98)</f>
        <v>127.95464609634348</v>
      </c>
      <c r="Z117" s="38"/>
    </row>
    <row r="118" spans="1:26" ht="17" x14ac:dyDescent="0.2">
      <c r="A118" s="38" t="s">
        <v>242</v>
      </c>
      <c r="B118" s="33" t="s">
        <v>163</v>
      </c>
      <c r="E118" s="10" t="s">
        <v>217</v>
      </c>
      <c r="F118" s="4">
        <f>F116+F117</f>
        <v>1500000</v>
      </c>
      <c r="G118" s="4">
        <f>G116+G117</f>
        <v>25000000</v>
      </c>
      <c r="I118" s="4">
        <f>I116+I117</f>
        <v>1421423.1421982395</v>
      </c>
      <c r="J118" s="4">
        <f>J116+J117</f>
        <v>23256357.957801763</v>
      </c>
      <c r="L118" s="4">
        <f>L116+L117</f>
        <v>1339098.0188325029</v>
      </c>
      <c r="M118" s="4">
        <f>M116+M117</f>
        <v>21469515.036974762</v>
      </c>
      <c r="O118" s="4">
        <f>O116+O117</f>
        <v>1262299.2941418488</v>
      </c>
      <c r="P118" s="4">
        <f>P116+P117</f>
        <v>19621976.067107413</v>
      </c>
      <c r="R118" s="4">
        <f>R116+R117</f>
        <v>1188284.3985157635</v>
      </c>
      <c r="S118" s="4">
        <f>S116+S117</f>
        <v>17672379.343591228</v>
      </c>
      <c r="U118" s="4">
        <f>U116+U117</f>
        <v>1097914.9513435864</v>
      </c>
      <c r="V118" s="4">
        <f>V116+V117</f>
        <v>14958352.214562951</v>
      </c>
      <c r="X118" s="4">
        <f>X116+X117</f>
        <v>819907.25085905532</v>
      </c>
      <c r="Y118" s="4">
        <f>Y116+Y117</f>
        <v>3187501.5985561614</v>
      </c>
      <c r="Z118" s="38"/>
    </row>
    <row r="119" spans="1:26" ht="17" x14ac:dyDescent="0.2">
      <c r="A119" s="38" t="s">
        <v>243</v>
      </c>
      <c r="B119" s="33" t="s">
        <v>163</v>
      </c>
      <c r="E119" s="10" t="s">
        <v>220</v>
      </c>
      <c r="F119" s="4">
        <f>F111*$F$20</f>
        <v>315000</v>
      </c>
      <c r="G119" s="4">
        <f>G111*$G$20</f>
        <v>6250000</v>
      </c>
      <c r="I119" s="4">
        <f>I111*$F$20</f>
        <v>298498.85986163025</v>
      </c>
      <c r="J119" s="4">
        <f>J111*$G$20</f>
        <v>5814089.2769504404</v>
      </c>
      <c r="L119" s="4">
        <f>L111*$F$20</f>
        <v>281210.58395482559</v>
      </c>
      <c r="M119" s="4">
        <f>M111*$G$20</f>
        <v>5367377.2846686905</v>
      </c>
      <c r="O119" s="4">
        <f>O111*$F$20</f>
        <v>265082.85176978825</v>
      </c>
      <c r="P119" s="4">
        <f>P111*$G$20</f>
        <v>4905488.7651510034</v>
      </c>
      <c r="R119" s="4">
        <f>R111*$F$20</f>
        <v>249539.7236883103</v>
      </c>
      <c r="S119" s="4">
        <f>S111*$G$20</f>
        <v>4418081.6872752085</v>
      </c>
      <c r="U119" s="4">
        <f>U111*$F$20</f>
        <v>230562.13978215316</v>
      </c>
      <c r="V119" s="4">
        <f>V111*$G$20</f>
        <v>3739567.5053248177</v>
      </c>
      <c r="X119" s="4">
        <f>X111*$F$20</f>
        <v>172180.5226804016</v>
      </c>
      <c r="Y119" s="4">
        <f>Y111*$G$20</f>
        <v>796843.41097751621</v>
      </c>
      <c r="Z119" s="38"/>
    </row>
    <row r="120" spans="1:26" ht="17" x14ac:dyDescent="0.2">
      <c r="A120" s="38" t="s">
        <v>281</v>
      </c>
      <c r="B120" s="28" t="s">
        <v>174</v>
      </c>
      <c r="E120" s="10" t="s">
        <v>269</v>
      </c>
      <c r="F120" s="4">
        <f>F9*F112</f>
        <v>7500</v>
      </c>
      <c r="G120" s="4">
        <f>G9*G112</f>
        <v>10000</v>
      </c>
      <c r="I120" s="4">
        <f>I9*I112</f>
        <v>8857.1090267628988</v>
      </c>
      <c r="J120" s="4">
        <f>J9*J112</f>
        <v>10236.891884186449</v>
      </c>
      <c r="L120" s="4">
        <f>L9*L112</f>
        <v>7854.741615320102</v>
      </c>
      <c r="M120" s="4">
        <f>M9*M112</f>
        <v>8079.3220666777197</v>
      </c>
      <c r="O120" s="4">
        <f>O9*O112</f>
        <v>8988.9064689653533</v>
      </c>
      <c r="P120" s="4">
        <f>P9*P112</f>
        <v>15088.008504885824</v>
      </c>
      <c r="R120" s="4">
        <f>R9*R112</f>
        <v>12175.045066759871</v>
      </c>
      <c r="S120" s="4">
        <f>S9*S112</f>
        <v>2762.3635020477927</v>
      </c>
      <c r="U120" s="4">
        <f>U9*U112</f>
        <v>11138.267622326241</v>
      </c>
      <c r="V120" s="4">
        <f>V9*V112</f>
        <v>6295.9467349585047</v>
      </c>
      <c r="X120" s="4">
        <f>X9*X112</f>
        <v>8403.1489839141832</v>
      </c>
      <c r="Y120" s="4">
        <f>Y9*Y112</f>
        <v>1482.7371779498217</v>
      </c>
      <c r="Z120" s="38"/>
    </row>
    <row r="121" spans="1:26" ht="17" x14ac:dyDescent="0.2">
      <c r="A121" s="38" t="s">
        <v>265</v>
      </c>
      <c r="B121" s="28" t="s">
        <v>174</v>
      </c>
      <c r="E121" s="10" t="s">
        <v>270</v>
      </c>
      <c r="F121" s="4">
        <f>MIN(F120,F9*F15)</f>
        <v>250</v>
      </c>
      <c r="G121" s="4">
        <f>MIN(G120,G9*G15)</f>
        <v>1000</v>
      </c>
      <c r="I121" s="4">
        <f>MIN(I120,I9*I15)</f>
        <v>316.2</v>
      </c>
      <c r="J121" s="4">
        <f>MIN(J120,J9*J15)</f>
        <v>1078</v>
      </c>
      <c r="L121" s="4">
        <f>MIN(L120,L9*L15)</f>
        <v>301.60000000000002</v>
      </c>
      <c r="M121" s="4">
        <f>MIN(M120,M9*M15)</f>
        <v>921.2</v>
      </c>
      <c r="O121" s="4">
        <f>MIN(O120,O9*O15)</f>
        <v>329</v>
      </c>
      <c r="P121" s="4">
        <f>MIN(P120,P9*P15)</f>
        <v>1900.8000000000002</v>
      </c>
      <c r="R121" s="4">
        <f>MIN(R120,R9*R15)</f>
        <v>520</v>
      </c>
      <c r="S121" s="4">
        <f>MIN(S120,S9*S15)</f>
        <v>393.9</v>
      </c>
      <c r="U121" s="4">
        <f>MIN(U120,U9*U15)</f>
        <v>401.79999999999995</v>
      </c>
      <c r="V121" s="4">
        <f>MIN(V120,V9*V15)</f>
        <v>1155</v>
      </c>
      <c r="X121" s="4">
        <f>MIN(X120,X9*X15)</f>
        <v>499.79999999999995</v>
      </c>
      <c r="Y121" s="4">
        <f>MIN(Y120,Y9*Y15)</f>
        <v>1044</v>
      </c>
      <c r="Z121" s="38"/>
    </row>
    <row r="122" spans="1:26" ht="17" x14ac:dyDescent="0.2">
      <c r="A122" s="38" t="s">
        <v>283</v>
      </c>
      <c r="B122" s="28" t="s">
        <v>174</v>
      </c>
      <c r="E122" s="10" t="s">
        <v>257</v>
      </c>
      <c r="F122" s="4">
        <f>(F120-F121)*$F$14</f>
        <v>5075</v>
      </c>
      <c r="G122" s="4">
        <f>(G120-G121+G53)*$F$14</f>
        <v>6300</v>
      </c>
      <c r="I122" s="4">
        <f>(I120-I121)*$F$14</f>
        <v>5978.6363187340285</v>
      </c>
      <c r="J122" s="4">
        <f>(J120-J121+J53)*$F$14</f>
        <v>6411.2243189305136</v>
      </c>
      <c r="L122" s="4">
        <f>(L120-L121)*$F$14</f>
        <v>5287.1991307240705</v>
      </c>
      <c r="M122" s="4">
        <f>(M120-M121+M53)*$F$14</f>
        <v>5010.6854466744035</v>
      </c>
      <c r="O122" s="4">
        <f>(O120-O121)*$F$14</f>
        <v>6061.9345282757467</v>
      </c>
      <c r="P122" s="4">
        <f>(P120-P121+P53)*$F$14</f>
        <v>9231.0459534200763</v>
      </c>
      <c r="R122" s="4">
        <f>(R120-R121)*$F$14</f>
        <v>8158.5315467319087</v>
      </c>
      <c r="S122" s="4">
        <f>(S120-S121+S53)*$F$14</f>
        <v>1657.9244514334548</v>
      </c>
      <c r="U122" s="4">
        <f>(U120-U121)*$F$14</f>
        <v>7515.5273356283687</v>
      </c>
      <c r="V122" s="4">
        <f>(V120-V121+V53)*$F$14</f>
        <v>3598.6627144709532</v>
      </c>
      <c r="X122" s="4">
        <f>(X120-X121)*$F$14</f>
        <v>5532.3442887399278</v>
      </c>
      <c r="Y122" s="4">
        <f>(Y120-Y121+Y53)*$F$14</f>
        <v>307.11602456487515</v>
      </c>
      <c r="Z122" s="38"/>
    </row>
    <row r="123" spans="1:26" ht="17" x14ac:dyDescent="0.2">
      <c r="A123" s="38" t="s">
        <v>258</v>
      </c>
      <c r="B123" s="33" t="s">
        <v>163</v>
      </c>
      <c r="E123" s="14" t="s">
        <v>255</v>
      </c>
      <c r="F123" s="4">
        <f>MIN(F122+G122, F32)</f>
        <v>11375</v>
      </c>
      <c r="I123" s="4">
        <f>MIN(I122+J122, I32)</f>
        <v>12389.860637664542</v>
      </c>
      <c r="L123" s="4">
        <f>MIN(L122+M122, L32)</f>
        <v>10297.884577398474</v>
      </c>
      <c r="O123" s="4">
        <f>MIN(O122+P122, O32)</f>
        <v>15292.980481695824</v>
      </c>
      <c r="R123" s="4">
        <f>MIN(R122+S122, R32)</f>
        <v>9816.4559981653638</v>
      </c>
      <c r="U123" s="4">
        <f>MIN(U122+V122, U32)</f>
        <v>11114.190050099322</v>
      </c>
      <c r="X123" s="4">
        <f>MIN(X122+Y122, X32)</f>
        <v>5839.4603133048031</v>
      </c>
      <c r="Z123" s="38"/>
    </row>
    <row r="124" spans="1:26" ht="17" x14ac:dyDescent="0.2">
      <c r="A124" s="38" t="s">
        <v>259</v>
      </c>
      <c r="B124" s="28" t="s">
        <v>174</v>
      </c>
      <c r="E124" s="14" t="s">
        <v>271</v>
      </c>
      <c r="F124" s="4">
        <f>F122/(F122+G122)</f>
        <v>0.44615384615384618</v>
      </c>
      <c r="G124" s="4">
        <f>G122/(F122+G122)</f>
        <v>0.55384615384615388</v>
      </c>
      <c r="I124" s="4">
        <f>I122/(I122+J122)</f>
        <v>0.48254266077531816</v>
      </c>
      <c r="J124" s="4">
        <f>J122/(I122+J122)</f>
        <v>0.51745733922468184</v>
      </c>
      <c r="L124" s="4">
        <f>L122/(L122+M122)</f>
        <v>0.51342575176345207</v>
      </c>
      <c r="M124" s="4">
        <f>M122/(L122+M122)</f>
        <v>0.48657424823654793</v>
      </c>
      <c r="O124" s="4">
        <f>O122/(O122+P122)</f>
        <v>0.39638673020810294</v>
      </c>
      <c r="P124" s="4">
        <f>P122/(O122+P122)</f>
        <v>0.603613269791897</v>
      </c>
      <c r="R124" s="4">
        <f>R122/(R122+S122)</f>
        <v>0.83110763683519684</v>
      </c>
      <c r="S124" s="4">
        <f>S122/(R122+S122)</f>
        <v>0.16889236316480316</v>
      </c>
      <c r="U124" s="4">
        <f>U122/(U122+V122)</f>
        <v>0.67621007934457689</v>
      </c>
      <c r="V124" s="4">
        <f>V122/(U122+V122)</f>
        <v>0.32378992065542317</v>
      </c>
      <c r="X124" s="4">
        <f>X122/(X122+Y122)</f>
        <v>0.94740677937905793</v>
      </c>
      <c r="Y124" s="4">
        <f>Y122/(X122+Y122)</f>
        <v>5.2593220620942092E-2</v>
      </c>
      <c r="Z124" s="38"/>
    </row>
    <row r="125" spans="1:26" ht="34" x14ac:dyDescent="0.2">
      <c r="A125" s="38" t="s">
        <v>185</v>
      </c>
      <c r="B125" s="28" t="s">
        <v>174</v>
      </c>
      <c r="E125" s="10" t="s">
        <v>121</v>
      </c>
      <c r="F125" s="4">
        <f>MAX(F13-F26, 0)*F113</f>
        <v>741757.5</v>
      </c>
      <c r="G125" s="4">
        <f>MAX(G13-G26, 0)*G113</f>
        <v>19970010</v>
      </c>
      <c r="I125" s="4">
        <f>MAX(I13-I26, 0)*I113</f>
        <v>697549.84714221046</v>
      </c>
      <c r="J125" s="4">
        <f>MAX(J13-J26, 0)*J113</f>
        <v>18573008.54128737</v>
      </c>
      <c r="L125" s="4">
        <f>MAX(L13-L26, 0)*L113</f>
        <v>585747.5895575179</v>
      </c>
      <c r="M125" s="4">
        <f>MAX(M13-M26, 0)*M113</f>
        <v>17143948.479013555</v>
      </c>
      <c r="O125" s="4">
        <f>MAX(O13-O26, 0)*O113</f>
        <v>482268.69033299608</v>
      </c>
      <c r="P125" s="4">
        <f>MAX(P13-P26, 0)*P113</f>
        <v>15657747.770618446</v>
      </c>
      <c r="R125" s="4">
        <f>MAX(R13-R26, 0)*R113</f>
        <v>384257.42410961189</v>
      </c>
      <c r="S125" s="4">
        <f>MAX(S13-S26, 0)*S113</f>
        <v>14178856.049692586</v>
      </c>
      <c r="U125" s="4">
        <f>MAX(U13-U26, 0)*U113</f>
        <v>268100.68085647526</v>
      </c>
      <c r="V125" s="4">
        <f>MAX(V13-V26, 0)*V113</f>
        <v>11963898.899512446</v>
      </c>
      <c r="X125" s="4">
        <f>MAX(X13-X26, 0)*X113</f>
        <v>193790.29081205826</v>
      </c>
      <c r="Y125" s="4">
        <f>MAX(Y13-Y26, 0)*Y113</f>
        <v>2533196.7626931826</v>
      </c>
      <c r="Z125" s="38"/>
    </row>
    <row r="127" spans="1:26" ht="17" x14ac:dyDescent="0.2">
      <c r="E127" s="15" t="s">
        <v>73</v>
      </c>
      <c r="F127" s="8"/>
      <c r="G127" s="8"/>
      <c r="I127" s="8"/>
      <c r="J127" s="8"/>
      <c r="L127" s="8"/>
      <c r="M127" s="8"/>
      <c r="O127" s="8"/>
      <c r="P127" s="8"/>
      <c r="R127" s="8"/>
      <c r="S127" s="8"/>
      <c r="U127" s="8"/>
      <c r="V127" s="8"/>
      <c r="X127" s="8"/>
      <c r="Y127" s="8"/>
    </row>
    <row r="128" spans="1:26" ht="17" x14ac:dyDescent="0.2">
      <c r="A128" s="38" t="s">
        <v>260</v>
      </c>
      <c r="B128" s="28" t="s">
        <v>174</v>
      </c>
      <c r="E128" s="14" t="s">
        <v>262</v>
      </c>
      <c r="F128" s="4">
        <f>MAX(F32-F123,0)</f>
        <v>1988625</v>
      </c>
      <c r="I128" s="4">
        <f>MAX(I32-I123,0)</f>
        <v>2037610.1393623354</v>
      </c>
      <c r="L128" s="4">
        <f>MAX(L32-L123,0)</f>
        <v>2099702.1154226013</v>
      </c>
      <c r="O128" s="4">
        <f>MAX(O32-O123,0)</f>
        <v>2194707.0195183042</v>
      </c>
      <c r="R128" s="4">
        <f>MAX(R32-R123,0)</f>
        <v>2990183.5440018345</v>
      </c>
      <c r="U128" s="4">
        <f>MAX(U32-U123,0)</f>
        <v>24988885.809949901</v>
      </c>
      <c r="X128" s="4">
        <f>MAX(X32-X123,0)</f>
        <v>2514160.5396866952</v>
      </c>
      <c r="Z128" s="38"/>
    </row>
    <row r="129" spans="1:29" ht="17" x14ac:dyDescent="0.2">
      <c r="A129" s="38" t="s">
        <v>261</v>
      </c>
      <c r="B129" s="28" t="s">
        <v>174</v>
      </c>
      <c r="E129" s="10" t="s">
        <v>165</v>
      </c>
      <c r="F129" s="4">
        <f>MIN(F139,F128)</f>
        <v>1988625</v>
      </c>
      <c r="I129" s="4">
        <f>MIN(I139,I128)</f>
        <v>2037610.1393623354</v>
      </c>
      <c r="L129" s="4">
        <f>MIN(L139,L128)</f>
        <v>2099702.1154226013</v>
      </c>
      <c r="O129" s="4">
        <f>MIN(O139,O128)</f>
        <v>2194707.0195183042</v>
      </c>
      <c r="R129" s="4">
        <f>MIN(R139,R128)</f>
        <v>2990183.5440018345</v>
      </c>
      <c r="U129" s="4">
        <f>MIN(U139,U128)</f>
        <v>12231999.580368921</v>
      </c>
      <c r="X129" s="4">
        <f>MIN(X139,X128)</f>
        <v>1789059.8013981958</v>
      </c>
      <c r="Z129" s="38"/>
    </row>
    <row r="130" spans="1:29" ht="17" x14ac:dyDescent="0.2">
      <c r="A130" s="38" t="s">
        <v>272</v>
      </c>
      <c r="B130" s="28" t="s">
        <v>174</v>
      </c>
      <c r="E130" s="10" t="s">
        <v>123</v>
      </c>
      <c r="F130" s="4">
        <f>F128-F129</f>
        <v>0</v>
      </c>
      <c r="I130" s="4">
        <f>I128-I129</f>
        <v>0</v>
      </c>
      <c r="L130" s="4">
        <f>L128-L129</f>
        <v>0</v>
      </c>
      <c r="O130" s="4">
        <f>O128-O129</f>
        <v>0</v>
      </c>
      <c r="R130" s="4">
        <f>R128-R129</f>
        <v>0</v>
      </c>
      <c r="U130" s="4">
        <f>U128-U129</f>
        <v>12756886.22958098</v>
      </c>
      <c r="X130" s="4">
        <f>X128-X129</f>
        <v>725100.73828849941</v>
      </c>
      <c r="Z130" s="38"/>
    </row>
    <row r="131" spans="1:29" ht="17" x14ac:dyDescent="0.2">
      <c r="A131" s="38" t="s">
        <v>216</v>
      </c>
      <c r="B131" s="28" t="s">
        <v>174</v>
      </c>
      <c r="E131" s="10" t="s">
        <v>146</v>
      </c>
      <c r="F131" s="4">
        <f>MIN(F130,G76)</f>
        <v>0</v>
      </c>
      <c r="I131" s="4">
        <f>MIN(I130,J76)</f>
        <v>0</v>
      </c>
      <c r="L131" s="4">
        <f>MIN(L130,M76)</f>
        <v>0</v>
      </c>
      <c r="O131" s="4">
        <f>MIN(O130,P76)</f>
        <v>0</v>
      </c>
      <c r="R131" s="4">
        <f>MIN(R130,S76)</f>
        <v>0</v>
      </c>
      <c r="U131" s="4">
        <f>MIN(U130,V76)</f>
        <v>30.146330393199996</v>
      </c>
      <c r="X131" s="4">
        <f>MIN(X130,Y76)</f>
        <v>53.914123679999996</v>
      </c>
      <c r="Z131" s="38"/>
    </row>
    <row r="132" spans="1:29" ht="17" x14ac:dyDescent="0.2">
      <c r="A132" s="38" t="s">
        <v>268</v>
      </c>
      <c r="B132" s="28" t="s">
        <v>174</v>
      </c>
      <c r="E132" s="10" t="s">
        <v>120</v>
      </c>
      <c r="F132" s="4">
        <f>F140*F129</f>
        <v>71219.296394549616</v>
      </c>
      <c r="G132" s="4">
        <f>G140*F129</f>
        <v>1917405.7036054505</v>
      </c>
      <c r="I132" s="4">
        <f>I140*I129</f>
        <v>73756.795864359185</v>
      </c>
      <c r="J132" s="4">
        <f>J140*I129</f>
        <v>1963853.343497976</v>
      </c>
      <c r="L132" s="4">
        <f>L140*L129</f>
        <v>69369.234990881247</v>
      </c>
      <c r="M132" s="4">
        <f>M140*L129</f>
        <v>2030332.8804317201</v>
      </c>
      <c r="O132" s="4">
        <f>O140*O129</f>
        <v>65578.525432639595</v>
      </c>
      <c r="P132" s="4">
        <f>P140*O129</f>
        <v>2129128.4940856644</v>
      </c>
      <c r="R132" s="4">
        <f>R140*R129</f>
        <v>78897.979357233533</v>
      </c>
      <c r="S132" s="4">
        <f>S140*R129</f>
        <v>2911285.5646446007</v>
      </c>
      <c r="U132" s="4">
        <f>U140*U129</f>
        <v>268100.68085647526</v>
      </c>
      <c r="V132" s="4">
        <f>V140*U129</f>
        <v>11963898.899512446</v>
      </c>
      <c r="X132" s="4">
        <f>X140*X129</f>
        <v>193790.29081205826</v>
      </c>
      <c r="Y132" s="4">
        <f>Y140*X129</f>
        <v>1595269.5105861374</v>
      </c>
      <c r="Z132" s="38"/>
    </row>
    <row r="133" spans="1:29" ht="17" x14ac:dyDescent="0.2">
      <c r="A133" s="38" t="s">
        <v>273</v>
      </c>
      <c r="B133" s="33" t="s">
        <v>163</v>
      </c>
      <c r="E133" s="10" t="s">
        <v>165</v>
      </c>
      <c r="F133" s="4">
        <f>F132</f>
        <v>71219.296394549616</v>
      </c>
      <c r="G133" s="4">
        <f>G132+F131</f>
        <v>1917405.7036054505</v>
      </c>
      <c r="I133" s="4">
        <f>I132</f>
        <v>73756.795864359185</v>
      </c>
      <c r="J133" s="4">
        <f>J132+I131</f>
        <v>1963853.343497976</v>
      </c>
      <c r="L133" s="4">
        <f>L132</f>
        <v>69369.234990881247</v>
      </c>
      <c r="M133" s="4">
        <f>M132+L131</f>
        <v>2030332.8804317201</v>
      </c>
      <c r="O133" s="4">
        <f>O132</f>
        <v>65578.525432639595</v>
      </c>
      <c r="P133" s="4">
        <f>P132+O131</f>
        <v>2129128.4940856644</v>
      </c>
      <c r="R133" s="4">
        <f>R132</f>
        <v>78897.979357233533</v>
      </c>
      <c r="S133" s="4">
        <f>S132+R131</f>
        <v>2911285.5646446007</v>
      </c>
      <c r="U133" s="4">
        <f>U132</f>
        <v>268100.68085647526</v>
      </c>
      <c r="V133" s="4">
        <f>V132+U131</f>
        <v>11963929.045842839</v>
      </c>
      <c r="X133" s="4">
        <f>X132</f>
        <v>193790.29081205826</v>
      </c>
      <c r="Y133" s="4">
        <f>Y132+X131</f>
        <v>1595323.4247098174</v>
      </c>
      <c r="Z133" s="38"/>
    </row>
    <row r="134" spans="1:29" ht="17" x14ac:dyDescent="0.2">
      <c r="E134" s="15" t="s">
        <v>74</v>
      </c>
      <c r="F134" s="8"/>
      <c r="G134" s="8"/>
      <c r="I134" s="8"/>
      <c r="J134" s="8"/>
      <c r="L134" s="8"/>
      <c r="M134" s="8"/>
      <c r="O134" s="8"/>
      <c r="P134" s="8"/>
      <c r="R134" s="8"/>
      <c r="S134" s="8"/>
      <c r="U134" s="8"/>
      <c r="V134" s="8"/>
      <c r="X134" s="8"/>
      <c r="Y134" s="8"/>
    </row>
    <row r="135" spans="1:29" ht="34" x14ac:dyDescent="0.2">
      <c r="A135" s="38" t="s">
        <v>276</v>
      </c>
      <c r="B135" s="28" t="s">
        <v>174</v>
      </c>
      <c r="E135" s="10" t="s">
        <v>137</v>
      </c>
      <c r="F135" s="4">
        <f>F113/$F$22</f>
        <v>1</v>
      </c>
      <c r="G135" s="4">
        <f>G113/$G$22</f>
        <v>1</v>
      </c>
      <c r="I135" s="4">
        <f>I113/$F$22</f>
        <v>0.95232964435003808</v>
      </c>
      <c r="J135" s="4">
        <f>J113/$G$22</f>
        <v>0.93055709201805892</v>
      </c>
      <c r="L135" s="4">
        <f>L113/$F$22</f>
        <v>0.9027466104403371</v>
      </c>
      <c r="M135" s="4">
        <f>M113/$G$22</f>
        <v>0.85936170922813448</v>
      </c>
      <c r="O135" s="4">
        <f>O113/$F$22</f>
        <v>0.85594227265030298</v>
      </c>
      <c r="P135" s="4">
        <f>P113/$G$22</f>
        <v>0.78561939569182848</v>
      </c>
      <c r="R135" s="4">
        <f>R113/$F$22</f>
        <v>0.81148115226959439</v>
      </c>
      <c r="S135" s="4">
        <f>S113/$G$22</f>
        <v>0.70800634019860709</v>
      </c>
      <c r="U135" s="4">
        <f>U113/$F$22</f>
        <v>0.75746274317353002</v>
      </c>
      <c r="V135" s="4">
        <f>V113/$G$22</f>
        <v>0.59921318794589873</v>
      </c>
      <c r="X135" s="4">
        <f>X113/$F$22</f>
        <v>0.57121400202339634</v>
      </c>
      <c r="Y135" s="4">
        <f>Y113/$G$22</f>
        <v>0.12694911963254821</v>
      </c>
      <c r="Z135" s="38"/>
      <c r="AA135">
        <v>0.5</v>
      </c>
      <c r="AB135">
        <f>SUM(AA$6:AA135)</f>
        <v>0.5</v>
      </c>
      <c r="AC135">
        <v>20</v>
      </c>
    </row>
    <row r="136" spans="1:29" ht="17" x14ac:dyDescent="0.2">
      <c r="A136" s="38" t="s">
        <v>186</v>
      </c>
      <c r="B136" s="28" t="s">
        <v>174</v>
      </c>
      <c r="E136" s="10" t="s">
        <v>187</v>
      </c>
      <c r="F136" s="4">
        <f>MAX(MIN((F135-$F$16)/$F$17, 1), 0)</f>
        <v>1</v>
      </c>
      <c r="G136" s="4">
        <f>MAX(MIN((G135-$G$16)/$G$17, 1), 0)</f>
        <v>1</v>
      </c>
      <c r="I136" s="4">
        <f>MAX(MIN((I135-$F$16)/$F$17, 1), 0)</f>
        <v>1</v>
      </c>
      <c r="J136" s="4">
        <f>MAX(MIN((J135-$G$16)/$G$17, 1), 0)</f>
        <v>1</v>
      </c>
      <c r="L136" s="4">
        <f>MAX(MIN((L135-$F$16)/$F$17, 1), 0)</f>
        <v>1</v>
      </c>
      <c r="M136" s="4">
        <f>MAX(MIN((M135-$G$16)/$G$17, 1), 0)</f>
        <v>1</v>
      </c>
      <c r="O136" s="4">
        <f>MAX(MIN((O135-$F$16)/$F$17, 1), 0)</f>
        <v>1</v>
      </c>
      <c r="P136" s="4">
        <f>MAX(MIN((P135-$G$16)/$G$17, 1), 0)</f>
        <v>1</v>
      </c>
      <c r="R136" s="4">
        <f>MAX(MIN((R135-$F$16)/$F$17, 1), 0)</f>
        <v>1</v>
      </c>
      <c r="S136" s="4">
        <f>MAX(MIN((S135-$G$16)/$G$17, 1), 0)</f>
        <v>1</v>
      </c>
      <c r="U136" s="4">
        <f>MAX(MIN((U135-$F$16)/$F$17, 1), 0)</f>
        <v>1</v>
      </c>
      <c r="V136" s="4">
        <f>MAX(MIN((V135-$G$16)/$G$17, 1), 0)</f>
        <v>1</v>
      </c>
      <c r="X136" s="4">
        <f>MAX(MIN((X135-$F$16)/$F$17, 1), 0)</f>
        <v>1</v>
      </c>
      <c r="Y136" s="4">
        <f>MAX(MIN((Y135-$G$16)/$G$17, 1), 0)</f>
        <v>0.629745598162741</v>
      </c>
      <c r="Z136" s="38"/>
      <c r="AA136">
        <v>0.3</v>
      </c>
      <c r="AB136">
        <f>SUM(AA$6:AA136)</f>
        <v>0.8</v>
      </c>
      <c r="AC136">
        <v>20</v>
      </c>
    </row>
    <row r="137" spans="1:29" x14ac:dyDescent="0.2">
      <c r="A137" s="38"/>
      <c r="Z137" s="38"/>
      <c r="AA137">
        <v>0.2</v>
      </c>
      <c r="AB137">
        <f>SUM(AA$6:AA137)</f>
        <v>1</v>
      </c>
      <c r="AC137">
        <v>20</v>
      </c>
    </row>
    <row r="138" spans="1:29" ht="17" x14ac:dyDescent="0.2">
      <c r="A138" s="38" t="s">
        <v>188</v>
      </c>
      <c r="B138" s="28" t="s">
        <v>174</v>
      </c>
      <c r="E138" s="10" t="s">
        <v>76</v>
      </c>
      <c r="F138" s="4">
        <f>F125*F136</f>
        <v>741757.5</v>
      </c>
      <c r="G138" s="4">
        <f>G125*G136</f>
        <v>19970010</v>
      </c>
      <c r="I138" s="4">
        <f>I125*I136</f>
        <v>697549.84714221046</v>
      </c>
      <c r="J138" s="4">
        <f>J125*J136</f>
        <v>18573008.54128737</v>
      </c>
      <c r="L138" s="4">
        <f>L125*L136</f>
        <v>585747.5895575179</v>
      </c>
      <c r="M138" s="4">
        <f>M125*M136</f>
        <v>17143948.479013555</v>
      </c>
      <c r="O138" s="4">
        <f>O125*O136</f>
        <v>482268.69033299608</v>
      </c>
      <c r="P138" s="4">
        <f>P125*P136</f>
        <v>15657747.770618446</v>
      </c>
      <c r="R138" s="4">
        <f>R125*R136</f>
        <v>384257.42410961189</v>
      </c>
      <c r="S138" s="4">
        <f>S125*S136</f>
        <v>14178856.049692586</v>
      </c>
      <c r="U138" s="4">
        <f>U125*U136</f>
        <v>268100.68085647526</v>
      </c>
      <c r="V138" s="4">
        <f>V125*V136</f>
        <v>11963898.899512446</v>
      </c>
      <c r="X138" s="4">
        <f>X125*X136</f>
        <v>193790.29081205826</v>
      </c>
      <c r="Y138" s="4">
        <f>Y125*Y136</f>
        <v>1595269.5105861374</v>
      </c>
      <c r="Z138" s="38"/>
      <c r="AA138">
        <v>0.125</v>
      </c>
      <c r="AB138">
        <f>SUM(AA$6:AA156)</f>
        <v>1.125</v>
      </c>
      <c r="AC138">
        <v>20</v>
      </c>
    </row>
    <row r="139" spans="1:29" ht="17" x14ac:dyDescent="0.2">
      <c r="A139" s="38" t="s">
        <v>189</v>
      </c>
      <c r="B139" s="28" t="s">
        <v>174</v>
      </c>
      <c r="E139" s="10" t="s">
        <v>122</v>
      </c>
      <c r="F139" s="4">
        <f>F138+G138</f>
        <v>20711767.5</v>
      </c>
      <c r="G139" s="4">
        <f>F139</f>
        <v>20711767.5</v>
      </c>
      <c r="I139" s="4">
        <f>I138+J138</f>
        <v>19270558.388429582</v>
      </c>
      <c r="J139" s="4">
        <f>I139</f>
        <v>19270558.388429582</v>
      </c>
      <c r="L139" s="4">
        <f>L138+M138</f>
        <v>17729696.068571072</v>
      </c>
      <c r="M139" s="4">
        <f>L139</f>
        <v>17729696.068571072</v>
      </c>
      <c r="O139" s="4">
        <f>O138+P138</f>
        <v>16140016.460951442</v>
      </c>
      <c r="P139" s="4">
        <f>O139</f>
        <v>16140016.460951442</v>
      </c>
      <c r="R139" s="4">
        <f>R138+S138</f>
        <v>14563113.473802198</v>
      </c>
      <c r="S139" s="4">
        <f>R139</f>
        <v>14563113.473802198</v>
      </c>
      <c r="U139" s="4">
        <f>U138+V138</f>
        <v>12231999.580368921</v>
      </c>
      <c r="V139" s="4">
        <f>U139</f>
        <v>12231999.580368921</v>
      </c>
      <c r="X139" s="4">
        <f>X138+Y138</f>
        <v>1789059.8013981958</v>
      </c>
      <c r="Y139" s="4">
        <f>X139</f>
        <v>1789059.8013981958</v>
      </c>
      <c r="Z139" s="38"/>
    </row>
    <row r="140" spans="1:29" ht="17" x14ac:dyDescent="0.2">
      <c r="A140" s="38" t="s">
        <v>190</v>
      </c>
      <c r="B140" s="28" t="s">
        <v>174</v>
      </c>
      <c r="E140" s="10" t="s">
        <v>119</v>
      </c>
      <c r="F140" s="4">
        <f>F138/F139</f>
        <v>3.5813336548896658E-2</v>
      </c>
      <c r="G140" s="4">
        <f>G138/G139</f>
        <v>0.96418666345110338</v>
      </c>
      <c r="I140" s="4">
        <f>I138/I139</f>
        <v>3.6197697704547727E-2</v>
      </c>
      <c r="J140" s="4">
        <f>J138/J139</f>
        <v>0.96380230229545216</v>
      </c>
      <c r="L140" s="4">
        <f>L138/L139</f>
        <v>3.3037655428050795E-2</v>
      </c>
      <c r="M140" s="4">
        <f>M138/M139</f>
        <v>0.96696234457194918</v>
      </c>
      <c r="O140" s="4">
        <f>O138/O139</f>
        <v>2.9880309694836998E-2</v>
      </c>
      <c r="P140" s="4">
        <f>P138/P139</f>
        <v>0.97011969030516298</v>
      </c>
      <c r="R140" s="4">
        <f>R138/R139</f>
        <v>2.6385664356791447E-2</v>
      </c>
      <c r="S140" s="4">
        <f>S138/S139</f>
        <v>0.97361433564320854</v>
      </c>
      <c r="U140" s="4">
        <f>U138/U139</f>
        <v>2.1917976623114736E-2</v>
      </c>
      <c r="V140" s="4">
        <f>V138/V139</f>
        <v>0.97808202337688521</v>
      </c>
      <c r="X140" s="4">
        <f>X138/X139</f>
        <v>0.10831962724812565</v>
      </c>
      <c r="Y140" s="4">
        <f>Y138/Y139</f>
        <v>0.89168037275187428</v>
      </c>
      <c r="Z140" s="38"/>
    </row>
    <row r="142" spans="1:29" ht="17" x14ac:dyDescent="0.2">
      <c r="E142" s="15" t="s">
        <v>256</v>
      </c>
      <c r="F142" s="8"/>
      <c r="G142" s="8"/>
      <c r="I142" s="8"/>
      <c r="J142" s="8"/>
      <c r="L142" s="8"/>
      <c r="M142" s="8"/>
      <c r="O142" s="8"/>
      <c r="P142" s="8"/>
      <c r="R142" s="8"/>
      <c r="S142" s="8"/>
      <c r="U142" s="8"/>
      <c r="V142" s="8"/>
      <c r="X142" s="8"/>
      <c r="Y142" s="8"/>
    </row>
    <row r="143" spans="1:29" ht="17" x14ac:dyDescent="0.2">
      <c r="A143" s="38" t="s">
        <v>274</v>
      </c>
      <c r="B143" s="33" t="s">
        <v>163</v>
      </c>
      <c r="E143" s="10" t="s">
        <v>203</v>
      </c>
      <c r="F143" s="4">
        <f>(F111 - F132 - F120)*$F$29</f>
        <v>2842.5614072109011</v>
      </c>
      <c r="G143" s="4">
        <f>(G111 - G132 - G120)*$G$29+SUM(G90:G93)</f>
        <v>46145.188592789098</v>
      </c>
      <c r="I143" s="4">
        <f>(I111 - I132 - I120)*$F$29</f>
        <v>2677.6184746142349</v>
      </c>
      <c r="J143" s="4">
        <f>(J111 - J132 - J120)*$G$29+SUM(J90:J93)</f>
        <v>42564.533744839202</v>
      </c>
      <c r="L143" s="4">
        <f>(L111 - L132 - L120)*$F$29</f>
        <v>2523.7480844526031</v>
      </c>
      <c r="M143" s="4">
        <f>(M111 - M132 - M120)*$G$29+SUM(M90:M93)</f>
        <v>38862.195572352735</v>
      </c>
      <c r="O143" s="4">
        <f>(O111 - O132 - O120)*$F$29</f>
        <v>2375.4637244804881</v>
      </c>
      <c r="P143" s="4">
        <f>(P111 - P132 - P120)*$G$29+SUM(P90:P93)</f>
        <v>34955.488912626926</v>
      </c>
      <c r="R143" s="4">
        <f>(R111 - R132 - R120)*$F$29</f>
        <v>2194.4227481835401</v>
      </c>
      <c r="S143" s="4">
        <f>(S111 - S132 - S120)*$G$29+SUM(S90:S93)</f>
        <v>29516.599654915171</v>
      </c>
      <c r="U143" s="4">
        <f>(U111 - U132 - U120)*$F$29</f>
        <v>1637.3520057295698</v>
      </c>
      <c r="V143" s="4">
        <f>(V111 - V132 - V120)*$G$29+SUM(V90:V93)</f>
        <v>5976.1952464237338</v>
      </c>
      <c r="X143" s="4">
        <f>(X111 - X132 - X120)*$F$29</f>
        <v>1235.4276221261657</v>
      </c>
      <c r="Y143" s="4">
        <f>(Y111 - Y132 - Y120)*$G$29+SUM(Y90:Y93)</f>
        <v>3181.2993505719551</v>
      </c>
      <c r="Z143" s="38"/>
    </row>
    <row r="144" spans="1:29" ht="17" x14ac:dyDescent="0.2">
      <c r="A144" s="38" t="s">
        <v>275</v>
      </c>
      <c r="B144" s="33" t="s">
        <v>163</v>
      </c>
      <c r="E144" s="14" t="s">
        <v>215</v>
      </c>
      <c r="F144" s="4">
        <f>F132*$F20</f>
        <v>14956.05224285542</v>
      </c>
      <c r="G144" s="4">
        <f>(G132+F131)*$G20</f>
        <v>479351.42590136261</v>
      </c>
      <c r="I144" s="4">
        <f>I132*$F20</f>
        <v>15488.927131515427</v>
      </c>
      <c r="J144" s="4">
        <f>(J132+I131)*$G20</f>
        <v>490963.33587449399</v>
      </c>
      <c r="L144" s="4">
        <f>L132*$F20</f>
        <v>14567.539348085062</v>
      </c>
      <c r="M144" s="4">
        <f>(M132+L131)*$G20</f>
        <v>507583.22010793001</v>
      </c>
      <c r="O144" s="4">
        <f>O132*$F20</f>
        <v>13771.490340854314</v>
      </c>
      <c r="P144" s="4">
        <f>(P132+O131)*$G20</f>
        <v>532282.1235214161</v>
      </c>
      <c r="R144" s="4">
        <f>R132*$F20</f>
        <v>16568.575665019041</v>
      </c>
      <c r="S144" s="4">
        <f>(S132+R131)*$G20</f>
        <v>727821.39116115018</v>
      </c>
      <c r="U144" s="4">
        <f>U132*$F20</f>
        <v>56301.142979859804</v>
      </c>
      <c r="V144" s="4">
        <f>(V132+U131)*$G20</f>
        <v>2990982.2614607099</v>
      </c>
      <c r="X144" s="4">
        <f>X132*$F20</f>
        <v>40695.961070532234</v>
      </c>
      <c r="Y144" s="4">
        <f>(Y132+X131)*$G20</f>
        <v>398830.85617745435</v>
      </c>
      <c r="Z144" s="38"/>
    </row>
    <row r="145" spans="1:29" ht="17" x14ac:dyDescent="0.2">
      <c r="A145" s="38" t="s">
        <v>176</v>
      </c>
      <c r="B145" s="33" t="s">
        <v>163</v>
      </c>
      <c r="E145" s="10" t="s">
        <v>166</v>
      </c>
      <c r="F145" s="4">
        <f>F120-F123*F124-F121</f>
        <v>2175</v>
      </c>
      <c r="G145" s="4">
        <f>G120-F123*G124-G121+G53</f>
        <v>2700</v>
      </c>
      <c r="I145" s="4">
        <f>I120-I123*I124-I121</f>
        <v>2562.2727080288705</v>
      </c>
      <c r="J145" s="4">
        <f>J120-I123*J124-J121+J53</f>
        <v>2747.6675652559352</v>
      </c>
      <c r="L145" s="4">
        <f>L120-L123*L124-L121</f>
        <v>2265.9424845960316</v>
      </c>
      <c r="M145" s="4">
        <f>M120-L123*M124-M121+M53</f>
        <v>2147.4366200033164</v>
      </c>
      <c r="O145" s="4">
        <f>O120-O123*O124-O121</f>
        <v>2597.9719406896065</v>
      </c>
      <c r="P145" s="4">
        <f>P120-O123*P124-P121+P53</f>
        <v>3956.1625514657471</v>
      </c>
      <c r="R145" s="4">
        <f>R120-R123*R124-R121</f>
        <v>3496.5135200279619</v>
      </c>
      <c r="S145" s="4">
        <f>S120-R123*S124-S121+S53</f>
        <v>710.53905061433773</v>
      </c>
      <c r="U145" s="4">
        <f>U120-U123*U124-U121</f>
        <v>3220.9402866978717</v>
      </c>
      <c r="V145" s="4">
        <f>V120-U123*V124-V121+V53</f>
        <v>1542.284020487552</v>
      </c>
      <c r="X145" s="4">
        <f>X120-X123*X124-X121</f>
        <v>2371.0046951742552</v>
      </c>
      <c r="Y145" s="4">
        <f>Y120-X123*Y124-Y121+Y53</f>
        <v>131.62115338494641</v>
      </c>
      <c r="Z145" s="38"/>
    </row>
    <row r="146" spans="1:29" ht="17" x14ac:dyDescent="0.2">
      <c r="A146" s="38" t="s">
        <v>177</v>
      </c>
      <c r="B146" s="33" t="s">
        <v>163</v>
      </c>
      <c r="E146" s="10" t="s">
        <v>167</v>
      </c>
      <c r="F146" s="4">
        <f>(F120 - F121)*$F20</f>
        <v>1522.5</v>
      </c>
      <c r="G146" s="4">
        <f>(G120-G121+G53)*$G20</f>
        <v>2250</v>
      </c>
      <c r="I146" s="4">
        <f>(I120 - I121)*$F20</f>
        <v>1793.5908956202086</v>
      </c>
      <c r="J146" s="4">
        <f>(J120-J121+J53)*$G20</f>
        <v>2289.7229710466122</v>
      </c>
      <c r="L146" s="4">
        <f>(L120 - L121)*$F20</f>
        <v>1586.1597392172214</v>
      </c>
      <c r="M146" s="4">
        <f>(M120-M121+M53)*$G20</f>
        <v>1789.53051666943</v>
      </c>
      <c r="O146" s="4">
        <f>(O120 - O121)*$F20</f>
        <v>1818.580358482724</v>
      </c>
      <c r="P146" s="4">
        <f>(P120-P121+P53)*$G20</f>
        <v>3296.8021262214561</v>
      </c>
      <c r="R146" s="4">
        <f>(R120 - R121)*$F20</f>
        <v>2447.5594640195727</v>
      </c>
      <c r="S146" s="4">
        <f>(S120-S121+S53)*$G20</f>
        <v>592.11587551194816</v>
      </c>
      <c r="U146" s="4">
        <f>(U120 - U121)*$F20</f>
        <v>2254.6582006885105</v>
      </c>
      <c r="V146" s="4">
        <f>(V120-V121+V53)*$G20</f>
        <v>1285.2366837396262</v>
      </c>
      <c r="X146" s="4">
        <f>(X120 - X121)*$F20</f>
        <v>1659.7032866219784</v>
      </c>
      <c r="Y146" s="4">
        <f>(Y120-Y121+Y53)*$G20</f>
        <v>109.68429448745542</v>
      </c>
      <c r="Z146" s="38"/>
    </row>
    <row r="149" spans="1:29" x14ac:dyDescent="0.2">
      <c r="A149" s="24" t="s">
        <v>267</v>
      </c>
      <c r="F149" s="4">
        <f>F145+F121</f>
        <v>2425</v>
      </c>
      <c r="G149" s="4">
        <f>G145+G121</f>
        <v>3700</v>
      </c>
      <c r="I149" s="4">
        <f>I145+I121</f>
        <v>2878.4727080288703</v>
      </c>
      <c r="J149" s="4">
        <f>J145+J121</f>
        <v>3825.6675652559352</v>
      </c>
      <c r="L149" s="4">
        <f>L145+L121</f>
        <v>2567.5424845960315</v>
      </c>
      <c r="M149" s="4">
        <f>M145+M121</f>
        <v>3068.6366200033162</v>
      </c>
      <c r="O149" s="4">
        <f>O145+O121</f>
        <v>2926.9719406896065</v>
      </c>
      <c r="P149" s="4">
        <f>P145+P121</f>
        <v>5856.9625514657473</v>
      </c>
      <c r="R149" s="4">
        <f>R145+R121</f>
        <v>4016.5135200279619</v>
      </c>
      <c r="S149" s="4">
        <f>S145+S121</f>
        <v>1104.4390506143377</v>
      </c>
      <c r="U149" s="4">
        <f>U145+U121</f>
        <v>3622.7402866978719</v>
      </c>
      <c r="V149" s="4">
        <f>V145+V121</f>
        <v>2697.284020487552</v>
      </c>
      <c r="X149" s="4">
        <f>X145+X121</f>
        <v>2870.8046951742554</v>
      </c>
      <c r="Y149" s="4">
        <f>Y145+Y121</f>
        <v>1175.6211533849464</v>
      </c>
    </row>
    <row r="151" spans="1:29" x14ac:dyDescent="0.2">
      <c r="A151" s="38" t="s">
        <v>277</v>
      </c>
      <c r="B151" s="33" t="s">
        <v>163</v>
      </c>
      <c r="F151" s="4">
        <f>F123+F132+G132+F131</f>
        <v>2000000</v>
      </c>
      <c r="I151" s="4">
        <f>I123+I132+J132</f>
        <v>2049999.9999999998</v>
      </c>
      <c r="L151" s="4">
        <f>L123+L132+M132</f>
        <v>2110000</v>
      </c>
      <c r="O151" s="4">
        <f>O123+O132+P132</f>
        <v>2210000</v>
      </c>
      <c r="R151" s="4">
        <f>R123+R132+S132</f>
        <v>2999999.9999999995</v>
      </c>
      <c r="U151" s="4">
        <f>U123+U132+V132</f>
        <v>12243113.77041902</v>
      </c>
      <c r="X151" s="4">
        <f>X123+X132+Y132</f>
        <v>1794899.2617115006</v>
      </c>
      <c r="Z151" s="38"/>
    </row>
    <row r="152" spans="1:29" x14ac:dyDescent="0.2">
      <c r="F152" s="4">
        <f>F151/F32</f>
        <v>1</v>
      </c>
      <c r="I152" s="4">
        <f>I151/I32</f>
        <v>0.99999999999999989</v>
      </c>
      <c r="L152" s="4">
        <f>L151/L32</f>
        <v>1</v>
      </c>
      <c r="O152" s="4">
        <f>O151/O32</f>
        <v>1</v>
      </c>
      <c r="R152" s="4">
        <f>R151/R32</f>
        <v>0.99999999999999989</v>
      </c>
      <c r="U152" s="4">
        <f>U151/U32</f>
        <v>0.48972455081676081</v>
      </c>
      <c r="X152" s="4">
        <f>X151/X32</f>
        <v>0.71226161179027803</v>
      </c>
    </row>
    <row r="157" spans="1:29" x14ac:dyDescent="0.2">
      <c r="AA157">
        <v>0.1225</v>
      </c>
      <c r="AB157">
        <f>SUM(AA$6:AA157)</f>
        <v>1.2475000000000001</v>
      </c>
      <c r="AC157">
        <v>20</v>
      </c>
    </row>
    <row r="158" spans="1:29" x14ac:dyDescent="0.2">
      <c r="AA158">
        <v>0.12239999999999999</v>
      </c>
      <c r="AB158">
        <f>SUM(AA$6:AA158)</f>
        <v>1.3699000000000001</v>
      </c>
      <c r="AC158">
        <v>20</v>
      </c>
    </row>
    <row r="159" spans="1:29" x14ac:dyDescent="0.2">
      <c r="AA159">
        <v>0.12230000000000001</v>
      </c>
      <c r="AB159">
        <f>SUM(AA$6:AA159)</f>
        <v>1.4922000000000002</v>
      </c>
      <c r="AC159">
        <v>20</v>
      </c>
    </row>
  </sheetData>
  <mergeCells count="39">
    <mergeCell ref="D17:D18"/>
    <mergeCell ref="D69:D71"/>
    <mergeCell ref="D74:D77"/>
    <mergeCell ref="X5:Y5"/>
    <mergeCell ref="O5:P5"/>
    <mergeCell ref="R5:S5"/>
    <mergeCell ref="U5:V5"/>
    <mergeCell ref="F5:G5"/>
    <mergeCell ref="AD4:AF4"/>
    <mergeCell ref="H2:I2"/>
    <mergeCell ref="H3:I3"/>
    <mergeCell ref="I5:J5"/>
    <mergeCell ref="L5:M5"/>
    <mergeCell ref="D28:D29"/>
    <mergeCell ref="B37:B40"/>
    <mergeCell ref="A37:A40"/>
    <mergeCell ref="B61:B64"/>
    <mergeCell ref="A67:A70"/>
    <mergeCell ref="B67:B70"/>
    <mergeCell ref="B42:B45"/>
    <mergeCell ref="A42:A45"/>
    <mergeCell ref="A61:A64"/>
    <mergeCell ref="A55:A58"/>
    <mergeCell ref="B55:B58"/>
    <mergeCell ref="A100:A103"/>
    <mergeCell ref="B100:B103"/>
    <mergeCell ref="A48:A51"/>
    <mergeCell ref="B48:B51"/>
    <mergeCell ref="D48:D51"/>
    <mergeCell ref="A78:A82"/>
    <mergeCell ref="B78:B82"/>
    <mergeCell ref="B85:B88"/>
    <mergeCell ref="A95:A98"/>
    <mergeCell ref="B95:B98"/>
    <mergeCell ref="A90:A93"/>
    <mergeCell ref="B90:B93"/>
    <mergeCell ref="A72:A75"/>
    <mergeCell ref="B72:B75"/>
    <mergeCell ref="A85:A88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2026-02-02T23:35:18Z</dcterms:modified>
</cp:coreProperties>
</file>