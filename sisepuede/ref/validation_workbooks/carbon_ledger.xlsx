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suario/git/sisepuede/sisepuede/ref/validation_workbooks/"/>
    </mc:Choice>
  </mc:AlternateContent>
  <xr:revisionPtr revIDLastSave="0" documentId="13_ncr:1_{BB018337-E483-704D-B091-748AC3E41FDD}" xr6:coauthVersionLast="47" xr6:coauthVersionMax="47" xr10:uidLastSave="{00000000-0000-0000-0000-000000000000}"/>
  <bookViews>
    <workbookView xWindow="260" yWindow="760" windowWidth="33680" windowHeight="19400" activeTab="2" xr2:uid="{49B92464-5B50-C04B-B571-E5276F1DC1EA}"/>
  </bookViews>
  <sheets>
    <sheet name="Sheet1" sheetId="1" r:id="rId1"/>
    <sheet name="cl_1" sheetId="2" r:id="rId2"/>
    <sheet name="cl_2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136" i="3" l="1"/>
  <c r="X136" i="3"/>
  <c r="V136" i="3"/>
  <c r="U136" i="3"/>
  <c r="S136" i="3"/>
  <c r="R136" i="3"/>
  <c r="P136" i="3"/>
  <c r="O136" i="3"/>
  <c r="M136" i="3"/>
  <c r="L136" i="3"/>
  <c r="J136" i="3"/>
  <c r="I136" i="3"/>
  <c r="G136" i="3"/>
  <c r="F136" i="3"/>
  <c r="F135" i="3"/>
  <c r="J109" i="3"/>
  <c r="I109" i="3"/>
  <c r="G21" i="3"/>
  <c r="F118" i="3"/>
  <c r="F116" i="3"/>
  <c r="F21" i="3"/>
  <c r="M67" i="3" l="1"/>
  <c r="P68" i="3"/>
  <c r="G46" i="3"/>
  <c r="G50" i="3"/>
  <c r="G56" i="3"/>
  <c r="G90" i="3" s="1"/>
  <c r="J43" i="3"/>
  <c r="G55" i="3"/>
  <c r="F111" i="3"/>
  <c r="F112" i="3" s="1"/>
  <c r="G111" i="3"/>
  <c r="I107" i="3"/>
  <c r="F108" i="3"/>
  <c r="G108" i="3"/>
  <c r="J87" i="3"/>
  <c r="J86" i="3"/>
  <c r="F80" i="3"/>
  <c r="F79" i="3"/>
  <c r="F81" i="3"/>
  <c r="G48" i="3"/>
  <c r="G49" i="3"/>
  <c r="J44" i="3"/>
  <c r="M39" i="3"/>
  <c r="J38" i="3"/>
  <c r="J68" i="3" s="1"/>
  <c r="G37" i="3"/>
  <c r="H37" i="3" s="1"/>
  <c r="H38" i="3"/>
  <c r="G10" i="3"/>
  <c r="F22" i="3"/>
  <c r="M45" i="3"/>
  <c r="M58" i="3" s="1"/>
  <c r="M87" i="3"/>
  <c r="G13" i="3"/>
  <c r="G26" i="3" s="1"/>
  <c r="G51" i="3"/>
  <c r="J61" i="3"/>
  <c r="J45" i="3"/>
  <c r="J58" i="3" s="1"/>
  <c r="M44" i="3"/>
  <c r="M57" i="3" s="1"/>
  <c r="G57" i="3"/>
  <c r="G91" i="3" s="1"/>
  <c r="G58" i="3"/>
  <c r="G92" i="3" s="1"/>
  <c r="P45" i="3"/>
  <c r="P58" i="3" s="1"/>
  <c r="H36" i="3"/>
  <c r="K36" i="3"/>
  <c r="F29" i="3"/>
  <c r="G29" i="3" s="1"/>
  <c r="F107" i="3"/>
  <c r="F110" i="3" s="1"/>
  <c r="F82" i="3"/>
  <c r="AE10" i="3"/>
  <c r="F13" i="3"/>
  <c r="F26" i="3" s="1"/>
  <c r="Y107" i="3"/>
  <c r="X107" i="3"/>
  <c r="V107" i="3"/>
  <c r="U107" i="3"/>
  <c r="S107" i="3"/>
  <c r="R107" i="3"/>
  <c r="P107" i="3"/>
  <c r="O107" i="3"/>
  <c r="M107" i="3"/>
  <c r="L107" i="3"/>
  <c r="J107" i="3"/>
  <c r="G107" i="3"/>
  <c r="G110" i="3" s="1"/>
  <c r="G61" i="3"/>
  <c r="G85" i="3" s="1"/>
  <c r="P88" i="3"/>
  <c r="M88" i="3"/>
  <c r="Y64" i="3"/>
  <c r="Y88" i="3" s="1"/>
  <c r="Y63" i="3"/>
  <c r="Y87" i="3" s="1"/>
  <c r="Y62" i="3"/>
  <c r="Y86" i="3" s="1"/>
  <c r="Y61" i="3"/>
  <c r="V61" i="3"/>
  <c r="W36" i="3"/>
  <c r="J88" i="3"/>
  <c r="G87" i="3"/>
  <c r="G86" i="3"/>
  <c r="G88" i="3"/>
  <c r="G96" i="3"/>
  <c r="I86" i="3" s="1"/>
  <c r="G97" i="3"/>
  <c r="G98" i="3"/>
  <c r="I88" i="3" s="1"/>
  <c r="P40" i="3"/>
  <c r="T36" i="3"/>
  <c r="Q36" i="3"/>
  <c r="N36" i="3"/>
  <c r="P63" i="3"/>
  <c r="P87" i="3" s="1"/>
  <c r="M62" i="3"/>
  <c r="M86" i="3" s="1"/>
  <c r="S61" i="3"/>
  <c r="P61" i="3"/>
  <c r="G8" i="3"/>
  <c r="J8" i="3" s="1"/>
  <c r="F8" i="3"/>
  <c r="G52" i="3" l="1"/>
  <c r="G53" i="3" s="1"/>
  <c r="H39" i="3"/>
  <c r="G59" i="3"/>
  <c r="M70" i="3"/>
  <c r="J74" i="3"/>
  <c r="F113" i="3"/>
  <c r="G119" i="3"/>
  <c r="F125" i="3"/>
  <c r="F138" i="3" s="1"/>
  <c r="I110" i="3"/>
  <c r="P70" i="3"/>
  <c r="G95" i="3"/>
  <c r="J73" i="3"/>
  <c r="M69" i="3"/>
  <c r="F119" i="3"/>
  <c r="F120" i="3"/>
  <c r="J56" i="3"/>
  <c r="G67" i="3"/>
  <c r="G102" i="3"/>
  <c r="J75" i="3"/>
  <c r="G25" i="3"/>
  <c r="G11" i="3" s="1"/>
  <c r="I87" i="3"/>
  <c r="I7" i="3"/>
  <c r="I13" i="3" s="1"/>
  <c r="J57" i="3"/>
  <c r="G103" i="3"/>
  <c r="G101" i="3"/>
  <c r="G93" i="3"/>
  <c r="G112" i="3"/>
  <c r="G120" i="3" s="1"/>
  <c r="J110" i="3"/>
  <c r="J7" i="3"/>
  <c r="H40" i="3"/>
  <c r="G22" i="3"/>
  <c r="G117" i="3" l="1"/>
  <c r="J108" i="3"/>
  <c r="J13" i="3"/>
  <c r="F146" i="3"/>
  <c r="G121" i="3"/>
  <c r="G122" i="3" s="1"/>
  <c r="G146" i="3"/>
  <c r="G100" i="3"/>
  <c r="L7" i="3"/>
  <c r="L13" i="3" s="1"/>
  <c r="O7" i="3" s="1"/>
  <c r="O13" i="3" s="1"/>
  <c r="R7" i="3" s="1"/>
  <c r="R13" i="3" s="1"/>
  <c r="U7" i="3" s="1"/>
  <c r="U13" i="3" s="1"/>
  <c r="U26" i="3" s="1"/>
  <c r="I26" i="3"/>
  <c r="G113" i="3"/>
  <c r="I85" i="3"/>
  <c r="J85" i="3" s="1"/>
  <c r="I8" i="3"/>
  <c r="I108" i="3"/>
  <c r="F121" i="3"/>
  <c r="F122" i="3" s="1"/>
  <c r="G116" i="3"/>
  <c r="G118" i="3" s="1"/>
  <c r="J10" i="3"/>
  <c r="M8" i="3"/>
  <c r="U108" i="3" l="1"/>
  <c r="R108" i="3"/>
  <c r="F123" i="3"/>
  <c r="L26" i="3"/>
  <c r="O26" i="3"/>
  <c r="R26" i="3"/>
  <c r="L108" i="3"/>
  <c r="O108" i="3"/>
  <c r="G125" i="3"/>
  <c r="G135" i="3"/>
  <c r="J26" i="3"/>
  <c r="J25" i="3"/>
  <c r="J11" i="3" s="1"/>
  <c r="M7" i="3"/>
  <c r="P8" i="3"/>
  <c r="M108" i="3" l="1"/>
  <c r="M13" i="3"/>
  <c r="M26" i="3" s="1"/>
  <c r="G138" i="3"/>
  <c r="F139" i="3" s="1"/>
  <c r="G124" i="3"/>
  <c r="G145" i="3" s="1"/>
  <c r="F124" i="3"/>
  <c r="F145" i="3" s="1"/>
  <c r="I39" i="3"/>
  <c r="J50" i="3" s="1"/>
  <c r="I37" i="3"/>
  <c r="I38" i="3"/>
  <c r="J49" i="3" s="1"/>
  <c r="I40" i="3"/>
  <c r="J51" i="3" s="1"/>
  <c r="M10" i="3"/>
  <c r="S8" i="3"/>
  <c r="V62" i="3"/>
  <c r="V86" i="3" s="1"/>
  <c r="V63" i="3"/>
  <c r="V87" i="3" s="1"/>
  <c r="S62" i="3"/>
  <c r="S86" i="3" s="1"/>
  <c r="M61" i="3"/>
  <c r="S64" i="3"/>
  <c r="S88" i="3" s="1"/>
  <c r="V64" i="3"/>
  <c r="V88" i="3" s="1"/>
  <c r="S63" i="3"/>
  <c r="S87" i="3" s="1"/>
  <c r="P62" i="3"/>
  <c r="P86" i="3" s="1"/>
  <c r="AE14" i="3"/>
  <c r="AE16" i="3"/>
  <c r="AE17" i="3"/>
  <c r="AE18" i="3"/>
  <c r="AE19" i="3"/>
  <c r="AE21" i="3"/>
  <c r="AE22" i="3"/>
  <c r="AE23" i="3"/>
  <c r="AE24" i="3"/>
  <c r="AE25" i="3"/>
  <c r="AE26" i="3"/>
  <c r="AE27" i="3"/>
  <c r="AE12" i="3"/>
  <c r="AE9" i="3"/>
  <c r="AE11" i="3"/>
  <c r="AE8" i="3"/>
  <c r="AB159" i="3"/>
  <c r="AB158" i="3"/>
  <c r="AB157" i="3"/>
  <c r="AB138" i="3"/>
  <c r="AB137" i="3"/>
  <c r="AB136" i="3"/>
  <c r="AB135" i="3"/>
  <c r="AE7" i="3"/>
  <c r="AE6" i="3"/>
  <c r="W4" i="2"/>
  <c r="W7" i="2"/>
  <c r="U8" i="2"/>
  <c r="Q6" i="2"/>
  <c r="P6" i="2"/>
  <c r="R6" i="2"/>
  <c r="X4" i="2"/>
  <c r="X3" i="2"/>
  <c r="Y3" i="2"/>
  <c r="Y4" i="2"/>
  <c r="AI5" i="2"/>
  <c r="W5" i="2"/>
  <c r="R4" i="2"/>
  <c r="Z4" i="2" s="1"/>
  <c r="W3" i="2"/>
  <c r="U3" i="2"/>
  <c r="R3" i="2"/>
  <c r="L3" i="2"/>
  <c r="L4" i="2"/>
  <c r="L5" i="2" s="1"/>
  <c r="L6" i="2" s="1"/>
  <c r="L7" i="2" s="1"/>
  <c r="L8" i="2" s="1"/>
  <c r="L9" i="2" s="1"/>
  <c r="L10" i="2" s="1"/>
  <c r="L11" i="2" s="1"/>
  <c r="L12" i="2" s="1"/>
  <c r="L13" i="2" s="1"/>
  <c r="L14" i="2" s="1"/>
  <c r="L15" i="2" s="1"/>
  <c r="L16" i="2" s="1"/>
  <c r="L17" i="2" s="1"/>
  <c r="L18" i="2" s="1"/>
  <c r="L19" i="2" s="1"/>
  <c r="L20" i="2" s="1"/>
  <c r="L21" i="2" s="1"/>
  <c r="L22" i="2" s="1"/>
  <c r="L23" i="2" s="1"/>
  <c r="L24" i="2" s="1"/>
  <c r="L25" i="2" s="1"/>
  <c r="L26" i="2" s="1"/>
  <c r="L27" i="2" s="1"/>
  <c r="L28" i="2" s="1"/>
  <c r="L29" i="2" s="1"/>
  <c r="L30" i="2" s="1"/>
  <c r="M3" i="2"/>
  <c r="M4" i="2"/>
  <c r="AX4" i="2"/>
  <c r="AX5" i="2"/>
  <c r="AX6" i="2"/>
  <c r="AX7" i="2"/>
  <c r="AX8" i="2"/>
  <c r="AX9" i="2"/>
  <c r="AX10" i="2"/>
  <c r="AX11" i="2"/>
  <c r="AX12" i="2"/>
  <c r="AX13" i="2"/>
  <c r="AX14" i="2"/>
  <c r="AX15" i="2"/>
  <c r="AX16" i="2"/>
  <c r="AX17" i="2"/>
  <c r="AX18" i="2"/>
  <c r="AX19" i="2"/>
  <c r="AX20" i="2"/>
  <c r="AX21" i="2"/>
  <c r="AX22" i="2"/>
  <c r="AX23" i="2"/>
  <c r="AX24" i="2"/>
  <c r="AX25" i="2"/>
  <c r="AX26" i="2"/>
  <c r="AX27" i="2"/>
  <c r="AX28" i="2"/>
  <c r="AX29" i="2"/>
  <c r="AX30" i="2"/>
  <c r="AX3" i="2"/>
  <c r="V4" i="2"/>
  <c r="V5" i="2"/>
  <c r="V6" i="2"/>
  <c r="V7" i="2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3" i="2"/>
  <c r="AQ21" i="2"/>
  <c r="AJ23" i="2" s="1"/>
  <c r="AQ22" i="2"/>
  <c r="AI24" i="2" s="1"/>
  <c r="AQ23" i="2"/>
  <c r="AL25" i="2" s="1"/>
  <c r="AQ24" i="2"/>
  <c r="AI26" i="2" s="1"/>
  <c r="AQ25" i="2"/>
  <c r="AN27" i="2" s="1"/>
  <c r="AQ26" i="2"/>
  <c r="AI28" i="2" s="1"/>
  <c r="AQ27" i="2"/>
  <c r="AI29" i="2" s="1"/>
  <c r="AQ28" i="2"/>
  <c r="AJ30" i="2" s="1"/>
  <c r="AQ29" i="2"/>
  <c r="AQ30" i="2"/>
  <c r="AQ31" i="2"/>
  <c r="AQ20" i="2"/>
  <c r="AI22" i="2" s="1"/>
  <c r="AQ3" i="2"/>
  <c r="AN5" i="2" s="1"/>
  <c r="AQ4" i="2"/>
  <c r="AN6" i="2" s="1"/>
  <c r="AQ5" i="2"/>
  <c r="AI7" i="2" s="1"/>
  <c r="AQ6" i="2"/>
  <c r="AI8" i="2" s="1"/>
  <c r="AQ7" i="2"/>
  <c r="AJ9" i="2" s="1"/>
  <c r="AQ8" i="2"/>
  <c r="AI10" i="2" s="1"/>
  <c r="AQ9" i="2"/>
  <c r="AL11" i="2" s="1"/>
  <c r="AQ10" i="2"/>
  <c r="AI12" i="2" s="1"/>
  <c r="AQ11" i="2"/>
  <c r="AN13" i="2" s="1"/>
  <c r="AQ12" i="2"/>
  <c r="AI14" i="2" s="1"/>
  <c r="AQ13" i="2"/>
  <c r="AI15" i="2" s="1"/>
  <c r="AQ14" i="2"/>
  <c r="AJ16" i="2" s="1"/>
  <c r="AQ15" i="2"/>
  <c r="AI17" i="2" s="1"/>
  <c r="AQ16" i="2"/>
  <c r="AL18" i="2" s="1"/>
  <c r="AQ17" i="2"/>
  <c r="AI19" i="2" s="1"/>
  <c r="AQ18" i="2"/>
  <c r="AN20" i="2" s="1"/>
  <c r="AQ19" i="2"/>
  <c r="AI21" i="2" s="1"/>
  <c r="AQ2" i="2"/>
  <c r="AJ3" i="2" s="1"/>
  <c r="B20" i="1"/>
  <c r="B18" i="1"/>
  <c r="B17" i="1"/>
  <c r="F128" i="3" l="1"/>
  <c r="F140" i="3"/>
  <c r="J42" i="3"/>
  <c r="J37" i="3"/>
  <c r="M25" i="3"/>
  <c r="F149" i="3"/>
  <c r="J46" i="3"/>
  <c r="P7" i="3"/>
  <c r="P108" i="3" s="1"/>
  <c r="P13" i="3"/>
  <c r="P26" i="3" s="1"/>
  <c r="P10" i="3"/>
  <c r="V8" i="3"/>
  <c r="M5" i="2"/>
  <c r="M6" i="2" s="1"/>
  <c r="M7" i="2" s="1"/>
  <c r="M8" i="2" s="1"/>
  <c r="M9" i="2" s="1"/>
  <c r="M10" i="2" s="1"/>
  <c r="M11" i="2" s="1"/>
  <c r="M12" i="2" s="1"/>
  <c r="M13" i="2" s="1"/>
  <c r="M14" i="2" s="1"/>
  <c r="M15" i="2" s="1"/>
  <c r="M16" i="2" s="1"/>
  <c r="M17" i="2" s="1"/>
  <c r="M18" i="2" s="1"/>
  <c r="M19" i="2" s="1"/>
  <c r="M20" i="2" s="1"/>
  <c r="M21" i="2" s="1"/>
  <c r="M22" i="2" s="1"/>
  <c r="M23" i="2" s="1"/>
  <c r="M24" i="2" s="1"/>
  <c r="M25" i="2" s="1"/>
  <c r="M26" i="2" s="1"/>
  <c r="M27" i="2" s="1"/>
  <c r="M28" i="2" s="1"/>
  <c r="M29" i="2" s="1"/>
  <c r="M30" i="2" s="1"/>
  <c r="S30" i="2" s="1"/>
  <c r="AI30" i="2"/>
  <c r="AM27" i="2"/>
  <c r="AK25" i="2"/>
  <c r="AI23" i="2"/>
  <c r="AM20" i="2"/>
  <c r="AK18" i="2"/>
  <c r="AI16" i="2"/>
  <c r="AM13" i="2"/>
  <c r="AK11" i="2"/>
  <c r="AI9" i="2"/>
  <c r="AM6" i="2"/>
  <c r="AN29" i="2"/>
  <c r="AL27" i="2"/>
  <c r="AJ25" i="2"/>
  <c r="AN22" i="2"/>
  <c r="AL20" i="2"/>
  <c r="AJ18" i="2"/>
  <c r="AN15" i="2"/>
  <c r="AL13" i="2"/>
  <c r="AJ11" i="2"/>
  <c r="AN8" i="2"/>
  <c r="AL6" i="2"/>
  <c r="S28" i="2"/>
  <c r="AM29" i="2"/>
  <c r="AK27" i="2"/>
  <c r="AI25" i="2"/>
  <c r="AM22" i="2"/>
  <c r="AK20" i="2"/>
  <c r="AI18" i="2"/>
  <c r="AM15" i="2"/>
  <c r="AK13" i="2"/>
  <c r="AI11" i="2"/>
  <c r="AM8" i="2"/>
  <c r="AK6" i="2"/>
  <c r="AL29" i="2"/>
  <c r="AJ27" i="2"/>
  <c r="AN24" i="2"/>
  <c r="AL22" i="2"/>
  <c r="AJ20" i="2"/>
  <c r="AN17" i="2"/>
  <c r="AL15" i="2"/>
  <c r="AJ13" i="2"/>
  <c r="AN10" i="2"/>
  <c r="AL8" i="2"/>
  <c r="AJ6" i="2"/>
  <c r="AI4" i="2"/>
  <c r="AK29" i="2"/>
  <c r="AI27" i="2"/>
  <c r="AM24" i="2"/>
  <c r="AK22" i="2"/>
  <c r="AI20" i="2"/>
  <c r="AM17" i="2"/>
  <c r="AK15" i="2"/>
  <c r="AI13" i="2"/>
  <c r="AM10" i="2"/>
  <c r="AK8" i="2"/>
  <c r="AI6" i="2"/>
  <c r="AM4" i="2"/>
  <c r="AJ29" i="2"/>
  <c r="AN26" i="2"/>
  <c r="AL24" i="2"/>
  <c r="AJ22" i="2"/>
  <c r="AN19" i="2"/>
  <c r="AL17" i="2"/>
  <c r="AJ15" i="2"/>
  <c r="AN12" i="2"/>
  <c r="AL10" i="2"/>
  <c r="AJ8" i="2"/>
  <c r="AM5" i="2"/>
  <c r="B19" i="1"/>
  <c r="AL4" i="2"/>
  <c r="AM26" i="2"/>
  <c r="AK24" i="2"/>
  <c r="AM19" i="2"/>
  <c r="AK17" i="2"/>
  <c r="AM12" i="2"/>
  <c r="AK10" i="2"/>
  <c r="AL5" i="2"/>
  <c r="AK4" i="2"/>
  <c r="AN28" i="2"/>
  <c r="AL26" i="2"/>
  <c r="AJ24" i="2"/>
  <c r="AN21" i="2"/>
  <c r="AL19" i="2"/>
  <c r="AJ17" i="2"/>
  <c r="AN14" i="2"/>
  <c r="AL12" i="2"/>
  <c r="AJ10" i="2"/>
  <c r="AN7" i="2"/>
  <c r="AK5" i="2"/>
  <c r="AJ4" i="2"/>
  <c r="AM28" i="2"/>
  <c r="AK26" i="2"/>
  <c r="AM21" i="2"/>
  <c r="AK19" i="2"/>
  <c r="AM14" i="2"/>
  <c r="AK12" i="2"/>
  <c r="AM7" i="2"/>
  <c r="AJ5" i="2"/>
  <c r="AN30" i="2"/>
  <c r="AL28" i="2"/>
  <c r="AJ26" i="2"/>
  <c r="AN23" i="2"/>
  <c r="AL21" i="2"/>
  <c r="AJ19" i="2"/>
  <c r="AN16" i="2"/>
  <c r="AL14" i="2"/>
  <c r="AJ12" i="2"/>
  <c r="AN9" i="2"/>
  <c r="AL7" i="2"/>
  <c r="S20" i="2"/>
  <c r="AM30" i="2"/>
  <c r="AK28" i="2"/>
  <c r="AM23" i="2"/>
  <c r="AK21" i="2"/>
  <c r="AM16" i="2"/>
  <c r="AK14" i="2"/>
  <c r="AM9" i="2"/>
  <c r="AK7" i="2"/>
  <c r="AN4" i="2"/>
  <c r="S5" i="2"/>
  <c r="AL30" i="2"/>
  <c r="AJ28" i="2"/>
  <c r="AN25" i="2"/>
  <c r="AL23" i="2"/>
  <c r="AJ21" i="2"/>
  <c r="AN18" i="2"/>
  <c r="AL16" i="2"/>
  <c r="AJ14" i="2"/>
  <c r="AN11" i="2"/>
  <c r="AL9" i="2"/>
  <c r="AJ7" i="2"/>
  <c r="S3" i="2"/>
  <c r="S18" i="2"/>
  <c r="AK30" i="2"/>
  <c r="AM25" i="2"/>
  <c r="AK23" i="2"/>
  <c r="AM18" i="2"/>
  <c r="AK16" i="2"/>
  <c r="AM11" i="2"/>
  <c r="AK9" i="2"/>
  <c r="S4" i="2"/>
  <c r="V24" i="2"/>
  <c r="AI3" i="2"/>
  <c r="AN3" i="2"/>
  <c r="AM3" i="2"/>
  <c r="AL3" i="2"/>
  <c r="AK3" i="2"/>
  <c r="J55" i="3" l="1"/>
  <c r="J72" i="3"/>
  <c r="F129" i="3"/>
  <c r="F130" i="3" s="1"/>
  <c r="F131" i="3" s="1"/>
  <c r="G139" i="3"/>
  <c r="G140" i="3" s="1"/>
  <c r="J67" i="3"/>
  <c r="K38" i="3"/>
  <c r="K39" i="3"/>
  <c r="J48" i="3"/>
  <c r="J52" i="3" s="1"/>
  <c r="J53" i="3" s="1"/>
  <c r="J59" i="3"/>
  <c r="M11" i="3"/>
  <c r="P25" i="3"/>
  <c r="S7" i="3"/>
  <c r="S13" i="3" s="1"/>
  <c r="S26" i="3" s="1"/>
  <c r="Y8" i="3"/>
  <c r="K37" i="3"/>
  <c r="L8" i="3"/>
  <c r="S19" i="2"/>
  <c r="S10" i="2"/>
  <c r="S13" i="2"/>
  <c r="S24" i="2"/>
  <c r="S11" i="2"/>
  <c r="S12" i="2"/>
  <c r="S27" i="2"/>
  <c r="S25" i="2"/>
  <c r="S17" i="2"/>
  <c r="S23" i="2"/>
  <c r="S26" i="2"/>
  <c r="S8" i="2"/>
  <c r="S9" i="2"/>
  <c r="S22" i="2"/>
  <c r="S6" i="2"/>
  <c r="S7" i="2"/>
  <c r="S16" i="2"/>
  <c r="S21" i="2"/>
  <c r="S15" i="2"/>
  <c r="S14" i="2"/>
  <c r="S29" i="2"/>
  <c r="O3" i="2"/>
  <c r="P3" i="2" s="1"/>
  <c r="R5" i="2"/>
  <c r="V25" i="2"/>
  <c r="V27" i="2"/>
  <c r="V30" i="2"/>
  <c r="V29" i="2"/>
  <c r="V28" i="2"/>
  <c r="V26" i="2"/>
  <c r="G132" i="3" l="1"/>
  <c r="G133" i="3"/>
  <c r="G144" i="3"/>
  <c r="G143" i="3"/>
  <c r="S108" i="3"/>
  <c r="G81" i="3"/>
  <c r="G149" i="3"/>
  <c r="F132" i="3"/>
  <c r="I79" i="3"/>
  <c r="I82" i="3"/>
  <c r="J76" i="3"/>
  <c r="I80" i="3"/>
  <c r="I81" i="3"/>
  <c r="S10" i="3"/>
  <c r="L37" i="3"/>
  <c r="M37" i="3" s="1"/>
  <c r="L38" i="3"/>
  <c r="M38" i="3" s="1"/>
  <c r="M68" i="3" s="1"/>
  <c r="S25" i="3"/>
  <c r="V7" i="3"/>
  <c r="Y7" i="3" s="1"/>
  <c r="Y13" i="3" s="1"/>
  <c r="Y26" i="3" s="1"/>
  <c r="P11" i="3"/>
  <c r="K40" i="3"/>
  <c r="O8" i="3"/>
  <c r="Q3" i="2"/>
  <c r="AA4" i="2" s="1"/>
  <c r="F144" i="3" l="1"/>
  <c r="F143" i="3"/>
  <c r="F151" i="3"/>
  <c r="V10" i="3"/>
  <c r="V108" i="3"/>
  <c r="F133" i="3"/>
  <c r="V13" i="3"/>
  <c r="V26" i="3" s="1"/>
  <c r="Y25" i="3"/>
  <c r="S11" i="3"/>
  <c r="Y10" i="3"/>
  <c r="Y11" i="3" s="1"/>
  <c r="Y108" i="3"/>
  <c r="G79" i="3"/>
  <c r="N37" i="3"/>
  <c r="O37" i="3" s="1"/>
  <c r="P37" i="3" s="1"/>
  <c r="P67" i="3" s="1"/>
  <c r="L39" i="3"/>
  <c r="M50" i="3" s="1"/>
  <c r="L40" i="3"/>
  <c r="M51" i="3" s="1"/>
  <c r="R8" i="3"/>
  <c r="F4" i="2"/>
  <c r="R7" i="2"/>
  <c r="G4" i="2"/>
  <c r="K4" i="2"/>
  <c r="J4" i="2"/>
  <c r="V25" i="3" l="1"/>
  <c r="V11" i="3" s="1"/>
  <c r="I111" i="3"/>
  <c r="L109" i="3" s="1"/>
  <c r="N38" i="3"/>
  <c r="O38" i="3" s="1"/>
  <c r="P38" i="3" s="1"/>
  <c r="F152" i="3"/>
  <c r="G80" i="3"/>
  <c r="G82" i="3"/>
  <c r="U8" i="3"/>
  <c r="X7" i="3"/>
  <c r="X108" i="3" s="1"/>
  <c r="Q37" i="3"/>
  <c r="R37" i="3" s="1"/>
  <c r="S37" i="3" s="1"/>
  <c r="S67" i="3" s="1"/>
  <c r="U4" i="2"/>
  <c r="R8" i="2"/>
  <c r="I119" i="3" l="1"/>
  <c r="N39" i="3"/>
  <c r="N40" i="3"/>
  <c r="O39" i="3"/>
  <c r="P39" i="3" s="1"/>
  <c r="J111" i="3"/>
  <c r="M109" i="3" s="1"/>
  <c r="Q38" i="3"/>
  <c r="R38" i="3" s="1"/>
  <c r="S38" i="3" s="1"/>
  <c r="S68" i="3" s="1"/>
  <c r="O40" i="3"/>
  <c r="P51" i="3" s="1"/>
  <c r="X8" i="3"/>
  <c r="X13" i="3"/>
  <c r="T37" i="3"/>
  <c r="U37" i="3" s="1"/>
  <c r="V37" i="3" s="1"/>
  <c r="V67" i="3" s="1"/>
  <c r="O4" i="2"/>
  <c r="P4" i="2" s="1"/>
  <c r="X5" i="2" s="1"/>
  <c r="Z5" i="2" s="1"/>
  <c r="J5" i="2" s="1"/>
  <c r="R9" i="2"/>
  <c r="Q40" i="3" l="1"/>
  <c r="P69" i="3"/>
  <c r="Q39" i="3"/>
  <c r="J119" i="3"/>
  <c r="X26" i="3"/>
  <c r="M110" i="3"/>
  <c r="J112" i="3"/>
  <c r="I112" i="3"/>
  <c r="L110" i="3"/>
  <c r="R40" i="3"/>
  <c r="S40" i="3" s="1"/>
  <c r="S70" i="3" s="1"/>
  <c r="R39" i="3"/>
  <c r="S39" i="3" s="1"/>
  <c r="T38" i="3"/>
  <c r="U38" i="3" s="1"/>
  <c r="V38" i="3" s="1"/>
  <c r="V68" i="3" s="1"/>
  <c r="W37" i="3"/>
  <c r="X37" i="3" s="1"/>
  <c r="Y37" i="3" s="1"/>
  <c r="Y67" i="3" s="1"/>
  <c r="Q4" i="2"/>
  <c r="Y5" i="2" s="1"/>
  <c r="AA5" i="2" s="1"/>
  <c r="F5" i="2"/>
  <c r="R10" i="2"/>
  <c r="I113" i="3" l="1"/>
  <c r="I125" i="3" s="1"/>
  <c r="J120" i="3"/>
  <c r="J146" i="3" s="1"/>
  <c r="J113" i="3"/>
  <c r="J125" i="3" s="1"/>
  <c r="I120" i="3"/>
  <c r="I116" i="3"/>
  <c r="I118" i="3" s="1"/>
  <c r="S69" i="3"/>
  <c r="J116" i="3"/>
  <c r="T40" i="3"/>
  <c r="T39" i="3"/>
  <c r="U39" i="3" s="1"/>
  <c r="V39" i="3" s="1"/>
  <c r="W38" i="3"/>
  <c r="X38" i="3" s="1"/>
  <c r="Y38" i="3" s="1"/>
  <c r="Y68" i="3" s="1"/>
  <c r="R11" i="2"/>
  <c r="G5" i="2"/>
  <c r="U5" i="2" s="1"/>
  <c r="O5" i="2" s="1"/>
  <c r="Q5" i="2" s="1"/>
  <c r="K5" i="2"/>
  <c r="V69" i="3" l="1"/>
  <c r="J135" i="3"/>
  <c r="I146" i="3"/>
  <c r="I121" i="3"/>
  <c r="I122" i="3" s="1"/>
  <c r="J121" i="3"/>
  <c r="J122" i="3" s="1"/>
  <c r="I135" i="3"/>
  <c r="U40" i="3"/>
  <c r="V40" i="3" s="1"/>
  <c r="W39" i="3"/>
  <c r="X39" i="3" s="1"/>
  <c r="Y39" i="3" s="1"/>
  <c r="Y6" i="2"/>
  <c r="AA6" i="2" s="1"/>
  <c r="K6" i="2" s="1"/>
  <c r="R12" i="2"/>
  <c r="P5" i="2"/>
  <c r="X6" i="2" s="1"/>
  <c r="Z6" i="2" s="1"/>
  <c r="J6" i="2" s="1"/>
  <c r="I138" i="3" l="1"/>
  <c r="W40" i="3"/>
  <c r="V70" i="3"/>
  <c r="Y69" i="3"/>
  <c r="J124" i="3"/>
  <c r="I124" i="3"/>
  <c r="I123" i="3"/>
  <c r="J145" i="3" s="1"/>
  <c r="J138" i="3"/>
  <c r="X40" i="3"/>
  <c r="Y40" i="3" s="1"/>
  <c r="G6" i="2"/>
  <c r="R13" i="2"/>
  <c r="F6" i="2"/>
  <c r="U6" i="2" s="1"/>
  <c r="W6" i="2" s="1"/>
  <c r="O6" i="2" s="1"/>
  <c r="I145" i="3" l="1"/>
  <c r="I139" i="3"/>
  <c r="I140" i="3" s="1"/>
  <c r="Y70" i="3"/>
  <c r="I149" i="3"/>
  <c r="I128" i="3"/>
  <c r="R14" i="2"/>
  <c r="Y7" i="2"/>
  <c r="AA7" i="2" s="1"/>
  <c r="J139" i="3" l="1"/>
  <c r="J140" i="3" s="1"/>
  <c r="I129" i="3"/>
  <c r="I132" i="3" s="1"/>
  <c r="I133" i="3" s="1"/>
  <c r="X7" i="2"/>
  <c r="Z7" i="2" s="1"/>
  <c r="R15" i="2"/>
  <c r="G7" i="2"/>
  <c r="K7" i="2"/>
  <c r="I130" i="3" l="1"/>
  <c r="I131" i="3" s="1"/>
  <c r="J149" i="3" s="1"/>
  <c r="I144" i="3"/>
  <c r="I143" i="3"/>
  <c r="J132" i="3"/>
  <c r="J7" i="2"/>
  <c r="F7" i="2"/>
  <c r="U7" i="2" s="1"/>
  <c r="O7" i="2" s="1"/>
  <c r="R16" i="2"/>
  <c r="J80" i="3" l="1"/>
  <c r="J91" i="3" s="1"/>
  <c r="J79" i="3"/>
  <c r="J81" i="3"/>
  <c r="J92" i="3" s="1"/>
  <c r="J133" i="3"/>
  <c r="J144" i="3"/>
  <c r="I151" i="3"/>
  <c r="I152" i="3" s="1"/>
  <c r="J82" i="3"/>
  <c r="J93" i="3" s="1"/>
  <c r="P7" i="2"/>
  <c r="X8" i="2" s="1"/>
  <c r="Z8" i="2" s="1"/>
  <c r="Q7" i="2"/>
  <c r="Y8" i="2" s="1"/>
  <c r="AA8" i="2" s="1"/>
  <c r="G8" i="2" s="1"/>
  <c r="J8" i="2"/>
  <c r="R17" i="2"/>
  <c r="F8" i="2"/>
  <c r="J90" i="3" l="1"/>
  <c r="J96" i="3"/>
  <c r="J97" i="3"/>
  <c r="J102" i="3" s="1"/>
  <c r="J98" i="3"/>
  <c r="L111" i="3"/>
  <c r="O109" i="3" s="1"/>
  <c r="K8" i="2"/>
  <c r="W8" i="2"/>
  <c r="R18" i="2"/>
  <c r="J95" i="3" l="1"/>
  <c r="J143" i="3"/>
  <c r="M111" i="3" s="1"/>
  <c r="P109" i="3" s="1"/>
  <c r="J117" i="3"/>
  <c r="J100" i="3"/>
  <c r="M74" i="3"/>
  <c r="L85" i="3"/>
  <c r="M85" i="3" s="1"/>
  <c r="M42" i="3"/>
  <c r="M55" i="3" s="1"/>
  <c r="L119" i="3"/>
  <c r="M75" i="3"/>
  <c r="J103" i="3"/>
  <c r="L88" i="3"/>
  <c r="M43" i="3"/>
  <c r="L87" i="3"/>
  <c r="L112" i="3"/>
  <c r="O110" i="3"/>
  <c r="O8" i="2"/>
  <c r="Q8" i="2" s="1"/>
  <c r="Y9" i="2" s="1"/>
  <c r="AA9" i="2" s="1"/>
  <c r="R19" i="2"/>
  <c r="M112" i="3" l="1"/>
  <c r="M119" i="3"/>
  <c r="P110" i="3"/>
  <c r="M49" i="3"/>
  <c r="M56" i="3"/>
  <c r="M48" i="3"/>
  <c r="M72" i="3"/>
  <c r="L79" i="3" s="1"/>
  <c r="J118" i="3"/>
  <c r="L86" i="3"/>
  <c r="L120" i="3"/>
  <c r="L116" i="3"/>
  <c r="L118" i="3" s="1"/>
  <c r="J101" i="3"/>
  <c r="L113" i="3"/>
  <c r="L125" i="3" s="1"/>
  <c r="G9" i="2"/>
  <c r="K9" i="2"/>
  <c r="P8" i="2"/>
  <c r="X9" i="2" s="1"/>
  <c r="Z9" i="2" s="1"/>
  <c r="J9" i="2" s="1"/>
  <c r="F9" i="2"/>
  <c r="U9" i="2" s="1"/>
  <c r="W9" i="2" s="1"/>
  <c r="O9" i="2" s="1"/>
  <c r="P9" i="2" s="1"/>
  <c r="X10" i="2" s="1"/>
  <c r="Z10" i="2" s="1"/>
  <c r="J10" i="2" s="1"/>
  <c r="R20" i="2"/>
  <c r="M113" i="3" l="1"/>
  <c r="M125" i="3" s="1"/>
  <c r="M116" i="3"/>
  <c r="M120" i="3"/>
  <c r="M52" i="3"/>
  <c r="M59" i="3"/>
  <c r="M73" i="3"/>
  <c r="L81" i="3" s="1"/>
  <c r="L146" i="3"/>
  <c r="L121" i="3"/>
  <c r="L122" i="3" s="1"/>
  <c r="L135" i="3"/>
  <c r="M46" i="3"/>
  <c r="M53" i="3" s="1"/>
  <c r="Q9" i="2"/>
  <c r="Y10" i="2" s="1"/>
  <c r="AA10" i="2" s="1"/>
  <c r="G10" i="2" s="1"/>
  <c r="R21" i="2"/>
  <c r="F10" i="2"/>
  <c r="M146" i="3" l="1"/>
  <c r="M121" i="3"/>
  <c r="M135" i="3"/>
  <c r="L138" i="3"/>
  <c r="L80" i="3"/>
  <c r="L82" i="3"/>
  <c r="M76" i="3"/>
  <c r="U10" i="2"/>
  <c r="W10" i="2" s="1"/>
  <c r="O10" i="2" s="1"/>
  <c r="Q10" i="2" s="1"/>
  <c r="K10" i="2"/>
  <c r="R22" i="2"/>
  <c r="M138" i="3" l="1"/>
  <c r="L139" i="3" s="1"/>
  <c r="M122" i="3"/>
  <c r="M124" i="3" s="1"/>
  <c r="Y11" i="2"/>
  <c r="P10" i="2"/>
  <c r="X11" i="2" s="1"/>
  <c r="Z11" i="2" s="1"/>
  <c r="J11" i="2" s="1"/>
  <c r="R23" i="2"/>
  <c r="L123" i="3" l="1"/>
  <c r="M145" i="3" s="1"/>
  <c r="L124" i="3"/>
  <c r="L140" i="3"/>
  <c r="M139" i="3"/>
  <c r="M140" i="3" s="1"/>
  <c r="AA11" i="2"/>
  <c r="G11" i="2" s="1"/>
  <c r="F11" i="2"/>
  <c r="U11" i="2" s="1"/>
  <c r="W11" i="2" s="1"/>
  <c r="O11" i="2" s="1"/>
  <c r="P11" i="2" s="1"/>
  <c r="X12" i="2" s="1"/>
  <c r="Z12" i="2" s="1"/>
  <c r="J12" i="2" s="1"/>
  <c r="R24" i="2"/>
  <c r="L128" i="3" l="1"/>
  <c r="L129" i="3" s="1"/>
  <c r="L132" i="3" s="1"/>
  <c r="L133" i="3" s="1"/>
  <c r="L145" i="3"/>
  <c r="L149" i="3" s="1"/>
  <c r="K11" i="2"/>
  <c r="Q11" i="2"/>
  <c r="R25" i="2"/>
  <c r="F12" i="2"/>
  <c r="M132" i="3" l="1"/>
  <c r="L143" i="3"/>
  <c r="O111" i="3" s="1"/>
  <c r="R109" i="3" s="1"/>
  <c r="R110" i="3" s="1"/>
  <c r="L144" i="3"/>
  <c r="L130" i="3"/>
  <c r="L131" i="3" s="1"/>
  <c r="M149" i="3" s="1"/>
  <c r="L151" i="3"/>
  <c r="L152" i="3" s="1"/>
  <c r="O119" i="3"/>
  <c r="O112" i="3"/>
  <c r="Y12" i="2"/>
  <c r="AA12" i="2" s="1"/>
  <c r="R26" i="2"/>
  <c r="M133" i="3" l="1"/>
  <c r="M144" i="3"/>
  <c r="M82" i="3"/>
  <c r="M93" i="3" s="1"/>
  <c r="M81" i="3"/>
  <c r="M92" i="3" s="1"/>
  <c r="M80" i="3"/>
  <c r="M91" i="3" s="1"/>
  <c r="M96" i="3" s="1"/>
  <c r="P43" i="3" s="1"/>
  <c r="P49" i="3" s="1"/>
  <c r="M79" i="3"/>
  <c r="M90" i="3" s="1"/>
  <c r="M98" i="3"/>
  <c r="O88" i="3" s="1"/>
  <c r="M97" i="3"/>
  <c r="O87" i="3" s="1"/>
  <c r="O120" i="3"/>
  <c r="O116" i="3"/>
  <c r="O118" i="3" s="1"/>
  <c r="O113" i="3"/>
  <c r="O125" i="3" s="1"/>
  <c r="G12" i="2"/>
  <c r="U12" i="2" s="1"/>
  <c r="W12" i="2" s="1"/>
  <c r="O12" i="2" s="1"/>
  <c r="Q12" i="2" s="1"/>
  <c r="K12" i="2"/>
  <c r="R27" i="2"/>
  <c r="M95" i="3" l="1"/>
  <c r="M100" i="3" s="1"/>
  <c r="M143" i="3"/>
  <c r="P111" i="3" s="1"/>
  <c r="P42" i="3"/>
  <c r="P55" i="3" s="1"/>
  <c r="M101" i="3"/>
  <c r="P44" i="3"/>
  <c r="P50" i="3" s="1"/>
  <c r="P75" i="3"/>
  <c r="P56" i="3"/>
  <c r="O85" i="3"/>
  <c r="P85" i="3" s="1"/>
  <c r="M102" i="3"/>
  <c r="P73" i="3"/>
  <c r="O86" i="3"/>
  <c r="M117" i="3"/>
  <c r="M118" i="3" s="1"/>
  <c r="M103" i="3"/>
  <c r="O121" i="3"/>
  <c r="O122" i="3" s="1"/>
  <c r="O146" i="3"/>
  <c r="O135" i="3"/>
  <c r="Y13" i="2"/>
  <c r="AA13" i="2" s="1"/>
  <c r="G13" i="2" s="1"/>
  <c r="P12" i="2"/>
  <c r="X13" i="2" s="1"/>
  <c r="Z13" i="2" s="1"/>
  <c r="J13" i="2" s="1"/>
  <c r="R28" i="2"/>
  <c r="P119" i="3" l="1"/>
  <c r="S109" i="3"/>
  <c r="S110" i="3" s="1"/>
  <c r="P112" i="3"/>
  <c r="P48" i="3"/>
  <c r="P52" i="3" s="1"/>
  <c r="P72" i="3"/>
  <c r="O79" i="3" s="1"/>
  <c r="P116" i="3"/>
  <c r="P113" i="3"/>
  <c r="P120" i="3"/>
  <c r="P74" i="3"/>
  <c r="P57" i="3"/>
  <c r="P46" i="3"/>
  <c r="P59" i="3"/>
  <c r="O80" i="3"/>
  <c r="O138" i="3"/>
  <c r="K13" i="2"/>
  <c r="F13" i="2"/>
  <c r="U13" i="2" s="1"/>
  <c r="W13" i="2" s="1"/>
  <c r="O13" i="2" s="1"/>
  <c r="Q13" i="2" s="1"/>
  <c r="Y14" i="2" s="1"/>
  <c r="AA14" i="2" s="1"/>
  <c r="G14" i="2" s="1"/>
  <c r="R30" i="2"/>
  <c r="R29" i="2"/>
  <c r="O82" i="3" l="1"/>
  <c r="P121" i="3"/>
  <c r="P53" i="3"/>
  <c r="P146" i="3" s="1"/>
  <c r="P125" i="3"/>
  <c r="P135" i="3"/>
  <c r="O81" i="3"/>
  <c r="P76" i="3"/>
  <c r="K14" i="2"/>
  <c r="P13" i="2"/>
  <c r="X14" i="2" s="1"/>
  <c r="Z14" i="2" s="1"/>
  <c r="J14" i="2" s="1"/>
  <c r="P122" i="3" l="1"/>
  <c r="P124" i="3" s="1"/>
  <c r="P138" i="3"/>
  <c r="O139" i="3" s="1"/>
  <c r="O140" i="3" s="1"/>
  <c r="F14" i="2"/>
  <c r="U14" i="2" s="1"/>
  <c r="W14" i="2" s="1"/>
  <c r="O14" i="2" s="1"/>
  <c r="P14" i="2" s="1"/>
  <c r="X15" i="2" s="1"/>
  <c r="Z15" i="2" s="1"/>
  <c r="J15" i="2" s="1"/>
  <c r="O124" i="3" l="1"/>
  <c r="P139" i="3"/>
  <c r="P140" i="3" s="1"/>
  <c r="O123" i="3"/>
  <c r="O128" i="3" s="1"/>
  <c r="O129" i="3" s="1"/>
  <c r="O132" i="3" s="1"/>
  <c r="O133" i="3" s="1"/>
  <c r="F15" i="2"/>
  <c r="Q14" i="2"/>
  <c r="Y15" i="2" s="1"/>
  <c r="AA15" i="2" s="1"/>
  <c r="G15" i="2" s="1"/>
  <c r="U15" i="2" s="1"/>
  <c r="W15" i="2" s="1"/>
  <c r="O15" i="2" s="1"/>
  <c r="Q15" i="2" s="1"/>
  <c r="O145" i="3" l="1"/>
  <c r="O149" i="3" s="1"/>
  <c r="P145" i="3"/>
  <c r="O144" i="3"/>
  <c r="P132" i="3"/>
  <c r="O151" i="3" s="1"/>
  <c r="O152" i="3" s="1"/>
  <c r="O143" i="3"/>
  <c r="O130" i="3"/>
  <c r="O131" i="3" s="1"/>
  <c r="P80" i="3" s="1"/>
  <c r="R111" i="3"/>
  <c r="U109" i="3" s="1"/>
  <c r="K15" i="2"/>
  <c r="Y16" i="2" s="1"/>
  <c r="AA16" i="2" s="1"/>
  <c r="G16" i="2" s="1"/>
  <c r="P15" i="2"/>
  <c r="X16" i="2" s="1"/>
  <c r="Z16" i="2" s="1"/>
  <c r="J16" i="2" s="1"/>
  <c r="P82" i="3" l="1"/>
  <c r="P93" i="3" s="1"/>
  <c r="P144" i="3"/>
  <c r="P81" i="3"/>
  <c r="P92" i="3" s="1"/>
  <c r="P91" i="3"/>
  <c r="P96" i="3" s="1"/>
  <c r="P133" i="3"/>
  <c r="P79" i="3"/>
  <c r="P90" i="3" s="1"/>
  <c r="P149" i="3"/>
  <c r="P98" i="3"/>
  <c r="R119" i="3"/>
  <c r="R112" i="3"/>
  <c r="U110" i="3"/>
  <c r="K16" i="2"/>
  <c r="F16" i="2"/>
  <c r="U16" i="2" s="1"/>
  <c r="W16" i="2" s="1"/>
  <c r="O16" i="2" s="1"/>
  <c r="P16" i="2" s="1"/>
  <c r="X17" i="2" s="1"/>
  <c r="Z17" i="2" s="1"/>
  <c r="J17" i="2" s="1"/>
  <c r="P97" i="3" l="1"/>
  <c r="P143" i="3"/>
  <c r="S111" i="3" s="1"/>
  <c r="P95" i="3"/>
  <c r="P117" i="3" s="1"/>
  <c r="P118" i="3" s="1"/>
  <c r="P101" i="3"/>
  <c r="R86" i="3"/>
  <c r="S43" i="3"/>
  <c r="S49" i="3" s="1"/>
  <c r="S42" i="3"/>
  <c r="S48" i="3" s="1"/>
  <c r="R85" i="3"/>
  <c r="S85" i="3" s="1"/>
  <c r="P100" i="3"/>
  <c r="R87" i="3"/>
  <c r="P103" i="3"/>
  <c r="S45" i="3"/>
  <c r="S51" i="3" s="1"/>
  <c r="S44" i="3"/>
  <c r="S50" i="3" s="1"/>
  <c r="P102" i="3"/>
  <c r="R88" i="3"/>
  <c r="R120" i="3"/>
  <c r="R116" i="3"/>
  <c r="R118" i="3" s="1"/>
  <c r="R113" i="3"/>
  <c r="R125" i="3" s="1"/>
  <c r="Q16" i="2"/>
  <c r="Y17" i="2" s="1"/>
  <c r="AA17" i="2" s="1"/>
  <c r="K17" i="2" s="1"/>
  <c r="F17" i="2"/>
  <c r="S112" i="3" l="1"/>
  <c r="S120" i="3" s="1"/>
  <c r="V109" i="3"/>
  <c r="V110" i="3" s="1"/>
  <c r="S73" i="3"/>
  <c r="S72" i="3"/>
  <c r="R80" i="3" s="1"/>
  <c r="S56" i="3"/>
  <c r="S74" i="3"/>
  <c r="S119" i="3"/>
  <c r="S113" i="3"/>
  <c r="S125" i="3" s="1"/>
  <c r="S116" i="3"/>
  <c r="S55" i="3"/>
  <c r="S52" i="3"/>
  <c r="S75" i="3"/>
  <c r="S58" i="3"/>
  <c r="S46" i="3"/>
  <c r="S57" i="3"/>
  <c r="R121" i="3"/>
  <c r="R122" i="3" s="1"/>
  <c r="R146" i="3"/>
  <c r="S121" i="3"/>
  <c r="R135" i="3"/>
  <c r="G17" i="2"/>
  <c r="U17" i="2" s="1"/>
  <c r="W17" i="2" s="1"/>
  <c r="O17" i="2" s="1"/>
  <c r="P17" i="2" s="1"/>
  <c r="X18" i="2" s="1"/>
  <c r="Z18" i="2" s="1"/>
  <c r="J18" i="2" s="1"/>
  <c r="S53" i="3" l="1"/>
  <c r="S146" i="3" s="1"/>
  <c r="R79" i="3"/>
  <c r="R82" i="3"/>
  <c r="S135" i="3"/>
  <c r="S138" i="3" s="1"/>
  <c r="S59" i="3"/>
  <c r="S76" i="3"/>
  <c r="R81" i="3"/>
  <c r="R138" i="3"/>
  <c r="Q17" i="2"/>
  <c r="Y18" i="2" s="1"/>
  <c r="AA18" i="2" s="1"/>
  <c r="G18" i="2" s="1"/>
  <c r="F18" i="2"/>
  <c r="S122" i="3" l="1"/>
  <c r="R139" i="3"/>
  <c r="S139" i="3" s="1"/>
  <c r="S140" i="3" s="1"/>
  <c r="K18" i="2"/>
  <c r="U18" i="2"/>
  <c r="W18" i="2" s="1"/>
  <c r="O18" i="2" s="1"/>
  <c r="Q18" i="2" s="1"/>
  <c r="R124" i="3" l="1"/>
  <c r="R123" i="3"/>
  <c r="S124" i="3"/>
  <c r="R140" i="3"/>
  <c r="Y19" i="2"/>
  <c r="AA19" i="2" s="1"/>
  <c r="G19" i="2" s="1"/>
  <c r="P18" i="2"/>
  <c r="X19" i="2" s="1"/>
  <c r="Z19" i="2" s="1"/>
  <c r="J19" i="2" s="1"/>
  <c r="S145" i="3" l="1"/>
  <c r="R128" i="3"/>
  <c r="R129" i="3" s="1"/>
  <c r="S132" i="3" s="1"/>
  <c r="R145" i="3"/>
  <c r="R149" i="3" s="1"/>
  <c r="K19" i="2"/>
  <c r="F19" i="2"/>
  <c r="U19" i="2" s="1"/>
  <c r="W19" i="2" s="1"/>
  <c r="O19" i="2" s="1"/>
  <c r="P19" i="2" s="1"/>
  <c r="X20" i="2" s="1"/>
  <c r="Z20" i="2" s="1"/>
  <c r="R130" i="3" l="1"/>
  <c r="R131" i="3" s="1"/>
  <c r="S133" i="3" s="1"/>
  <c r="R132" i="3"/>
  <c r="R133" i="3" s="1"/>
  <c r="S149" i="3"/>
  <c r="R144" i="3"/>
  <c r="R151" i="3"/>
  <c r="R152" i="3" s="1"/>
  <c r="S144" i="3"/>
  <c r="S82" i="3"/>
  <c r="S93" i="3" s="1"/>
  <c r="S81" i="3"/>
  <c r="S92" i="3" s="1"/>
  <c r="S79" i="3"/>
  <c r="S90" i="3" s="1"/>
  <c r="Q19" i="2"/>
  <c r="Y20" i="2" s="1"/>
  <c r="AA20" i="2" s="1"/>
  <c r="G20" i="2" s="1"/>
  <c r="J20" i="2"/>
  <c r="F20" i="2"/>
  <c r="R143" i="3" l="1"/>
  <c r="U111" i="3" s="1"/>
  <c r="X109" i="3" s="1"/>
  <c r="S80" i="3"/>
  <c r="S91" i="3" s="1"/>
  <c r="S96" i="3" s="1"/>
  <c r="S101" i="3" s="1"/>
  <c r="S97" i="3"/>
  <c r="S95" i="3"/>
  <c r="S98" i="3"/>
  <c r="U119" i="3"/>
  <c r="V43" i="3"/>
  <c r="V49" i="3" s="1"/>
  <c r="U86" i="3"/>
  <c r="U112" i="3"/>
  <c r="X110" i="3"/>
  <c r="K20" i="2"/>
  <c r="U20" i="2"/>
  <c r="W20" i="2" s="1"/>
  <c r="S143" i="3" l="1"/>
  <c r="V111" i="3" s="1"/>
  <c r="V119" i="3" s="1"/>
  <c r="S100" i="3"/>
  <c r="V42" i="3"/>
  <c r="V48" i="3" s="1"/>
  <c r="U88" i="3"/>
  <c r="U87" i="3"/>
  <c r="V44" i="3"/>
  <c r="V50" i="3" s="1"/>
  <c r="U85" i="3"/>
  <c r="V85" i="3" s="1"/>
  <c r="S102" i="3"/>
  <c r="S117" i="3"/>
  <c r="S118" i="3" s="1"/>
  <c r="V74" i="3"/>
  <c r="S103" i="3"/>
  <c r="V45" i="3"/>
  <c r="V73" i="3"/>
  <c r="U116" i="3"/>
  <c r="U118" i="3" s="1"/>
  <c r="U120" i="3"/>
  <c r="U113" i="3"/>
  <c r="U125" i="3" s="1"/>
  <c r="V56" i="3"/>
  <c r="V72" i="3"/>
  <c r="U79" i="3" s="1"/>
  <c r="O20" i="2"/>
  <c r="P20" i="2" s="1"/>
  <c r="X21" i="2" s="1"/>
  <c r="Z21" i="2" s="1"/>
  <c r="Y109" i="3" l="1"/>
  <c r="Y110" i="3" s="1"/>
  <c r="V112" i="3"/>
  <c r="V55" i="3"/>
  <c r="V57" i="3"/>
  <c r="V51" i="3"/>
  <c r="V52" i="3" s="1"/>
  <c r="V75" i="3"/>
  <c r="U82" i="3" s="1"/>
  <c r="V58" i="3"/>
  <c r="V46" i="3"/>
  <c r="U146" i="3"/>
  <c r="U121" i="3"/>
  <c r="U122" i="3" s="1"/>
  <c r="U135" i="3"/>
  <c r="V59" i="3"/>
  <c r="U80" i="3"/>
  <c r="U81" i="3"/>
  <c r="J21" i="2"/>
  <c r="F21" i="2"/>
  <c r="Q20" i="2"/>
  <c r="Y21" i="2" s="1"/>
  <c r="AA21" i="2" s="1"/>
  <c r="G21" i="2" s="1"/>
  <c r="V116" i="3" l="1"/>
  <c r="V120" i="3"/>
  <c r="V121" i="3" s="1"/>
  <c r="V113" i="3"/>
  <c r="V76" i="3"/>
  <c r="V53" i="3"/>
  <c r="V146" i="3" s="1"/>
  <c r="U138" i="3"/>
  <c r="U21" i="2"/>
  <c r="W21" i="2" s="1"/>
  <c r="O21" i="2" s="1"/>
  <c r="Q21" i="2" s="1"/>
  <c r="K21" i="2"/>
  <c r="V125" i="3" l="1"/>
  <c r="V135" i="3"/>
  <c r="V122" i="3"/>
  <c r="V124" i="3" s="1"/>
  <c r="U124" i="3"/>
  <c r="P21" i="2"/>
  <c r="X22" i="2" s="1"/>
  <c r="Z22" i="2" s="1"/>
  <c r="J22" i="2" s="1"/>
  <c r="Y22" i="2"/>
  <c r="AA22" i="2" s="1"/>
  <c r="G22" i="2" s="1"/>
  <c r="F22" i="2"/>
  <c r="U22" i="2" s="1"/>
  <c r="W22" i="2" s="1"/>
  <c r="O22" i="2" s="1"/>
  <c r="Q22" i="2" s="1"/>
  <c r="U123" i="3" l="1"/>
  <c r="V145" i="3" s="1"/>
  <c r="V138" i="3"/>
  <c r="U139" i="3" s="1"/>
  <c r="U140" i="3" s="1"/>
  <c r="U145" i="3"/>
  <c r="U149" i="3" s="1"/>
  <c r="K22" i="2"/>
  <c r="Y23" i="2" s="1"/>
  <c r="AA23" i="2" s="1"/>
  <c r="P22" i="2"/>
  <c r="X23" i="2" s="1"/>
  <c r="Z23" i="2" s="1"/>
  <c r="J23" i="2" s="1"/>
  <c r="U128" i="3" l="1"/>
  <c r="U129" i="3" s="1"/>
  <c r="U132" i="3" s="1"/>
  <c r="U133" i="3" s="1"/>
  <c r="V139" i="3"/>
  <c r="V140" i="3" s="1"/>
  <c r="U144" i="3"/>
  <c r="U143" i="3"/>
  <c r="X111" i="3" s="1"/>
  <c r="V132" i="3"/>
  <c r="U130" i="3"/>
  <c r="U131" i="3" s="1"/>
  <c r="G23" i="2"/>
  <c r="K23" i="2"/>
  <c r="F23" i="2"/>
  <c r="U23" i="2" s="1"/>
  <c r="W23" i="2" s="1"/>
  <c r="O23" i="2" s="1"/>
  <c r="Q23" i="2" s="1"/>
  <c r="Y24" i="2" s="1"/>
  <c r="AA24" i="2" s="1"/>
  <c r="V79" i="3" l="1"/>
  <c r="V149" i="3"/>
  <c r="V133" i="3"/>
  <c r="X119" i="3"/>
  <c r="V144" i="3"/>
  <c r="U151" i="3"/>
  <c r="U152" i="3" s="1"/>
  <c r="V80" i="3"/>
  <c r="V81" i="3"/>
  <c r="V92" i="3" s="1"/>
  <c r="V82" i="3"/>
  <c r="V93" i="3" s="1"/>
  <c r="X112" i="3"/>
  <c r="P23" i="2"/>
  <c r="X24" i="2" s="1"/>
  <c r="Z24" i="2" s="1"/>
  <c r="J24" i="2" s="1"/>
  <c r="G24" i="2"/>
  <c r="K24" i="2"/>
  <c r="V91" i="3" l="1"/>
  <c r="V96" i="3" s="1"/>
  <c r="Y43" i="3" s="1"/>
  <c r="V90" i="3"/>
  <c r="V95" i="3" s="1"/>
  <c r="V98" i="3"/>
  <c r="V97" i="3"/>
  <c r="X116" i="3"/>
  <c r="X118" i="3" s="1"/>
  <c r="X120" i="3"/>
  <c r="X113" i="3"/>
  <c r="X125" i="3" s="1"/>
  <c r="F24" i="2"/>
  <c r="U24" i="2" s="1"/>
  <c r="W24" i="2" s="1"/>
  <c r="O24" i="2" s="1"/>
  <c r="P24" i="2" s="1"/>
  <c r="X25" i="2" s="1"/>
  <c r="Z25" i="2" s="1"/>
  <c r="J25" i="2" s="1"/>
  <c r="V143" i="3" l="1"/>
  <c r="Y111" i="3" s="1"/>
  <c r="Y119" i="3" s="1"/>
  <c r="Y42" i="3"/>
  <c r="X85" i="3"/>
  <c r="Y85" i="3" s="1"/>
  <c r="V100" i="3"/>
  <c r="X146" i="3"/>
  <c r="V101" i="3"/>
  <c r="Y73" i="3"/>
  <c r="X87" i="3"/>
  <c r="Y44" i="3"/>
  <c r="Y50" i="3" s="1"/>
  <c r="V102" i="3"/>
  <c r="Y45" i="3"/>
  <c r="Y51" i="3" s="1"/>
  <c r="X88" i="3"/>
  <c r="V103" i="3"/>
  <c r="V117" i="3"/>
  <c r="V118" i="3" s="1"/>
  <c r="X86" i="3"/>
  <c r="X121" i="3"/>
  <c r="X122" i="3" s="1"/>
  <c r="X135" i="3"/>
  <c r="Y49" i="3"/>
  <c r="Y56" i="3"/>
  <c r="Q24" i="2"/>
  <c r="Y25" i="2" s="1"/>
  <c r="AA25" i="2" s="1"/>
  <c r="G25" i="2" s="1"/>
  <c r="F25" i="2"/>
  <c r="Y112" i="3" l="1"/>
  <c r="Y116" i="3" s="1"/>
  <c r="Y120" i="3"/>
  <c r="Y121" i="3" s="1"/>
  <c r="Y74" i="3"/>
  <c r="Y48" i="3"/>
  <c r="Y52" i="3" s="1"/>
  <c r="Y55" i="3"/>
  <c r="Y72" i="3"/>
  <c r="X79" i="3" s="1"/>
  <c r="Y46" i="3"/>
  <c r="Y75" i="3"/>
  <c r="Y58" i="3"/>
  <c r="Y57" i="3"/>
  <c r="X138" i="3"/>
  <c r="K25" i="2"/>
  <c r="U25" i="2"/>
  <c r="W25" i="2" s="1"/>
  <c r="O25" i="2" s="1"/>
  <c r="Q25" i="2" s="1"/>
  <c r="Y26" i="2" s="1"/>
  <c r="AA26" i="2" s="1"/>
  <c r="G26" i="2" s="1"/>
  <c r="Y59" i="3" l="1"/>
  <c r="Y113" i="3"/>
  <c r="X82" i="3"/>
  <c r="X81" i="3"/>
  <c r="X80" i="3"/>
  <c r="Y76" i="3"/>
  <c r="Y53" i="3"/>
  <c r="P25" i="2"/>
  <c r="X26" i="2" s="1"/>
  <c r="Z26" i="2" s="1"/>
  <c r="J26" i="2" s="1"/>
  <c r="K26" i="2"/>
  <c r="Y125" i="3" l="1"/>
  <c r="Y135" i="3"/>
  <c r="Y122" i="3"/>
  <c r="Y124" i="3" s="1"/>
  <c r="Y146" i="3"/>
  <c r="F26" i="2"/>
  <c r="U26" i="2" s="1"/>
  <c r="W26" i="2" s="1"/>
  <c r="O26" i="2" s="1"/>
  <c r="Q26" i="2" s="1"/>
  <c r="Y27" i="2" s="1"/>
  <c r="AA27" i="2" s="1"/>
  <c r="Y138" i="3" l="1"/>
  <c r="X139" i="3" s="1"/>
  <c r="X123" i="3"/>
  <c r="X128" i="3" s="1"/>
  <c r="X124" i="3"/>
  <c r="P26" i="2"/>
  <c r="X27" i="2" s="1"/>
  <c r="Z27" i="2" s="1"/>
  <c r="J27" i="2" s="1"/>
  <c r="G27" i="2"/>
  <c r="K27" i="2"/>
  <c r="Y139" i="3" l="1"/>
  <c r="Y140" i="3" s="1"/>
  <c r="X140" i="3"/>
  <c r="X129" i="3"/>
  <c r="Y145" i="3"/>
  <c r="X145" i="3"/>
  <c r="X149" i="3" s="1"/>
  <c r="F27" i="2"/>
  <c r="U27" i="2" s="1"/>
  <c r="W27" i="2" s="1"/>
  <c r="O27" i="2" s="1"/>
  <c r="P27" i="2" s="1"/>
  <c r="X28" i="2" s="1"/>
  <c r="Z28" i="2" s="1"/>
  <c r="J28" i="2" s="1"/>
  <c r="Y132" i="3" l="1"/>
  <c r="X130" i="3"/>
  <c r="X131" i="3" s="1"/>
  <c r="Y149" i="3" s="1"/>
  <c r="X132" i="3"/>
  <c r="X133" i="3" s="1"/>
  <c r="Q27" i="2"/>
  <c r="Y28" i="2" s="1"/>
  <c r="AA28" i="2" s="1"/>
  <c r="G28" i="2" s="1"/>
  <c r="F28" i="2"/>
  <c r="X143" i="3" l="1"/>
  <c r="X144" i="3"/>
  <c r="Y144" i="3"/>
  <c r="Y81" i="3"/>
  <c r="Y92" i="3" s="1"/>
  <c r="Y79" i="3"/>
  <c r="Y90" i="3" s="1"/>
  <c r="Y80" i="3"/>
  <c r="Y91" i="3" s="1"/>
  <c r="Y96" i="3" s="1"/>
  <c r="Y82" i="3"/>
  <c r="Y93" i="3" s="1"/>
  <c r="X151" i="3"/>
  <c r="X152" i="3" s="1"/>
  <c r="Y133" i="3"/>
  <c r="Y98" i="3"/>
  <c r="Y95" i="3"/>
  <c r="Y97" i="3"/>
  <c r="U28" i="2"/>
  <c r="W28" i="2" s="1"/>
  <c r="O28" i="2" s="1"/>
  <c r="Q28" i="2" s="1"/>
  <c r="K28" i="2"/>
  <c r="Y143" i="3" l="1"/>
  <c r="Y117" i="3"/>
  <c r="Y118" i="3" s="1"/>
  <c r="Y100" i="3"/>
  <c r="Y102" i="3"/>
  <c r="Y103" i="3"/>
  <c r="Y101" i="3"/>
  <c r="Y29" i="2"/>
  <c r="AA29" i="2" s="1"/>
  <c r="G29" i="2" s="1"/>
  <c r="P28" i="2"/>
  <c r="X29" i="2" s="1"/>
  <c r="Z29" i="2" s="1"/>
  <c r="J29" i="2" s="1"/>
  <c r="K29" i="2" l="1"/>
  <c r="F29" i="2"/>
  <c r="U29" i="2" s="1"/>
  <c r="W29" i="2" s="1"/>
  <c r="O29" i="2" s="1"/>
  <c r="P29" i="2" s="1"/>
  <c r="X30" i="2" s="1"/>
  <c r="Z30" i="2" s="1"/>
  <c r="J30" i="2" s="1"/>
  <c r="F30" i="2" l="1"/>
  <c r="Q29" i="2"/>
  <c r="Y30" i="2" s="1"/>
  <c r="AA30" i="2" s="1"/>
  <c r="G30" i="2" l="1"/>
  <c r="U30" i="2" s="1"/>
  <c r="W30" i="2" s="1"/>
  <c r="O30" i="2" s="1"/>
  <c r="Q30" i="2" s="1"/>
  <c r="K30" i="2"/>
  <c r="P30" i="2" l="1"/>
</calcChain>
</file>

<file path=xl/sharedStrings.xml><?xml version="1.0" encoding="utf-8"?>
<sst xmlns="http://schemas.openxmlformats.org/spreadsheetml/2006/main" count="434" uniqueCount="301">
  <si>
    <t>forest_primary_c_ha</t>
  </si>
  <si>
    <t>forest_secondary_c_ha</t>
  </si>
  <si>
    <t>forest_primary_c_ha_yr</t>
  </si>
  <si>
    <t>forest_secondary_c_ha_yr</t>
  </si>
  <si>
    <t>forest_primary_conv_ha</t>
  </si>
  <si>
    <t>forest_secondary_conv_ha</t>
  </si>
  <si>
    <t>fraction_c_available_for_use</t>
  </si>
  <si>
    <t>c_demand</t>
  </si>
  <si>
    <t>forest_primary_ha</t>
  </si>
  <si>
    <t>forest_secondary_ha</t>
  </si>
  <si>
    <t>fraction_c_converted_available</t>
  </si>
  <si>
    <t>c_stock_loss_conversion_primary</t>
  </si>
  <si>
    <t>c_stock_loss_conversion_secondary</t>
  </si>
  <si>
    <t>c_stock_loss_conversion_available_for_bmass</t>
  </si>
  <si>
    <t>c_stock_available_in_forests</t>
  </si>
  <si>
    <t>fraction_c_loss_to_degrade</t>
  </si>
  <si>
    <t>Assume forest in steady state at t = 0 (def a problem)</t>
  </si>
  <si>
    <t>Stop extraction at floor (30%)</t>
  </si>
  <si>
    <t>Reduce annual sequestration rate after some threshold (70%?)</t>
  </si>
  <si>
    <t>tp0</t>
  </si>
  <si>
    <t>tp1</t>
  </si>
  <si>
    <t>tp2</t>
  </si>
  <si>
    <t>..</t>
  </si>
  <si>
    <t>Initial Area (ha)</t>
  </si>
  <si>
    <t>primary</t>
  </si>
  <si>
    <t>secondary</t>
  </si>
  <si>
    <t>Deforestation</t>
  </si>
  <si>
    <t>Protected Areas</t>
  </si>
  <si>
    <t>Annual Sequestration</t>
  </si>
  <si>
    <t>Area of Original Remaining</t>
  </si>
  <si>
    <t>C stock tonne per ha</t>
  </si>
  <si>
    <t>Removals (tonnes)</t>
  </si>
  <si>
    <t xml:space="preserve"> Demanded</t>
  </si>
  <si>
    <t>seq_curve</t>
  </si>
  <si>
    <t>tp3</t>
  </si>
  <si>
    <t>tp4</t>
  </si>
  <si>
    <t>New Forest Areas -- Assume unavailable for harvesting for at least 20 years</t>
  </si>
  <si>
    <t>stock in new forests</t>
  </si>
  <si>
    <t>seq_cum</t>
  </si>
  <si>
    <t>new</t>
  </si>
  <si>
    <t>tp</t>
  </si>
  <si>
    <t>n_years_to_avail</t>
  </si>
  <si>
    <t>frac_avail_for_use</t>
  </si>
  <si>
    <t>deforestation</t>
  </si>
  <si>
    <t>C from other</t>
  </si>
  <si>
    <t>min_frac_required</t>
  </si>
  <si>
    <t>C total available</t>
  </si>
  <si>
    <t>C at beginning of period</t>
  </si>
  <si>
    <t>C without degradationin init</t>
  </si>
  <si>
    <t xml:space="preserve"> </t>
  </si>
  <si>
    <t>Satisfiable</t>
  </si>
  <si>
    <t>t = 0</t>
  </si>
  <si>
    <t>protected area</t>
  </si>
  <si>
    <t>demanded removals (hwp + fuelwood)</t>
  </si>
  <si>
    <t>frac la conversion available for use</t>
  </si>
  <si>
    <t>land use conversion away</t>
  </si>
  <si>
    <t>Demand</t>
  </si>
  <si>
    <t>calculated variables</t>
  </si>
  <si>
    <t>C stock</t>
  </si>
  <si>
    <t>sequestration_curve</t>
  </si>
  <si>
    <t>function</t>
  </si>
  <si>
    <t>base factor</t>
  </si>
  <si>
    <t>base average stock</t>
  </si>
  <si>
    <t>current average stock</t>
  </si>
  <si>
    <t>t = 1</t>
  </si>
  <si>
    <t>t = 2</t>
  </si>
  <si>
    <t>land conversion into</t>
  </si>
  <si>
    <t>initial area  from steady state</t>
  </si>
  <si>
    <t>nominal annual sequestration (tonna/ha/year)</t>
  </si>
  <si>
    <t>area_from_t1</t>
  </si>
  <si>
    <t>c_stock_t0</t>
  </si>
  <si>
    <t>c_stock_t1</t>
  </si>
  <si>
    <t>c_stock_t2</t>
  </si>
  <si>
    <t>Removals</t>
  </si>
  <si>
    <t>original forest</t>
  </si>
  <si>
    <t>average stock per ha available (accounts for min frac)</t>
  </si>
  <si>
    <t>c available from stock beginning of period</t>
  </si>
  <si>
    <t>after X years, new forests enter the full pool, and it's assumed that wood is pulled uniformly (deal with average sequestration factors)</t>
  </si>
  <si>
    <t>t = 3</t>
  </si>
  <si>
    <t>area_from_t2</t>
  </si>
  <si>
    <t>area_from_t3</t>
  </si>
  <si>
    <t>c_stock_t3</t>
  </si>
  <si>
    <t>…</t>
  </si>
  <si>
    <t>t = 4</t>
  </si>
  <si>
    <t>t = 5</t>
  </si>
  <si>
    <t>T x T</t>
  </si>
  <si>
    <t>NEW FOREST PROTECTION MATRIX</t>
  </si>
  <si>
    <t xml:space="preserve"> (Y) area_from _t0</t>
  </si>
  <si>
    <t>zeros</t>
  </si>
  <si>
    <t>NPP Curve and Young Forest Assumptions</t>
  </si>
  <si>
    <t>sequestration_factor_t0_base</t>
  </si>
  <si>
    <t>sequestration_factor_t1_base</t>
  </si>
  <si>
    <t>sequestration_factor_t2_base</t>
  </si>
  <si>
    <t>sequestration_factor_t3_base</t>
  </si>
  <si>
    <t>unproctected</t>
  </si>
  <si>
    <t>protected</t>
  </si>
  <si>
    <t>orig</t>
  </si>
  <si>
    <t>young</t>
  </si>
  <si>
    <t>avail</t>
  </si>
  <si>
    <t>unavail</t>
  </si>
  <si>
    <t>from original forests, c stock available</t>
  </si>
  <si>
    <t>from original forests, c stock that is unavailable without affecting land use transition</t>
  </si>
  <si>
    <t>from new forests, c stock available</t>
  </si>
  <si>
    <t>from new forests, c stock unavailable</t>
  </si>
  <si>
    <t xml:space="preserve">from original forests, c stock </t>
  </si>
  <si>
    <t xml:space="preserve">from protected forests, c stock </t>
  </si>
  <si>
    <t>last in, last out</t>
  </si>
  <si>
    <t>LILO</t>
  </si>
  <si>
    <t>young_forest_protected</t>
  </si>
  <si>
    <t>if_untouched_c_stock_t0</t>
  </si>
  <si>
    <t>if_untouched_c_stock_t1</t>
  </si>
  <si>
    <t>if_untouched_c_stock_t2</t>
  </si>
  <si>
    <t>if_untouched_c_stock_t3</t>
  </si>
  <si>
    <t>land use conversion away from new forest</t>
  </si>
  <si>
    <t>forest area (start)</t>
  </si>
  <si>
    <t>base tonne C/ha reqd maintained</t>
  </si>
  <si>
    <t>base storage tonne C/ha</t>
  </si>
  <si>
    <t>buffer zone (fraction of stock above dead storage which contributes to slowing removals)</t>
  </si>
  <si>
    <t>some reservoir terms</t>
  </si>
  <si>
    <t>removals allocation</t>
  </si>
  <si>
    <t>removals from original</t>
  </si>
  <si>
    <t>stock to allocate from original pool excluding conversion</t>
  </si>
  <si>
    <t>total accessible pool</t>
  </si>
  <si>
    <t>removals  unmet by original</t>
  </si>
  <si>
    <t>drops</t>
  </si>
  <si>
    <t>cumulative_vals</t>
  </si>
  <si>
    <t>conversion away from new forest</t>
  </si>
  <si>
    <t>c_available_for_removals_mask_t0</t>
  </si>
  <si>
    <t>c_available_for_removals_mask_t1</t>
  </si>
  <si>
    <t>c_available_for_removals_mask_t2</t>
  </si>
  <si>
    <t>c_available_for_removals_mask_t3</t>
  </si>
  <si>
    <t>adjusted_sequestration_factor_t0</t>
  </si>
  <si>
    <t>adjusted_sequestration_factor_t1</t>
  </si>
  <si>
    <t>adjusted_sequestration_factor_t2</t>
  </si>
  <si>
    <t>adjusted_sequestration_factor_t3</t>
  </si>
  <si>
    <t>t = 6</t>
  </si>
  <si>
    <t>adjustment factor</t>
  </si>
  <si>
    <t>(percentage of forest stock available out of full stock not in dead storage ) carbon_stock_factor</t>
  </si>
  <si>
    <t>sequestration adjustment threshold--below this carbon stock depletion level, sequestration factors will start to decline</t>
  </si>
  <si>
    <t>YOUNG FOREST/AFORESTATION</t>
  </si>
  <si>
    <t>STARTING FOREST</t>
  </si>
  <si>
    <t>if_untouched_c_stock</t>
  </si>
  <si>
    <t>average_stock_per_ha</t>
  </si>
  <si>
    <t>area from steady state after conversion away</t>
  </si>
  <si>
    <t>original_forest_protected</t>
  </si>
  <si>
    <t>land use conversion away from new forest without protection</t>
  </si>
  <si>
    <t>removals from young</t>
  </si>
  <si>
    <t>total c available for removals</t>
  </si>
  <si>
    <t>c_stock_removal_allocation_t0</t>
  </si>
  <si>
    <t>c_stock_removal_allocation_t1</t>
  </si>
  <si>
    <t>c_stock_removal_allocation_t2</t>
  </si>
  <si>
    <t>c_stock_removal_allocation_t3</t>
  </si>
  <si>
    <t xml:space="preserve">stock in new forest if no removals (includes changes to area of new forest)
arr_young_stock_if_no_removals
</t>
  </si>
  <si>
    <t>Auxiliary Variables and Notes</t>
  </si>
  <si>
    <t>Variable</t>
  </si>
  <si>
    <t>Python Variable</t>
  </si>
  <si>
    <t>arr_area_remaining_from_orig</t>
  </si>
  <si>
    <t>arr_area</t>
  </si>
  <si>
    <t>arr_area_remaining_from_orig_after_conversion_away</t>
  </si>
  <si>
    <t>arr_area_protected_total</t>
  </si>
  <si>
    <t>arr_area_protected_original</t>
  </si>
  <si>
    <t>Classification (input/output)</t>
  </si>
  <si>
    <t>input</t>
  </si>
  <si>
    <t>output</t>
  </si>
  <si>
    <t>adjustment_factor_sf</t>
  </si>
  <si>
    <t>total removals from original</t>
  </si>
  <si>
    <t>ag c lost from conversion</t>
  </si>
  <si>
    <t>bg c lost from conversion</t>
  </si>
  <si>
    <t>vec_total_removals_demanded</t>
  </si>
  <si>
    <t>Sequestration and Dead Wood/Litter</t>
  </si>
  <si>
    <t>NOTE: assume that PRIMARY forests are in equilibrium, i.e., that the magnitude of carbon sequestered is equal to the magnitude emitted from decomposition. Use this rate as a fraction of the nominal stock, then apply this fraction to forests.</t>
  </si>
  <si>
    <t>decomposition fraction of above ground C stock</t>
  </si>
  <si>
    <t>starting c_stock_total</t>
  </si>
  <si>
    <t>ratio of below ground biomass to above ground</t>
  </si>
  <si>
    <t>internal</t>
  </si>
  <si>
    <t>healthy storage available per ha</t>
  </si>
  <si>
    <t>arr_biomass_c_ag_lost_conversion</t>
  </si>
  <si>
    <t>arr_biomass_c_bg_lost_conversion</t>
  </si>
  <si>
    <t>arr_young_sf_base_by_tp_planted (T x T)</t>
  </si>
  <si>
    <t>T = number of time periods</t>
  </si>
  <si>
    <t>arr_young_area_by_tp_planted (T x T)   [e.g., col J]
arr_young_area_by_tp_planted_cumvals (T x T)   [e.g., col H]
arr_young_area_by_tp_planted_drops (T x T)   [e.g., col I]</t>
  </si>
  <si>
    <t>arr_young_sf_adjusted_by_tp_planted (T x T)   [e.g., col J]
arr_young_sf_adjustment_factor (T x T)   [e.g., col I]</t>
  </si>
  <si>
    <t>(ref to above)</t>
  </si>
  <si>
    <t>arr_orig_sf_adjustment_factor</t>
  </si>
  <si>
    <t>arr_orig_sf_adjusted</t>
  </si>
  <si>
    <t>arr_orig_biomass_c_allocation_excluding_conversion</t>
  </si>
  <si>
    <t>arr_orig_frac_removables_satisfiable</t>
  </si>
  <si>
    <t>frac_removables_satisfiable</t>
  </si>
  <si>
    <t>arr_orig_biomass_c_allocation_adjusted</t>
  </si>
  <si>
    <t>vec_orig_biomass_c_accessible_pool</t>
  </si>
  <si>
    <t>arr_orig_allocation_removals</t>
  </si>
  <si>
    <t>arr_young_biomass_c_ag_converted_by_tp_planted (T x T)</t>
  </si>
  <si>
    <t>vec_young_biomass_c_ag_converted</t>
  </si>
  <si>
    <t>arr_young_biomass_c_bg_converted_by_tp_planted (T x T)</t>
  </si>
  <si>
    <t>vec_young_biomass_c_bg_converted</t>
  </si>
  <si>
    <t>c_stock_ag_converted_t0</t>
  </si>
  <si>
    <t>c_stock_ag_converted_t1</t>
  </si>
  <si>
    <t>c_stock_ag_converted_t2</t>
  </si>
  <si>
    <t>c_stock_ag_converted_t3</t>
  </si>
  <si>
    <t>c_stock_bg_converted_t0</t>
  </si>
  <si>
    <t>c_stock_bg_converted_t1</t>
  </si>
  <si>
    <t>c_stock_bg_converted_t2</t>
  </si>
  <si>
    <t>c_stock_bg_converted_t3</t>
  </si>
  <si>
    <t>ag biomass loss from deomposition</t>
  </si>
  <si>
    <t>arr_young_biomass_c_loss_from_decomposition (T x T)</t>
  </si>
  <si>
    <t>ag biomass loss from decomposition t0</t>
  </si>
  <si>
    <t>ag biomass loss from decomposition t1</t>
  </si>
  <si>
    <t>ag biomass loss from decomposition t2</t>
  </si>
  <si>
    <t>ag biomass loss from decomposition t3</t>
  </si>
  <si>
    <t>arr_young_biomass_c_ag_stock (T x T)</t>
  </si>
  <si>
    <t>arr_young_biomass_c_bg_stock (T x T)</t>
  </si>
  <si>
    <t>c_stock_bg_t0</t>
  </si>
  <si>
    <t>c_stock_bg_t1</t>
  </si>
  <si>
    <t>c_stock_bg_t2</t>
  </si>
  <si>
    <t>c_stock_bg_t3</t>
  </si>
  <si>
    <t>bg biomass loss from stock removals</t>
  </si>
  <si>
    <t>vec_biomass_c_removed_from_young</t>
  </si>
  <si>
    <t>total starting ag stock</t>
  </si>
  <si>
    <t>total starting ag stock in new</t>
  </si>
  <si>
    <t>total starting ag stock in original</t>
  </si>
  <si>
    <t>total starting bg stock</t>
  </si>
  <si>
    <t>vec_area_conversion_away_young_forest</t>
  </si>
  <si>
    <t>arr_area_conversion_into</t>
  </si>
  <si>
    <t>vec_area_conversion_away_young_forest_no_protection</t>
  </si>
  <si>
    <t>arr_area_conversion_away_total</t>
  </si>
  <si>
    <t>vec_frac_biomass_from_conversion_available_for_use</t>
  </si>
  <si>
    <t>vec_frac_biomass_dead_storage</t>
  </si>
  <si>
    <t>vec_frac_biomass_buffer</t>
  </si>
  <si>
    <t>vec_frac_biomass_adjustment_threshold</t>
  </si>
  <si>
    <t xml:space="preserve">dead storage (minimum fraction of original stock that must remain on the land to allow it to remain that land use type). </t>
  </si>
  <si>
    <t>vec_biomass_c_ag_init_stst_storage</t>
  </si>
  <si>
    <t>vec_biomass_c_ag_init_healthy_available</t>
  </si>
  <si>
    <t>vec_biomass_c_bg_to_ag_ratio</t>
  </si>
  <si>
    <t>vec_frac_biomass_ag_decomposition</t>
  </si>
  <si>
    <t>vec_young_sf_curve</t>
  </si>
  <si>
    <t>arr_young_biomass_c_available_for_removals_mask (T x T)</t>
  </si>
  <si>
    <t>vec_young_biomass_c_available_for_removals_total</t>
  </si>
  <si>
    <t>arr_young_biomass_c_stock_removal_allocation (T x T)   [e.g., col G]
arr_young_biomass_c_stock_removal_allocation_aux (T x T)   [e.g., col F]</t>
  </si>
  <si>
    <t>arr_young_biomass_c_ag_stock_if_untouched (T x T)</t>
  </si>
  <si>
    <t>n/a -- refers to vec_annual_sf_nominal</t>
  </si>
  <si>
    <t>arr_orig_biomass_c_ag_if_untouched</t>
  </si>
  <si>
    <t>arr_orig_biomass_c_ag_starting</t>
  </si>
  <si>
    <t>arr_total_biomass_c_ag_starting</t>
  </si>
  <si>
    <t>arr_total_biomass_c_bg_starting</t>
  </si>
  <si>
    <t>arr_orig_biomass_c_ag_average_per_area</t>
  </si>
  <si>
    <t>vec_young_biomass_c_ag_starting</t>
  </si>
  <si>
    <t>n/af ref to arr_orig_biomass_c_ag_starting</t>
  </si>
  <si>
    <t>average stock in target land use classes</t>
  </si>
  <si>
    <t xml:space="preserve">average per area stock of target land use classes, used to restrict removals </t>
  </si>
  <si>
    <t>arr_biomass_c_average_ag_stock_in_conversion_targets</t>
  </si>
  <si>
    <t>c_stock_converted_that_remains_t0</t>
  </si>
  <si>
    <t>stock that is preserved in target land classes that are converted to (based on average)</t>
  </si>
  <si>
    <t>c_stock_converted_that_remains_t1</t>
  </si>
  <si>
    <t>c_stock_converted_that_remains_t2</t>
  </si>
  <si>
    <t>c_stock_converted_that_remains_t3</t>
  </si>
  <si>
    <t>removals from converted land</t>
  </si>
  <si>
    <t>losses</t>
  </si>
  <si>
    <t xml:space="preserve">c available from  conversion </t>
  </si>
  <si>
    <t>vec_biomass_c_removals_from_converted</t>
  </si>
  <si>
    <t>arr_biomass_c_removals_from_converted_land_allocation</t>
  </si>
  <si>
    <t>vec_biomass_c_removals_from_forest_demanded</t>
  </si>
  <si>
    <t>vec_biomass_c_removed_from_original_demanded</t>
  </si>
  <si>
    <t>demanded removals from forest left forest</t>
  </si>
  <si>
    <t>arr_young_biomass_c_ag_preserved_in_conversion_by_tp_planted (T x T)</t>
  </si>
  <si>
    <t>vec_young_biomass_c_ag_preserved_in_conversion</t>
  </si>
  <si>
    <t>arr_orig_biomass_c_ag_preserved_in_conversion</t>
  </si>
  <si>
    <t>vec_young_biomass_c_ag_available_from_conversion</t>
  </si>
  <si>
    <t>TOTAL C CONVERTED FOR COMPARISON TO LAND USE STOCK MATRIX (must use for comparing loss)</t>
  </si>
  <si>
    <t>arr_orig_biomass_c_removed_from_forests</t>
  </si>
  <si>
    <t>orig c converted</t>
  </si>
  <si>
    <t>orig biomass converted that is preserved</t>
  </si>
  <si>
    <t>allocation of removals</t>
  </si>
  <si>
    <t>vec_biomass_c_removed_from_original_unmet</t>
  </si>
  <si>
    <t>arr_biomass_c_removed_from_forests_excluding_conversion</t>
  </si>
  <si>
    <t>arr_biomass_c_ag_lost_decomposition</t>
  </si>
  <si>
    <t>arr_biomass_c_bg_lost_removals</t>
  </si>
  <si>
    <t>arr_orig_frac_stock_available</t>
  </si>
  <si>
    <t>vec_total_removals_met</t>
  </si>
  <si>
    <t>vec_sf_nominal_initial</t>
  </si>
  <si>
    <t>vec_area_protected_young</t>
  </si>
  <si>
    <t>vec_biomass_c_ag_min_reqd_per_area</t>
  </si>
  <si>
    <t>arr_orig_biomass_c_ag_converted_away</t>
  </si>
  <si>
    <t>arr_orig_biomass_c_ag_average_per_area_no_ds</t>
  </si>
  <si>
    <t>arr_total_biomass_c_ag_available_from_conversion</t>
  </si>
  <si>
    <t>latex variable</t>
  </si>
  <si>
    <t>A_r(t)</t>
  </si>
  <si>
    <t>A(t)</t>
  </si>
  <si>
    <t>A_{in}(t)</t>
  </si>
  <si>
    <t>A_{out}(t)</t>
  </si>
  <si>
    <t>\hat{a}^{(y)}_{out}(t)</t>
  </si>
  <si>
    <t>a^{(y)}_{out}(t)</t>
  </si>
  <si>
    <t>A_r(t + 1)</t>
  </si>
  <si>
    <t>\chi_(t)</t>
  </si>
  <si>
    <t>\check{\alpha}(t)</t>
  </si>
  <si>
    <t>\bar{\alpha}(t)</t>
  </si>
  <si>
    <t>\hat{\alpha}(t)</t>
  </si>
  <si>
    <t>\bar{S}_{targ}(t)</t>
  </si>
  <si>
    <t>k_0</t>
  </si>
  <si>
    <t>\gamma</t>
  </si>
  <si>
    <t>k_{heav}</t>
  </si>
  <si>
    <t>rrr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</si>
</sst>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1"/>
      <name val="Aptos Narrow"/>
      <scheme val="minor"/>
    </font>
    <font>
      <sz val="8"/>
      <name val="Aptos Narrow"/>
      <family val="2"/>
      <scheme val="minor"/>
    </font>
    <font>
      <b/>
      <sz val="12"/>
      <color rgb="FFFFFFFF"/>
      <name val="Aptos Narrow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44B3E1"/>
        <bgColor rgb="FF000000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12501A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3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3" borderId="0" xfId="0" applyFont="1" applyFill="1" applyAlignment="1">
      <alignment horizontal="center"/>
    </xf>
    <xf numFmtId="0" fontId="0" fillId="3" borderId="0" xfId="0" applyFill="1"/>
    <xf numFmtId="0" fontId="0" fillId="4" borderId="0" xfId="0" applyFill="1" applyAlignment="1">
      <alignment horizontal="center" vertical="center"/>
    </xf>
    <xf numFmtId="0" fontId="0" fillId="4" borderId="0" xfId="0" applyFill="1" applyAlignment="1">
      <alignment horizontal="center"/>
    </xf>
    <xf numFmtId="0" fontId="0" fillId="3" borderId="0" xfId="0" applyFill="1" applyAlignment="1">
      <alignment horizontal="right" wrapText="1"/>
    </xf>
    <xf numFmtId="0" fontId="3" fillId="5" borderId="0" xfId="0" applyFont="1" applyFill="1" applyAlignment="1">
      <alignment horizontal="right" wrapText="1"/>
    </xf>
    <xf numFmtId="0" fontId="0" fillId="5" borderId="0" xfId="0" applyFill="1" applyAlignment="1">
      <alignment horizontal="center" vertical="center"/>
    </xf>
    <xf numFmtId="0" fontId="3" fillId="3" borderId="0" xfId="0" applyFont="1" applyFill="1" applyAlignment="1">
      <alignment horizontal="right" wrapText="1"/>
    </xf>
    <xf numFmtId="0" fontId="4" fillId="3" borderId="0" xfId="0" applyFont="1" applyFill="1" applyAlignment="1">
      <alignment horizontal="right" wrapText="1"/>
    </xf>
    <xf numFmtId="0" fontId="2" fillId="4" borderId="0" xfId="0" applyFont="1" applyFill="1" applyAlignment="1">
      <alignment horizontal="right" wrapText="1"/>
    </xf>
    <xf numFmtId="0" fontId="2" fillId="3" borderId="0" xfId="0" applyFont="1" applyFill="1" applyAlignment="1">
      <alignment vertical="center"/>
    </xf>
    <xf numFmtId="0" fontId="0" fillId="3" borderId="0" xfId="0" applyFill="1" applyAlignment="1">
      <alignment vertical="center"/>
    </xf>
    <xf numFmtId="0" fontId="2" fillId="3" borderId="0" xfId="0" applyFont="1" applyFill="1" applyAlignment="1">
      <alignment horizontal="center" vertical="center"/>
    </xf>
    <xf numFmtId="0" fontId="0" fillId="2" borderId="0" xfId="0" applyFill="1"/>
    <xf numFmtId="0" fontId="2" fillId="4" borderId="0" xfId="0" applyFont="1" applyFill="1" applyAlignment="1">
      <alignment horizontal="center" vertical="center"/>
    </xf>
    <xf numFmtId="0" fontId="2" fillId="4" borderId="0" xfId="0" applyFont="1" applyFill="1"/>
    <xf numFmtId="0" fontId="0" fillId="3" borderId="0" xfId="0" applyFill="1" applyAlignment="1">
      <alignment horizontal="center" vertical="center" wrapText="1"/>
    </xf>
    <xf numFmtId="0" fontId="3" fillId="6" borderId="0" xfId="0" applyFont="1" applyFill="1" applyAlignment="1">
      <alignment horizontal="right"/>
    </xf>
    <xf numFmtId="0" fontId="3" fillId="6" borderId="0" xfId="0" applyFont="1" applyFill="1" applyAlignment="1">
      <alignment horizontal="right" vertical="center"/>
    </xf>
    <xf numFmtId="0" fontId="0" fillId="3" borderId="0" xfId="0" applyFill="1" applyAlignment="1">
      <alignment horizontal="right" vertical="center" wrapText="1"/>
    </xf>
    <xf numFmtId="0" fontId="0" fillId="3" borderId="0" xfId="0" applyFill="1" applyAlignment="1">
      <alignment vertical="center" wrapText="1"/>
    </xf>
    <xf numFmtId="0" fontId="3" fillId="6" borderId="0" xfId="0" applyFont="1" applyFill="1" applyAlignment="1">
      <alignment horizontal="center" vertical="center"/>
    </xf>
    <xf numFmtId="0" fontId="3" fillId="9" borderId="0" xfId="0" applyFont="1" applyFill="1" applyAlignment="1">
      <alignment horizontal="center" vertical="center"/>
    </xf>
    <xf numFmtId="0" fontId="3" fillId="6" borderId="0" xfId="0" applyFont="1" applyFill="1" applyAlignment="1">
      <alignment horizontal="right" vertical="center" wrapText="1"/>
    </xf>
    <xf numFmtId="0" fontId="3" fillId="6" borderId="0" xfId="0" applyFont="1" applyFill="1" applyAlignment="1">
      <alignment horizontal="center" vertical="center" wrapText="1"/>
    </xf>
    <xf numFmtId="0" fontId="3" fillId="7" borderId="0" xfId="0" applyFont="1" applyFill="1" applyAlignment="1">
      <alignment horizontal="center" vertical="center"/>
    </xf>
    <xf numFmtId="0" fontId="6" fillId="10" borderId="0" xfId="0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3" fillId="11" borderId="0" xfId="0" applyFont="1" applyFill="1" applyAlignment="1">
      <alignment horizontal="center" vertical="center"/>
    </xf>
    <xf numFmtId="0" fontId="3" fillId="12" borderId="0" xfId="0" applyFont="1" applyFill="1" applyAlignment="1">
      <alignment horizontal="center" vertical="center"/>
    </xf>
    <xf numFmtId="0" fontId="3" fillId="12" borderId="0" xfId="0" applyFont="1" applyFill="1"/>
    <xf numFmtId="0" fontId="3" fillId="13" borderId="0" xfId="0" applyFont="1" applyFill="1" applyAlignment="1">
      <alignment horizontal="right" vertical="center" wrapText="1"/>
    </xf>
    <xf numFmtId="0" fontId="3" fillId="13" borderId="0" xfId="0" applyFont="1" applyFill="1" applyAlignment="1">
      <alignment horizontal="right" vertical="center"/>
    </xf>
    <xf numFmtId="0" fontId="3" fillId="13" borderId="0" xfId="0" applyFont="1" applyFill="1" applyAlignment="1">
      <alignment horizontal="center" vertical="center" wrapText="1"/>
    </xf>
    <xf numFmtId="0" fontId="6" fillId="14" borderId="0" xfId="0" applyFont="1" applyFill="1" applyAlignment="1">
      <alignment horizontal="right" vertical="center"/>
    </xf>
    <xf numFmtId="0" fontId="0" fillId="3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3" fillId="13" borderId="0" xfId="0" applyFont="1" applyFill="1" applyAlignment="1">
      <alignment horizontal="right" vertical="center" wrapText="1"/>
    </xf>
    <xf numFmtId="0" fontId="3" fillId="9" borderId="0" xfId="0" applyFont="1" applyFill="1" applyAlignment="1">
      <alignment horizontal="center" vertical="center"/>
    </xf>
    <xf numFmtId="0" fontId="3" fillId="13" borderId="0" xfId="0" applyFont="1" applyFill="1" applyAlignment="1">
      <alignment horizontal="right" vertical="center"/>
    </xf>
    <xf numFmtId="0" fontId="0" fillId="3" borderId="0" xfId="0" applyFill="1" applyAlignment="1">
      <alignment horizontal="center" vertical="center" wrapText="1"/>
    </xf>
    <xf numFmtId="0" fontId="3" fillId="13" borderId="0" xfId="0" applyFont="1" applyFill="1" applyAlignment="1">
      <alignment horizontal="center" vertical="center" wrapText="1"/>
    </xf>
    <xf numFmtId="0" fontId="2" fillId="4" borderId="0" xfId="0" applyFont="1" applyFill="1" applyAlignment="1">
      <alignment horizontal="center"/>
    </xf>
    <xf numFmtId="0" fontId="2" fillId="4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C682B-8E9E-524B-A713-F464F2F373DE}">
  <dimension ref="A1:L22"/>
  <sheetViews>
    <sheetView workbookViewId="0">
      <selection activeCell="F11" sqref="F11"/>
    </sheetView>
  </sheetViews>
  <sheetFormatPr baseColWidth="10" defaultRowHeight="16" x14ac:dyDescent="0.2"/>
  <cols>
    <col min="1" max="1" width="31.33203125" customWidth="1"/>
    <col min="2" max="2" width="17.6640625" bestFit="1" customWidth="1"/>
    <col min="3" max="3" width="19.83203125" bestFit="1" customWidth="1"/>
    <col min="4" max="4" width="15.6640625" bestFit="1" customWidth="1"/>
    <col min="5" max="5" width="19.83203125" bestFit="1" customWidth="1"/>
    <col min="6" max="6" width="20" bestFit="1" customWidth="1"/>
    <col min="7" max="7" width="22.33203125" bestFit="1" customWidth="1"/>
    <col min="8" max="8" width="20.5" bestFit="1" customWidth="1"/>
    <col min="9" max="9" width="22.83203125" bestFit="1" customWidth="1"/>
    <col min="10" max="10" width="14.6640625" customWidth="1"/>
  </cols>
  <sheetData>
    <row r="1" spans="1:12" x14ac:dyDescent="0.2">
      <c r="L1" t="s">
        <v>6</v>
      </c>
    </row>
    <row r="3" spans="1:12" x14ac:dyDescent="0.2">
      <c r="B3">
        <v>0</v>
      </c>
    </row>
    <row r="4" spans="1:12" x14ac:dyDescent="0.2">
      <c r="A4" t="s">
        <v>0</v>
      </c>
      <c r="B4">
        <v>100</v>
      </c>
    </row>
    <row r="5" spans="1:12" x14ac:dyDescent="0.2">
      <c r="A5" t="s">
        <v>1</v>
      </c>
      <c r="B5">
        <v>35</v>
      </c>
    </row>
    <row r="6" spans="1:12" x14ac:dyDescent="0.2">
      <c r="A6" t="s">
        <v>8</v>
      </c>
      <c r="B6">
        <v>100000</v>
      </c>
    </row>
    <row r="7" spans="1:12" x14ac:dyDescent="0.2">
      <c r="A7" t="s">
        <v>9</v>
      </c>
      <c r="B7">
        <v>400000</v>
      </c>
    </row>
    <row r="8" spans="1:12" x14ac:dyDescent="0.2">
      <c r="A8" t="s">
        <v>2</v>
      </c>
      <c r="B8">
        <v>0.1</v>
      </c>
      <c r="F8" t="s">
        <v>16</v>
      </c>
    </row>
    <row r="9" spans="1:12" x14ac:dyDescent="0.2">
      <c r="A9" t="s">
        <v>3</v>
      </c>
      <c r="B9">
        <v>0.5</v>
      </c>
      <c r="F9" t="s">
        <v>17</v>
      </c>
    </row>
    <row r="10" spans="1:12" x14ac:dyDescent="0.2">
      <c r="A10" t="s">
        <v>4</v>
      </c>
      <c r="B10">
        <v>10</v>
      </c>
      <c r="F10" t="s">
        <v>18</v>
      </c>
    </row>
    <row r="11" spans="1:12" x14ac:dyDescent="0.2">
      <c r="A11" t="s">
        <v>5</v>
      </c>
      <c r="B11">
        <v>6</v>
      </c>
    </row>
    <row r="12" spans="1:12" x14ac:dyDescent="0.2">
      <c r="A12" t="s">
        <v>7</v>
      </c>
      <c r="B12">
        <v>4000</v>
      </c>
    </row>
    <row r="13" spans="1:12" x14ac:dyDescent="0.2">
      <c r="A13" t="s">
        <v>10</v>
      </c>
      <c r="B13">
        <v>0.5</v>
      </c>
    </row>
    <row r="17" spans="1:2" x14ac:dyDescent="0.2">
      <c r="A17" t="s">
        <v>11</v>
      </c>
      <c r="B17">
        <f>B10*B4</f>
        <v>1000</v>
      </c>
    </row>
    <row r="18" spans="1:2" x14ac:dyDescent="0.2">
      <c r="A18" t="s">
        <v>12</v>
      </c>
      <c r="B18">
        <f>B11*B5</f>
        <v>210</v>
      </c>
    </row>
    <row r="19" spans="1:2" x14ac:dyDescent="0.2">
      <c r="A19" t="s">
        <v>13</v>
      </c>
      <c r="B19">
        <f>B13*(B17+B18)</f>
        <v>605</v>
      </c>
    </row>
    <row r="20" spans="1:2" x14ac:dyDescent="0.2">
      <c r="A20" t="s">
        <v>14</v>
      </c>
      <c r="B20">
        <f>B4*(B6-B10)+B5*(B7-B11)</f>
        <v>23998790</v>
      </c>
    </row>
    <row r="22" spans="1:2" x14ac:dyDescent="0.2">
      <c r="A22" t="s">
        <v>15</v>
      </c>
      <c r="B22">
        <v>0.7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E3B73C-8C04-4845-96FD-F75302BA5D7D}">
  <dimension ref="A1:AX31"/>
  <sheetViews>
    <sheetView topLeftCell="M1" workbookViewId="0">
      <selection activeCell="W5" sqref="W5"/>
    </sheetView>
  </sheetViews>
  <sheetFormatPr baseColWidth="10" defaultRowHeight="16" x14ac:dyDescent="0.2"/>
  <cols>
    <col min="1" max="1" width="7.33203125" style="3" bestFit="1" customWidth="1"/>
    <col min="2" max="2" width="9.5" style="3" bestFit="1" customWidth="1"/>
    <col min="3" max="3" width="7.33203125" style="2" bestFit="1" customWidth="1"/>
    <col min="4" max="4" width="9.5" style="2" bestFit="1" customWidth="1"/>
    <col min="5" max="5" width="13.33203125" style="2" customWidth="1"/>
    <col min="6" max="6" width="7.33203125" style="3" bestFit="1" customWidth="1"/>
    <col min="7" max="7" width="9.5" style="3" bestFit="1" customWidth="1"/>
    <col min="8" max="8" width="17.6640625" style="2" customWidth="1"/>
    <col min="9" max="9" width="12.83203125" style="2" customWidth="1"/>
    <col min="10" max="10" width="14.1640625" style="3" customWidth="1"/>
    <col min="11" max="11" width="10.83203125" style="3"/>
    <col min="12" max="13" width="13.1640625" style="4" customWidth="1"/>
    <col min="14" max="14" width="14.33203125" style="5" bestFit="1" customWidth="1"/>
    <col min="15" max="15" width="10.6640625" style="5" bestFit="1" customWidth="1"/>
    <col min="16" max="16" width="8.1640625" style="5" customWidth="1"/>
    <col min="17" max="17" width="9.5" style="5" bestFit="1" customWidth="1"/>
    <col min="18" max="20" width="12.1640625" style="4" customWidth="1"/>
    <col min="21" max="22" width="12.1640625" style="8" customWidth="1"/>
    <col min="23" max="24" width="12.1640625" style="4" customWidth="1"/>
    <col min="25" max="25" width="15.83203125" style="4" customWidth="1"/>
    <col min="26" max="27" width="15.83203125" style="5" customWidth="1"/>
    <col min="28" max="28" width="12.1640625" style="4" customWidth="1"/>
    <col min="29" max="33" width="10.83203125" style="3"/>
    <col min="34" max="34" width="15.1640625" style="3" customWidth="1"/>
    <col min="35" max="39" width="10.83203125" style="3"/>
    <col min="40" max="40" width="23.5" style="3" customWidth="1"/>
    <col min="41" max="41" width="4.33203125" customWidth="1"/>
    <col min="48" max="48" width="4.1640625" customWidth="1"/>
    <col min="50" max="50" width="9.1640625" customWidth="1"/>
    <col min="51" max="51" width="3.33203125" customWidth="1"/>
  </cols>
  <sheetData>
    <row r="1" spans="1:50" x14ac:dyDescent="0.2">
      <c r="A1" s="41" t="s">
        <v>23</v>
      </c>
      <c r="B1" s="41"/>
      <c r="C1" s="42" t="s">
        <v>26</v>
      </c>
      <c r="D1" s="42"/>
      <c r="E1" s="42"/>
      <c r="F1" s="41" t="s">
        <v>30</v>
      </c>
      <c r="G1" s="41"/>
      <c r="H1" s="42" t="s">
        <v>27</v>
      </c>
      <c r="I1" s="42"/>
      <c r="J1" s="41" t="s">
        <v>28</v>
      </c>
      <c r="K1" s="41"/>
      <c r="L1" s="44" t="s">
        <v>29</v>
      </c>
      <c r="M1" s="44"/>
      <c r="N1" s="43" t="s">
        <v>31</v>
      </c>
      <c r="O1" s="43"/>
      <c r="P1" s="43"/>
      <c r="Q1" s="43"/>
      <c r="R1" s="44" t="s">
        <v>48</v>
      </c>
      <c r="S1" s="44"/>
      <c r="T1" s="44"/>
      <c r="U1" s="45" t="s">
        <v>44</v>
      </c>
      <c r="V1" s="45"/>
      <c r="W1" s="4" t="s">
        <v>46</v>
      </c>
      <c r="X1" s="4" t="s">
        <v>47</v>
      </c>
      <c r="AC1" s="41" t="s">
        <v>36</v>
      </c>
      <c r="AD1" s="41"/>
      <c r="AE1" s="41"/>
      <c r="AF1" s="41"/>
      <c r="AG1" s="41"/>
      <c r="AH1" s="41"/>
      <c r="AI1" s="7" t="s">
        <v>37</v>
      </c>
      <c r="AJ1" s="1"/>
      <c r="AK1" s="1"/>
      <c r="AL1" s="1"/>
      <c r="AM1" s="1"/>
      <c r="AN1"/>
      <c r="AP1" t="s">
        <v>33</v>
      </c>
      <c r="AQ1" t="s">
        <v>38</v>
      </c>
      <c r="AR1" t="s">
        <v>41</v>
      </c>
    </row>
    <row r="2" spans="1:50" x14ac:dyDescent="0.2">
      <c r="A2" s="3" t="s">
        <v>24</v>
      </c>
      <c r="B2" s="3" t="s">
        <v>25</v>
      </c>
      <c r="C2" s="2" t="s">
        <v>24</v>
      </c>
      <c r="D2" s="2" t="s">
        <v>25</v>
      </c>
      <c r="E2" s="2" t="s">
        <v>42</v>
      </c>
      <c r="F2" s="3" t="s">
        <v>24</v>
      </c>
      <c r="G2" s="3" t="s">
        <v>25</v>
      </c>
      <c r="H2" s="2" t="s">
        <v>24</v>
      </c>
      <c r="I2" s="2" t="s">
        <v>25</v>
      </c>
      <c r="J2" s="3" t="s">
        <v>24</v>
      </c>
      <c r="K2" s="3" t="s">
        <v>25</v>
      </c>
      <c r="L2" s="4" t="s">
        <v>24</v>
      </c>
      <c r="M2" s="4" t="s">
        <v>25</v>
      </c>
      <c r="N2" s="5" t="s">
        <v>32</v>
      </c>
      <c r="O2" s="5" t="s">
        <v>50</v>
      </c>
      <c r="P2" s="5" t="s">
        <v>24</v>
      </c>
      <c r="Q2" s="5" t="s">
        <v>25</v>
      </c>
      <c r="R2" s="4" t="s">
        <v>24</v>
      </c>
      <c r="S2" s="4" t="s">
        <v>25</v>
      </c>
      <c r="T2" s="4" t="s">
        <v>45</v>
      </c>
      <c r="U2" s="8" t="s">
        <v>43</v>
      </c>
      <c r="V2" s="8" t="s">
        <v>39</v>
      </c>
      <c r="X2" s="4" t="s">
        <v>24</v>
      </c>
      <c r="Y2" s="4" t="s">
        <v>25</v>
      </c>
      <c r="AA2" s="5" t="s">
        <v>49</v>
      </c>
      <c r="AB2" s="4" t="s">
        <v>40</v>
      </c>
      <c r="AC2" s="3" t="s">
        <v>19</v>
      </c>
      <c r="AD2" s="3" t="s">
        <v>20</v>
      </c>
      <c r="AE2" s="3" t="s">
        <v>21</v>
      </c>
      <c r="AF2" s="3" t="s">
        <v>34</v>
      </c>
      <c r="AG2" s="3" t="s">
        <v>35</v>
      </c>
      <c r="AH2" s="3" t="s">
        <v>22</v>
      </c>
      <c r="AI2" s="3" t="s">
        <v>19</v>
      </c>
      <c r="AJ2" s="3" t="s">
        <v>20</v>
      </c>
      <c r="AK2" s="3" t="s">
        <v>21</v>
      </c>
      <c r="AL2" s="3" t="s">
        <v>34</v>
      </c>
      <c r="AM2" s="3" t="s">
        <v>35</v>
      </c>
      <c r="AN2" s="3" t="s">
        <v>22</v>
      </c>
      <c r="AP2">
        <v>0</v>
      </c>
      <c r="AQ2">
        <f>SUM(AP$2:AP2)</f>
        <v>0</v>
      </c>
      <c r="AR2">
        <v>20</v>
      </c>
    </row>
    <row r="3" spans="1:50" x14ac:dyDescent="0.2">
      <c r="A3" s="3">
        <v>10000</v>
      </c>
      <c r="B3" s="3">
        <v>250000</v>
      </c>
      <c r="C3" s="2">
        <v>50</v>
      </c>
      <c r="D3" s="2">
        <v>100</v>
      </c>
      <c r="E3" s="2">
        <v>0.7</v>
      </c>
      <c r="F3" s="3">
        <v>150</v>
      </c>
      <c r="G3" s="3">
        <v>100</v>
      </c>
      <c r="H3" s="2">
        <v>5000</v>
      </c>
      <c r="I3" s="2">
        <v>50000</v>
      </c>
      <c r="J3" s="3">
        <v>1</v>
      </c>
      <c r="K3" s="3">
        <v>3</v>
      </c>
      <c r="L3" s="4">
        <f>A3</f>
        <v>10000</v>
      </c>
      <c r="M3" s="4">
        <f>B3</f>
        <v>250000</v>
      </c>
      <c r="N3" s="5">
        <v>1000000</v>
      </c>
      <c r="O3" s="5">
        <f>INT(Z3&gt;T3)*MIN(N3,W3)</f>
        <v>1000000</v>
      </c>
      <c r="P3" s="5">
        <f>$O3*R3/($R3+$S3)</f>
        <v>36144.578313253012</v>
      </c>
      <c r="Q3" s="5">
        <f>$O3*S3/($R3+$S3)</f>
        <v>963855.42168674699</v>
      </c>
      <c r="R3" s="2">
        <f>MAX(L3-H3,0)*F$3</f>
        <v>750000</v>
      </c>
      <c r="S3" s="2">
        <f>MAX(M3-I3, 0)*G$3</f>
        <v>20000000</v>
      </c>
      <c r="T3" s="2">
        <v>0.3</v>
      </c>
      <c r="U3" s="9">
        <f>(C3*F3 + D3*G3)*E3</f>
        <v>12250</v>
      </c>
      <c r="V3" s="9">
        <f>IF(AB3&gt;$AR$2,AI3)+IF(AB3&gt;$AR$2+1,AJ3)+IF(AB3&gt;$AR$2+2,AK3)+IF(AB3&gt;$AR$2+3,AL3)+IF(AB3&gt;$AR$2+4,AM3)</f>
        <v>0</v>
      </c>
      <c r="W3" s="2">
        <f>(X3+Y3)*(1-T3)+U3</f>
        <v>14537250</v>
      </c>
      <c r="X3" s="2">
        <f>R3</f>
        <v>750000</v>
      </c>
      <c r="Y3" s="2">
        <f>S3</f>
        <v>20000000</v>
      </c>
      <c r="Z3" s="3">
        <v>1</v>
      </c>
      <c r="AA3" s="3">
        <v>1</v>
      </c>
      <c r="AB3" s="2">
        <v>0</v>
      </c>
      <c r="AC3" s="3">
        <v>0</v>
      </c>
      <c r="AD3" s="3">
        <v>0</v>
      </c>
      <c r="AE3" s="3">
        <v>0</v>
      </c>
      <c r="AF3" s="3">
        <v>0</v>
      </c>
      <c r="AG3" s="3">
        <v>0</v>
      </c>
      <c r="AI3" s="3">
        <f t="shared" ref="AI3:AN3" si="0">AC3*$AQ2</f>
        <v>0</v>
      </c>
      <c r="AJ3" s="3">
        <f t="shared" si="0"/>
        <v>0</v>
      </c>
      <c r="AK3" s="3">
        <f t="shared" si="0"/>
        <v>0</v>
      </c>
      <c r="AL3" s="3">
        <f t="shared" si="0"/>
        <v>0</v>
      </c>
      <c r="AM3" s="3">
        <f t="shared" si="0"/>
        <v>0</v>
      </c>
      <c r="AN3" s="3">
        <f t="shared" si="0"/>
        <v>0</v>
      </c>
      <c r="AP3">
        <v>0.01</v>
      </c>
      <c r="AQ3">
        <f>SUM(AP$2:AP3)</f>
        <v>0.01</v>
      </c>
      <c r="AR3">
        <v>20</v>
      </c>
      <c r="AW3" s="5">
        <v>4000000</v>
      </c>
      <c r="AX3">
        <f>ROUND(AW3/4,0)</f>
        <v>1000000</v>
      </c>
    </row>
    <row r="4" spans="1:50" x14ac:dyDescent="0.2">
      <c r="C4" s="2">
        <v>50</v>
      </c>
      <c r="D4" s="2">
        <v>100</v>
      </c>
      <c r="E4" s="2">
        <v>0.7</v>
      </c>
      <c r="F4" s="3">
        <f>F$3*Z4</f>
        <v>146.22331751247413</v>
      </c>
      <c r="G4" s="3">
        <f>G$3*AA4</f>
        <v>98.978712247690112</v>
      </c>
      <c r="H4" s="2">
        <v>5000</v>
      </c>
      <c r="I4" s="2">
        <v>50000</v>
      </c>
      <c r="J4" s="3">
        <f>J$3*Z4</f>
        <v>0.97482211674982755</v>
      </c>
      <c r="K4" s="3">
        <f>K$3*AA4</f>
        <v>2.9693613674307033</v>
      </c>
      <c r="L4" s="4">
        <f>MAX(L3-C3,H3)</f>
        <v>9950</v>
      </c>
      <c r="M4" s="4">
        <f>MAX(M3-D3,I3)</f>
        <v>249900</v>
      </c>
      <c r="N4" s="5">
        <v>1025000</v>
      </c>
      <c r="O4" s="5">
        <f>INT(Z4&gt;T4)*MIN(N4,W4)</f>
        <v>1025000</v>
      </c>
      <c r="P4" s="5">
        <f t="shared" ref="P4:P5" si="1">$O4*R4/($R4+$S4)</f>
        <v>36708.669962619075</v>
      </c>
      <c r="Q4" s="5">
        <f t="shared" ref="Q4:Q7" si="2">$O4*S4/($R4+$S4)</f>
        <v>988291.33003738092</v>
      </c>
      <c r="R4" s="2">
        <f>MAX(L4-H4,0)*F$3</f>
        <v>742500</v>
      </c>
      <c r="S4" s="2">
        <f>MAX(M4-I4, 0)*G$3</f>
        <v>19990000</v>
      </c>
      <c r="T4" s="2">
        <v>0.3</v>
      </c>
      <c r="U4" s="9">
        <f t="shared" ref="U4:U30" si="3">(C4*F4 + D4*G4)*E4</f>
        <v>12046.325970274902</v>
      </c>
      <c r="V4" s="9">
        <f t="shared" ref="V4:V30" si="4">IF(AB4&gt;$AR$2,AI4)+IF(AB4&gt;$AR$2+1,AJ4)+IF(AB4&gt;$AR$2+2,AK4)+IF(AB4&gt;$AR$2+3,AL4)+IF(AB4&gt;$AR$2+4,AM4)</f>
        <v>0</v>
      </c>
      <c r="W4" s="2">
        <f>(X4+Y4)*(1-T4)+U4</f>
        <v>14368801.325970275</v>
      </c>
      <c r="X4" s="2">
        <f>X3-P3+L4*J3</f>
        <v>723805.42168674699</v>
      </c>
      <c r="Y4" s="2">
        <f>Y3-Q3+M4*K3</f>
        <v>19785844.578313254</v>
      </c>
      <c r="Z4" s="3">
        <f>X4/R4</f>
        <v>0.97482211674982755</v>
      </c>
      <c r="AA4" s="3">
        <f>Y4/S4</f>
        <v>0.98978712247690115</v>
      </c>
      <c r="AB4" s="2">
        <v>1</v>
      </c>
      <c r="AC4" s="3">
        <v>100</v>
      </c>
      <c r="AD4" s="3">
        <v>0</v>
      </c>
      <c r="AE4" s="3">
        <v>0</v>
      </c>
      <c r="AF4" s="3">
        <v>0</v>
      </c>
      <c r="AG4" s="3">
        <v>0</v>
      </c>
      <c r="AI4" s="3">
        <f>AC4*$AQ2</f>
        <v>0</v>
      </c>
      <c r="AJ4" s="3">
        <f t="shared" ref="AJ4:AM4" si="5">AD4*$AQ2</f>
        <v>0</v>
      </c>
      <c r="AK4" s="3">
        <f t="shared" si="5"/>
        <v>0</v>
      </c>
      <c r="AL4" s="3">
        <f t="shared" si="5"/>
        <v>0</v>
      </c>
      <c r="AM4" s="3">
        <f t="shared" si="5"/>
        <v>0</v>
      </c>
      <c r="AN4" s="3">
        <f>AH4*$AQ2</f>
        <v>0</v>
      </c>
      <c r="AP4">
        <v>0.05</v>
      </c>
      <c r="AQ4">
        <f>SUM(AP$2:AP4)</f>
        <v>6.0000000000000005E-2</v>
      </c>
      <c r="AR4">
        <v>20</v>
      </c>
      <c r="AW4" s="5">
        <v>4100000</v>
      </c>
      <c r="AX4">
        <f t="shared" ref="AX4:AX30" si="6">ROUND(AW4/4,0)</f>
        <v>1025000</v>
      </c>
    </row>
    <row r="5" spans="1:50" x14ac:dyDescent="0.2">
      <c r="C5" s="2">
        <v>40</v>
      </c>
      <c r="D5" s="2">
        <v>120</v>
      </c>
      <c r="E5" s="2">
        <v>0.7</v>
      </c>
      <c r="F5" s="3">
        <f>F$3*Z5</f>
        <v>142.193365444888</v>
      </c>
      <c r="G5" s="3">
        <f t="shared" ref="G5:G30" si="7">G$3*AA5</f>
        <v>97.794292882182489</v>
      </c>
      <c r="H5" s="2">
        <v>5000</v>
      </c>
      <c r="I5" s="2">
        <v>50000</v>
      </c>
      <c r="J5" s="3">
        <f t="shared" ref="J5:J30" si="8">J$3*Z5</f>
        <v>0.94795576963258665</v>
      </c>
      <c r="K5" s="3">
        <f t="shared" ref="K5:K30" si="9">K$3*AA5</f>
        <v>2.9338287864654746</v>
      </c>
      <c r="L5" s="4">
        <f>MAX(L4-C4,H4)</f>
        <v>9900</v>
      </c>
      <c r="M5" s="4">
        <f t="shared" ref="M5:M30" si="10">MAX(M4-D4,I4)</f>
        <v>249800</v>
      </c>
      <c r="N5" s="5">
        <v>1062500</v>
      </c>
      <c r="O5" s="5">
        <f t="shared" ref="O5:O30" si="11">INT(Z5&gt;T5)*MIN(N5,W5)</f>
        <v>1062500</v>
      </c>
      <c r="P5" s="5">
        <f t="shared" si="1"/>
        <v>37699.131064446054</v>
      </c>
      <c r="Q5" s="5">
        <f t="shared" si="2"/>
        <v>1024800.8689355539</v>
      </c>
      <c r="R5" s="2">
        <f t="shared" ref="R5:R30" si="12">MAX(L5-H5,0)*F$3</f>
        <v>735000</v>
      </c>
      <c r="S5" s="2">
        <f t="shared" ref="S5:S30" si="13">MAX(M5-I5, 0)*G$3</f>
        <v>19980000</v>
      </c>
      <c r="T5" s="2">
        <v>0.3</v>
      </c>
      <c r="U5" s="9">
        <f t="shared" si="3"/>
        <v>12196.134834560195</v>
      </c>
      <c r="V5" s="9">
        <f t="shared" si="4"/>
        <v>0</v>
      </c>
      <c r="W5" s="2">
        <f>(X5+Y5)*(1-T5)+U5</f>
        <v>14177429.180812567</v>
      </c>
      <c r="X5" s="2">
        <f>X4-P4+L5*J4</f>
        <v>696747.49067995115</v>
      </c>
      <c r="Y5" s="2">
        <f>Y4-Q4+M5*K4</f>
        <v>19539299.717860062</v>
      </c>
      <c r="Z5" s="3">
        <f>X5/R5</f>
        <v>0.94795576963258665</v>
      </c>
      <c r="AA5" s="3">
        <f>Y5/S5</f>
        <v>0.97794292882182488</v>
      </c>
      <c r="AB5" s="2">
        <v>2</v>
      </c>
      <c r="AC5" s="3">
        <v>100</v>
      </c>
      <c r="AD5" s="3">
        <v>100</v>
      </c>
      <c r="AE5" s="3">
        <v>0</v>
      </c>
      <c r="AF5" s="3">
        <v>0</v>
      </c>
      <c r="AG5" s="3">
        <v>0</v>
      </c>
      <c r="AI5" s="3">
        <f>AC5*$AQ3</f>
        <v>1</v>
      </c>
      <c r="AJ5" s="3">
        <f t="shared" ref="AJ5:AJ30" si="14">AD5*$AQ3</f>
        <v>1</v>
      </c>
      <c r="AK5" s="3">
        <f t="shared" ref="AK5:AK30" si="15">AE5*$AQ3</f>
        <v>0</v>
      </c>
      <c r="AL5" s="3">
        <f t="shared" ref="AL5:AL30" si="16">AF5*$AQ3</f>
        <v>0</v>
      </c>
      <c r="AM5" s="3">
        <f t="shared" ref="AM5:AM30" si="17">AG5*$AQ3</f>
        <v>0</v>
      </c>
      <c r="AN5" s="3">
        <f>AH5*$AQ3</f>
        <v>0</v>
      </c>
      <c r="AP5">
        <v>0.2</v>
      </c>
      <c r="AQ5">
        <f>SUM(AP$2:AP5)</f>
        <v>0.26</v>
      </c>
      <c r="AR5">
        <v>20</v>
      </c>
      <c r="AW5" s="5">
        <v>4250000</v>
      </c>
      <c r="AX5">
        <f t="shared" si="6"/>
        <v>1062500</v>
      </c>
    </row>
    <row r="6" spans="1:50" x14ac:dyDescent="0.2">
      <c r="C6" s="2">
        <v>45</v>
      </c>
      <c r="D6" s="2">
        <v>120</v>
      </c>
      <c r="E6" s="2">
        <v>0.7</v>
      </c>
      <c r="F6" s="3">
        <f t="shared" ref="F6:F30" si="18">F$3*Z6</f>
        <v>137.52987726421449</v>
      </c>
      <c r="G6" s="3">
        <f t="shared" si="7"/>
        <v>96.389308996039688</v>
      </c>
      <c r="H6" s="2">
        <v>5000</v>
      </c>
      <c r="I6" s="2">
        <v>50000</v>
      </c>
      <c r="J6" s="3">
        <f t="shared" si="8"/>
        <v>0.9168658484280966</v>
      </c>
      <c r="K6" s="3">
        <f t="shared" si="9"/>
        <v>2.8916792698811906</v>
      </c>
      <c r="L6" s="4">
        <f t="shared" ref="L6:L30" si="19">MAX(L5-C5,H5)</f>
        <v>9860</v>
      </c>
      <c r="M6" s="4">
        <f t="shared" si="10"/>
        <v>249680</v>
      </c>
      <c r="N6" s="5">
        <v>1100000</v>
      </c>
      <c r="O6" s="5">
        <f t="shared" si="11"/>
        <v>1100000</v>
      </c>
      <c r="P6" s="5">
        <f>$O6*R6/($R6+$S6)</f>
        <v>38744.745615306565</v>
      </c>
      <c r="Q6" s="5">
        <f>$O6*S6/($R6+$S6)</f>
        <v>1061255.2543846935</v>
      </c>
      <c r="R6" s="2">
        <f>MAX(L6-H6,0)*F$3</f>
        <v>729000</v>
      </c>
      <c r="S6" s="2">
        <f t="shared" si="13"/>
        <v>19968000</v>
      </c>
      <c r="T6" s="2">
        <v>0.3</v>
      </c>
      <c r="U6" s="9">
        <f t="shared" si="3"/>
        <v>12428.89308949009</v>
      </c>
      <c r="V6" s="9">
        <f t="shared" si="4"/>
        <v>0</v>
      </c>
      <c r="W6" s="2">
        <f t="shared" ref="W6:W30" si="20">(R6+S6)*(1-T6)+U6</f>
        <v>14500328.89308949</v>
      </c>
      <c r="X6" s="2">
        <f t="shared" ref="X6:X30" si="21">X5-P5+L6*J5</f>
        <v>668395.2035040824</v>
      </c>
      <c r="Y6" s="2">
        <f t="shared" ref="Y6:Y30" si="22">Y5-Q5+M6*K5</f>
        <v>19247017.220329206</v>
      </c>
      <c r="Z6" s="3">
        <f t="shared" ref="Z6:Z30" si="23">X6/R6</f>
        <v>0.9168658484280966</v>
      </c>
      <c r="AA6" s="3">
        <f t="shared" ref="AA6:AA30" si="24">Y6/S6</f>
        <v>0.96389308996039691</v>
      </c>
      <c r="AB6" s="2">
        <v>3</v>
      </c>
      <c r="AC6" s="3">
        <v>100</v>
      </c>
      <c r="AD6" s="3">
        <v>100</v>
      </c>
      <c r="AE6" s="6">
        <v>130</v>
      </c>
      <c r="AF6" s="3">
        <v>0</v>
      </c>
      <c r="AG6" s="3">
        <v>0</v>
      </c>
      <c r="AI6" s="3">
        <f t="shared" ref="AI6:AI30" si="25">AC6*$AQ4</f>
        <v>6.0000000000000009</v>
      </c>
      <c r="AJ6" s="3">
        <f t="shared" si="14"/>
        <v>6.0000000000000009</v>
      </c>
      <c r="AK6" s="3">
        <f t="shared" si="15"/>
        <v>7.8000000000000007</v>
      </c>
      <c r="AL6" s="3">
        <f t="shared" si="16"/>
        <v>0</v>
      </c>
      <c r="AM6" s="3">
        <f t="shared" si="17"/>
        <v>0</v>
      </c>
      <c r="AN6" s="3">
        <f t="shared" ref="AN6:AN30" si="26">AH6*$AQ4</f>
        <v>0</v>
      </c>
      <c r="AP6">
        <v>0.6</v>
      </c>
      <c r="AQ6">
        <f>SUM(AP$2:AP6)</f>
        <v>0.86</v>
      </c>
      <c r="AR6">
        <v>20</v>
      </c>
      <c r="AW6" s="5">
        <v>4400000</v>
      </c>
      <c r="AX6">
        <f t="shared" si="6"/>
        <v>1100000</v>
      </c>
    </row>
    <row r="7" spans="1:50" x14ac:dyDescent="0.2">
      <c r="C7" s="2">
        <v>45</v>
      </c>
      <c r="D7" s="2">
        <v>120</v>
      </c>
      <c r="E7" s="2">
        <v>0.7</v>
      </c>
      <c r="F7" s="3">
        <f t="shared" si="18"/>
        <v>132.6374862286807</v>
      </c>
      <c r="G7" s="3">
        <f t="shared" si="7"/>
        <v>94.745487294728719</v>
      </c>
      <c r="H7" s="2">
        <v>5000</v>
      </c>
      <c r="I7" s="2">
        <v>50000</v>
      </c>
      <c r="J7" s="3">
        <f t="shared" si="8"/>
        <v>0.88424990819120475</v>
      </c>
      <c r="K7" s="3">
        <f t="shared" si="9"/>
        <v>2.8423646188418616</v>
      </c>
      <c r="L7" s="4">
        <f t="shared" si="19"/>
        <v>9815</v>
      </c>
      <c r="M7" s="4">
        <f t="shared" si="10"/>
        <v>249560</v>
      </c>
      <c r="N7" s="5">
        <v>1105000</v>
      </c>
      <c r="O7" s="5">
        <f>INT(Z7&gt;T7)*MIN(N7,W7)</f>
        <v>1105000</v>
      </c>
      <c r="P7" s="5">
        <f>$O7*R7/($R7+$S7)</f>
        <v>38595.444488774439</v>
      </c>
      <c r="Q7" s="5">
        <f t="shared" si="2"/>
        <v>1066404.5555112255</v>
      </c>
      <c r="R7" s="2">
        <f t="shared" si="12"/>
        <v>722250</v>
      </c>
      <c r="S7" s="2">
        <f t="shared" si="13"/>
        <v>19956000</v>
      </c>
      <c r="T7" s="2">
        <v>0.3</v>
      </c>
      <c r="U7" s="9">
        <f t="shared" si="3"/>
        <v>12136.701748960653</v>
      </c>
      <c r="V7" s="9">
        <f t="shared" si="4"/>
        <v>0</v>
      </c>
      <c r="W7" s="2">
        <f>(R7+S7)*(1-T7)+U7</f>
        <v>14486911.701748962</v>
      </c>
      <c r="X7" s="2">
        <f>X6-P6+L7*J6</f>
        <v>638649.49619109766</v>
      </c>
      <c r="Y7" s="2">
        <f t="shared" si="22"/>
        <v>18907409.444536064</v>
      </c>
      <c r="Z7" s="3">
        <f t="shared" si="23"/>
        <v>0.88424990819120475</v>
      </c>
      <c r="AA7" s="3">
        <f t="shared" si="24"/>
        <v>0.94745487294728725</v>
      </c>
      <c r="AB7" s="4">
        <v>4</v>
      </c>
      <c r="AC7" s="3">
        <v>100</v>
      </c>
      <c r="AD7" s="3">
        <v>100</v>
      </c>
      <c r="AE7" s="6">
        <v>130</v>
      </c>
      <c r="AF7" s="3">
        <v>200</v>
      </c>
      <c r="AG7" s="3">
        <v>0</v>
      </c>
      <c r="AI7" s="3">
        <f t="shared" si="25"/>
        <v>26</v>
      </c>
      <c r="AJ7" s="3">
        <f t="shared" si="14"/>
        <v>26</v>
      </c>
      <c r="AK7" s="3">
        <f t="shared" si="15"/>
        <v>33.800000000000004</v>
      </c>
      <c r="AL7" s="3">
        <f t="shared" si="16"/>
        <v>52</v>
      </c>
      <c r="AM7" s="3">
        <f t="shared" si="17"/>
        <v>0</v>
      </c>
      <c r="AN7" s="3">
        <f t="shared" si="26"/>
        <v>0</v>
      </c>
      <c r="AP7">
        <v>1.8</v>
      </c>
      <c r="AQ7">
        <f>SUM(AP$2:AP7)</f>
        <v>2.66</v>
      </c>
      <c r="AR7">
        <v>20</v>
      </c>
      <c r="AW7" s="5">
        <v>4420000</v>
      </c>
      <c r="AX7">
        <f t="shared" si="6"/>
        <v>1105000</v>
      </c>
    </row>
    <row r="8" spans="1:50" x14ac:dyDescent="0.2">
      <c r="C8" s="2">
        <v>40</v>
      </c>
      <c r="D8" s="2">
        <v>120</v>
      </c>
      <c r="E8" s="2">
        <v>0.7</v>
      </c>
      <c r="F8" s="3">
        <f t="shared" si="18"/>
        <v>127.60863172019944</v>
      </c>
      <c r="G8" s="3">
        <f t="shared" si="7"/>
        <v>93.01045086015219</v>
      </c>
      <c r="H8" s="2">
        <v>5000</v>
      </c>
      <c r="I8" s="2">
        <v>50000</v>
      </c>
      <c r="J8" s="3">
        <f t="shared" si="8"/>
        <v>0.85072421146799626</v>
      </c>
      <c r="K8" s="3">
        <f t="shared" si="9"/>
        <v>2.7903135258045655</v>
      </c>
      <c r="L8" s="4">
        <f t="shared" si="19"/>
        <v>9770</v>
      </c>
      <c r="M8" s="4">
        <f t="shared" si="10"/>
        <v>249440</v>
      </c>
      <c r="N8" s="5">
        <v>1127100</v>
      </c>
      <c r="O8" s="5">
        <f>INT(Z8&gt;T8)*MIN(N8,W8)</f>
        <v>1127100</v>
      </c>
      <c r="P8" s="5">
        <f t="shared" ref="P8:P30" si="27">$O8*R8/($R8+$S8)</f>
        <v>39034.829013286864</v>
      </c>
      <c r="Q8" s="5">
        <f t="shared" ref="Q8:Q30" si="28">$O8*S8/($R8+$S8)</f>
        <v>1088065.1709867131</v>
      </c>
      <c r="R8" s="2">
        <f t="shared" si="12"/>
        <v>715500</v>
      </c>
      <c r="S8" s="2">
        <f t="shared" si="13"/>
        <v>19944000</v>
      </c>
      <c r="T8" s="2">
        <v>0.3</v>
      </c>
      <c r="U8" s="9">
        <f>(C8*F8 + D8*G8)*E8</f>
        <v>11385.919560418368</v>
      </c>
      <c r="V8" s="9">
        <f t="shared" si="4"/>
        <v>0</v>
      </c>
      <c r="W8" s="2">
        <f t="shared" si="20"/>
        <v>14473035.919560418</v>
      </c>
      <c r="X8" s="2">
        <f>X7-P7+L8*J7</f>
        <v>608693.17330535129</v>
      </c>
      <c r="Y8" s="2">
        <f t="shared" si="22"/>
        <v>18550004.319548752</v>
      </c>
      <c r="Z8" s="3">
        <f t="shared" si="23"/>
        <v>0.85072421146799626</v>
      </c>
      <c r="AA8" s="3">
        <f t="shared" si="24"/>
        <v>0.93010450860152183</v>
      </c>
      <c r="AB8" s="4">
        <v>5</v>
      </c>
      <c r="AC8" s="3">
        <v>100</v>
      </c>
      <c r="AD8" s="3">
        <v>100</v>
      </c>
      <c r="AE8" s="6">
        <v>130</v>
      </c>
      <c r="AF8" s="3">
        <v>200</v>
      </c>
      <c r="AG8" s="3">
        <v>200</v>
      </c>
      <c r="AI8" s="3">
        <f t="shared" si="25"/>
        <v>86</v>
      </c>
      <c r="AJ8" s="3">
        <f t="shared" si="14"/>
        <v>86</v>
      </c>
      <c r="AK8" s="3">
        <f t="shared" si="15"/>
        <v>111.8</v>
      </c>
      <c r="AL8" s="3">
        <f t="shared" si="16"/>
        <v>172</v>
      </c>
      <c r="AM8" s="3">
        <f t="shared" si="17"/>
        <v>172</v>
      </c>
      <c r="AN8" s="3">
        <f t="shared" si="26"/>
        <v>0</v>
      </c>
      <c r="AP8">
        <v>3</v>
      </c>
      <c r="AQ8">
        <f>SUM(AP$2:AP8)</f>
        <v>5.66</v>
      </c>
      <c r="AR8">
        <v>20</v>
      </c>
      <c r="AW8" s="5">
        <v>4508400</v>
      </c>
      <c r="AX8">
        <f t="shared" si="6"/>
        <v>1127100</v>
      </c>
    </row>
    <row r="9" spans="1:50" x14ac:dyDescent="0.2">
      <c r="C9" s="2">
        <v>50</v>
      </c>
      <c r="D9" s="2">
        <v>120</v>
      </c>
      <c r="E9" s="2">
        <v>0.7</v>
      </c>
      <c r="F9" s="3">
        <f t="shared" si="18"/>
        <v>122.18517777370995</v>
      </c>
      <c r="G9" s="3">
        <f t="shared" si="7"/>
        <v>91.097833217016017</v>
      </c>
      <c r="H9" s="2">
        <v>5000</v>
      </c>
      <c r="I9" s="2">
        <v>50000</v>
      </c>
      <c r="J9" s="3">
        <f t="shared" si="8"/>
        <v>0.81456785182473301</v>
      </c>
      <c r="K9" s="3">
        <f t="shared" si="9"/>
        <v>2.7329349965104806</v>
      </c>
      <c r="L9" s="4">
        <f t="shared" si="19"/>
        <v>9730</v>
      </c>
      <c r="M9" s="4">
        <f t="shared" si="10"/>
        <v>249320</v>
      </c>
      <c r="N9" s="5">
        <v>1149643</v>
      </c>
      <c r="O9" s="5">
        <f t="shared" si="11"/>
        <v>1149643</v>
      </c>
      <c r="P9" s="5">
        <f t="shared" si="27"/>
        <v>39516.10631494804</v>
      </c>
      <c r="Q9" s="5">
        <f t="shared" si="28"/>
        <v>1110126.8936850519</v>
      </c>
      <c r="R9" s="2">
        <f t="shared" si="12"/>
        <v>709500</v>
      </c>
      <c r="S9" s="2">
        <f t="shared" si="13"/>
        <v>19932000</v>
      </c>
      <c r="T9" s="2">
        <v>0.3</v>
      </c>
      <c r="U9" s="9">
        <f t="shared" si="3"/>
        <v>11928.699212309191</v>
      </c>
      <c r="V9" s="9">
        <f t="shared" si="4"/>
        <v>0</v>
      </c>
      <c r="W9" s="2">
        <f t="shared" si="20"/>
        <v>14460978.699212309</v>
      </c>
      <c r="X9" s="2">
        <f t="shared" si="21"/>
        <v>577935.89086964808</v>
      </c>
      <c r="Y9" s="2">
        <f t="shared" si="22"/>
        <v>18157620.116815634</v>
      </c>
      <c r="Z9" s="3">
        <f t="shared" si="23"/>
        <v>0.81456785182473301</v>
      </c>
      <c r="AA9" s="3">
        <f t="shared" si="24"/>
        <v>0.91097833217016022</v>
      </c>
      <c r="AB9" s="2">
        <v>6</v>
      </c>
      <c r="AC9" s="3">
        <v>100</v>
      </c>
      <c r="AD9" s="3">
        <v>100</v>
      </c>
      <c r="AE9" s="6">
        <v>130</v>
      </c>
      <c r="AF9" s="3">
        <v>200</v>
      </c>
      <c r="AG9" s="3">
        <v>200</v>
      </c>
      <c r="AH9" s="3">
        <v>200</v>
      </c>
      <c r="AI9" s="3">
        <f t="shared" si="25"/>
        <v>266</v>
      </c>
      <c r="AJ9" s="3">
        <f t="shared" si="14"/>
        <v>266</v>
      </c>
      <c r="AK9" s="3">
        <f t="shared" si="15"/>
        <v>345.8</v>
      </c>
      <c r="AL9" s="3">
        <f t="shared" si="16"/>
        <v>532</v>
      </c>
      <c r="AM9" s="3">
        <f t="shared" si="17"/>
        <v>532</v>
      </c>
      <c r="AN9" s="3">
        <f t="shared" si="26"/>
        <v>532</v>
      </c>
      <c r="AP9">
        <v>6</v>
      </c>
      <c r="AQ9">
        <f>SUM(AP$2:AP9)</f>
        <v>11.66</v>
      </c>
      <c r="AR9">
        <v>20</v>
      </c>
      <c r="AW9" s="5">
        <v>4598570</v>
      </c>
      <c r="AX9">
        <f t="shared" si="6"/>
        <v>1149643</v>
      </c>
    </row>
    <row r="10" spans="1:50" x14ac:dyDescent="0.2">
      <c r="C10" s="2">
        <v>60</v>
      </c>
      <c r="D10" s="2">
        <v>120</v>
      </c>
      <c r="E10" s="2">
        <v>0.7</v>
      </c>
      <c r="F10" s="3">
        <f t="shared" si="18"/>
        <v>116.73179516247083</v>
      </c>
      <c r="G10" s="3">
        <f t="shared" si="7"/>
        <v>88.9986979129568</v>
      </c>
      <c r="H10" s="2">
        <v>5000</v>
      </c>
      <c r="I10" s="2">
        <v>50000</v>
      </c>
      <c r="J10" s="3">
        <f t="shared" si="8"/>
        <v>0.7782119677498055</v>
      </c>
      <c r="K10" s="3">
        <f t="shared" si="9"/>
        <v>2.6699609373887041</v>
      </c>
      <c r="L10" s="4">
        <f t="shared" si="19"/>
        <v>9680</v>
      </c>
      <c r="M10" s="4">
        <f t="shared" si="10"/>
        <v>249200</v>
      </c>
      <c r="N10" s="5">
        <v>1172635</v>
      </c>
      <c r="O10" s="5">
        <f t="shared" si="11"/>
        <v>1172635</v>
      </c>
      <c r="P10" s="5">
        <f t="shared" si="27"/>
        <v>39918.037532732036</v>
      </c>
      <c r="Q10" s="5">
        <f t="shared" si="28"/>
        <v>1132716.9624672679</v>
      </c>
      <c r="R10" s="2">
        <f t="shared" si="12"/>
        <v>702000</v>
      </c>
      <c r="S10" s="2">
        <f t="shared" si="13"/>
        <v>19920000</v>
      </c>
      <c r="T10" s="2">
        <v>0.3</v>
      </c>
      <c r="U10" s="9">
        <f t="shared" si="3"/>
        <v>12378.626021512144</v>
      </c>
      <c r="V10" s="9">
        <f t="shared" si="4"/>
        <v>0</v>
      </c>
      <c r="W10" s="2">
        <f t="shared" si="20"/>
        <v>14447778.626021512</v>
      </c>
      <c r="X10" s="2">
        <f t="shared" si="21"/>
        <v>546304.80136036349</v>
      </c>
      <c r="Y10" s="2">
        <f t="shared" si="22"/>
        <v>17728540.624260996</v>
      </c>
      <c r="Z10" s="3">
        <f t="shared" si="23"/>
        <v>0.7782119677498055</v>
      </c>
      <c r="AA10" s="3">
        <f t="shared" si="24"/>
        <v>0.88998697912956803</v>
      </c>
      <c r="AB10" s="4">
        <v>7</v>
      </c>
      <c r="AC10" s="3">
        <v>100</v>
      </c>
      <c r="AD10" s="3">
        <v>100</v>
      </c>
      <c r="AE10" s="6">
        <v>130</v>
      </c>
      <c r="AF10" s="3">
        <v>200</v>
      </c>
      <c r="AG10" s="3">
        <v>200</v>
      </c>
      <c r="AH10" s="3">
        <v>200</v>
      </c>
      <c r="AI10" s="3">
        <f t="shared" si="25"/>
        <v>566</v>
      </c>
      <c r="AJ10" s="3">
        <f t="shared" si="14"/>
        <v>566</v>
      </c>
      <c r="AK10" s="3">
        <f t="shared" si="15"/>
        <v>735.80000000000007</v>
      </c>
      <c r="AL10" s="3">
        <f t="shared" si="16"/>
        <v>1132</v>
      </c>
      <c r="AM10" s="3">
        <f t="shared" si="17"/>
        <v>1132</v>
      </c>
      <c r="AN10" s="3">
        <f t="shared" si="26"/>
        <v>1132</v>
      </c>
      <c r="AP10">
        <v>10</v>
      </c>
      <c r="AQ10">
        <f>SUM(AP$2:AP10)</f>
        <v>21.66</v>
      </c>
      <c r="AR10">
        <v>20</v>
      </c>
      <c r="AW10" s="5">
        <v>4690540</v>
      </c>
      <c r="AX10">
        <f t="shared" si="6"/>
        <v>1172635</v>
      </c>
    </row>
    <row r="11" spans="1:50" x14ac:dyDescent="0.2">
      <c r="C11" s="2">
        <v>100</v>
      </c>
      <c r="D11" s="2">
        <v>120</v>
      </c>
      <c r="E11" s="2">
        <v>0.7</v>
      </c>
      <c r="F11" s="3">
        <f t="shared" si="18"/>
        <v>111.22795735008324</v>
      </c>
      <c r="G11" s="3">
        <f t="shared" si="7"/>
        <v>86.703122021692309</v>
      </c>
      <c r="H11" s="2">
        <v>5000</v>
      </c>
      <c r="I11" s="2">
        <v>50000</v>
      </c>
      <c r="J11" s="3">
        <f t="shared" si="8"/>
        <v>0.74151971566722163</v>
      </c>
      <c r="K11" s="3">
        <f t="shared" si="9"/>
        <v>2.6010936606507693</v>
      </c>
      <c r="L11" s="4">
        <f t="shared" si="19"/>
        <v>9620</v>
      </c>
      <c r="M11" s="4">
        <f t="shared" si="10"/>
        <v>249080</v>
      </c>
      <c r="N11" s="5">
        <v>1196088</v>
      </c>
      <c r="O11" s="5">
        <f t="shared" si="11"/>
        <v>1196088</v>
      </c>
      <c r="P11" s="5">
        <f t="shared" si="27"/>
        <v>40235.376146788993</v>
      </c>
      <c r="Q11" s="5">
        <f t="shared" si="28"/>
        <v>1155852.6238532111</v>
      </c>
      <c r="R11" s="2">
        <f t="shared" si="12"/>
        <v>693000</v>
      </c>
      <c r="S11" s="2">
        <f t="shared" si="13"/>
        <v>19908000</v>
      </c>
      <c r="T11" s="2">
        <v>0.3</v>
      </c>
      <c r="U11" s="9">
        <f t="shared" si="3"/>
        <v>15069.019264327979</v>
      </c>
      <c r="V11" s="9">
        <f t="shared" si="4"/>
        <v>0</v>
      </c>
      <c r="W11" s="2">
        <f t="shared" si="20"/>
        <v>14435769.019264327</v>
      </c>
      <c r="X11" s="2">
        <f t="shared" si="21"/>
        <v>513873.1629573846</v>
      </c>
      <c r="Y11" s="2">
        <f t="shared" si="22"/>
        <v>17260857.532078505</v>
      </c>
      <c r="Z11" s="3">
        <f t="shared" si="23"/>
        <v>0.74151971566722163</v>
      </c>
      <c r="AA11" s="3">
        <f t="shared" si="24"/>
        <v>0.86703122021692303</v>
      </c>
      <c r="AB11" s="4">
        <v>8</v>
      </c>
      <c r="AC11" s="3">
        <v>100</v>
      </c>
      <c r="AD11" s="3">
        <v>100</v>
      </c>
      <c r="AE11" s="6">
        <v>130</v>
      </c>
      <c r="AF11" s="3">
        <v>200</v>
      </c>
      <c r="AG11" s="3">
        <v>200</v>
      </c>
      <c r="AH11" s="3">
        <v>200</v>
      </c>
      <c r="AI11" s="3">
        <f t="shared" si="25"/>
        <v>1166</v>
      </c>
      <c r="AJ11" s="3">
        <f t="shared" si="14"/>
        <v>1166</v>
      </c>
      <c r="AK11" s="3">
        <f t="shared" si="15"/>
        <v>1515.8</v>
      </c>
      <c r="AL11" s="3">
        <f t="shared" si="16"/>
        <v>2332</v>
      </c>
      <c r="AM11" s="3">
        <f t="shared" si="17"/>
        <v>2332</v>
      </c>
      <c r="AN11" s="3">
        <f t="shared" si="26"/>
        <v>2332</v>
      </c>
      <c r="AP11">
        <v>12</v>
      </c>
      <c r="AQ11">
        <f>SUM(AP$2:AP11)</f>
        <v>33.659999999999997</v>
      </c>
      <c r="AR11">
        <v>20</v>
      </c>
      <c r="AW11" s="5">
        <v>4784350</v>
      </c>
      <c r="AX11">
        <f t="shared" si="6"/>
        <v>1196088</v>
      </c>
    </row>
    <row r="12" spans="1:50" x14ac:dyDescent="0.2">
      <c r="C12" s="2">
        <v>100</v>
      </c>
      <c r="D12" s="2">
        <v>120</v>
      </c>
      <c r="E12" s="2">
        <v>0.7</v>
      </c>
      <c r="F12" s="3">
        <f t="shared" si="18"/>
        <v>106.34890586366096</v>
      </c>
      <c r="G12" s="3">
        <f t="shared" si="7"/>
        <v>84.200709619928176</v>
      </c>
      <c r="H12" s="2">
        <v>5000</v>
      </c>
      <c r="I12" s="2">
        <v>50000</v>
      </c>
      <c r="J12" s="3">
        <f t="shared" si="8"/>
        <v>0.70899270575773976</v>
      </c>
      <c r="K12" s="3">
        <f t="shared" si="9"/>
        <v>2.5260212885978452</v>
      </c>
      <c r="L12" s="4">
        <f t="shared" si="19"/>
        <v>9520</v>
      </c>
      <c r="M12" s="4">
        <f t="shared" si="10"/>
        <v>248960</v>
      </c>
      <c r="N12" s="5">
        <v>1220010</v>
      </c>
      <c r="O12" s="5">
        <f t="shared" si="11"/>
        <v>1220010</v>
      </c>
      <c r="P12" s="5">
        <f t="shared" si="27"/>
        <v>40204.470691163602</v>
      </c>
      <c r="Q12" s="5">
        <f t="shared" si="28"/>
        <v>1179805.5293088364</v>
      </c>
      <c r="R12" s="2">
        <f t="shared" si="12"/>
        <v>678000</v>
      </c>
      <c r="S12" s="2">
        <f t="shared" si="13"/>
        <v>19896000</v>
      </c>
      <c r="T12" s="2">
        <v>0.3</v>
      </c>
      <c r="U12" s="9">
        <f t="shared" si="3"/>
        <v>14517.283018530235</v>
      </c>
      <c r="V12" s="9">
        <f t="shared" si="4"/>
        <v>0</v>
      </c>
      <c r="W12" s="2">
        <f t="shared" si="20"/>
        <v>14416317.283018529</v>
      </c>
      <c r="X12" s="2">
        <f t="shared" si="21"/>
        <v>480697.05450374755</v>
      </c>
      <c r="Y12" s="2">
        <f>Y11-Q11+M12*K11</f>
        <v>16752573.18598091</v>
      </c>
      <c r="Z12" s="3">
        <f t="shared" si="23"/>
        <v>0.70899270575773976</v>
      </c>
      <c r="AA12" s="3">
        <f t="shared" si="24"/>
        <v>0.84200709619928182</v>
      </c>
      <c r="AB12" s="2">
        <v>9</v>
      </c>
      <c r="AC12" s="3">
        <v>100</v>
      </c>
      <c r="AD12" s="3">
        <v>100</v>
      </c>
      <c r="AE12" s="6">
        <v>130</v>
      </c>
      <c r="AF12" s="3">
        <v>200</v>
      </c>
      <c r="AG12" s="3">
        <v>200</v>
      </c>
      <c r="AH12" s="3">
        <v>200</v>
      </c>
      <c r="AI12" s="3">
        <f t="shared" si="25"/>
        <v>2166</v>
      </c>
      <c r="AJ12" s="3">
        <f t="shared" si="14"/>
        <v>2166</v>
      </c>
      <c r="AK12" s="3">
        <f t="shared" si="15"/>
        <v>2815.8</v>
      </c>
      <c r="AL12" s="3">
        <f t="shared" si="16"/>
        <v>4332</v>
      </c>
      <c r="AM12" s="3">
        <f t="shared" si="17"/>
        <v>4332</v>
      </c>
      <c r="AN12" s="3">
        <f t="shared" si="26"/>
        <v>4332</v>
      </c>
      <c r="AP12">
        <v>13.5</v>
      </c>
      <c r="AQ12">
        <f>SUM(AP$2:AP12)</f>
        <v>47.16</v>
      </c>
      <c r="AR12">
        <v>20</v>
      </c>
      <c r="AW12" s="5">
        <v>4880040</v>
      </c>
      <c r="AX12">
        <f t="shared" si="6"/>
        <v>1220010</v>
      </c>
    </row>
    <row r="13" spans="1:50" x14ac:dyDescent="0.2">
      <c r="C13" s="2">
        <v>100</v>
      </c>
      <c r="D13" s="2">
        <v>120</v>
      </c>
      <c r="E13" s="2">
        <v>0.7</v>
      </c>
      <c r="F13" s="3">
        <f t="shared" si="18"/>
        <v>101.16997626715425</v>
      </c>
      <c r="G13" s="3">
        <f t="shared" si="7"/>
        <v>81.479293875109448</v>
      </c>
      <c r="H13" s="2">
        <v>5000</v>
      </c>
      <c r="I13" s="2">
        <v>50000</v>
      </c>
      <c r="J13" s="3">
        <f t="shared" si="8"/>
        <v>0.67446650844769507</v>
      </c>
      <c r="K13" s="3">
        <f t="shared" si="9"/>
        <v>2.4443788162532836</v>
      </c>
      <c r="L13" s="4">
        <f t="shared" si="19"/>
        <v>9420</v>
      </c>
      <c r="M13" s="4">
        <f t="shared" si="10"/>
        <v>248840</v>
      </c>
      <c r="N13" s="5">
        <v>1244410</v>
      </c>
      <c r="O13" s="5">
        <f t="shared" si="11"/>
        <v>1244410</v>
      </c>
      <c r="P13" s="5">
        <f t="shared" si="27"/>
        <v>40153.980143086585</v>
      </c>
      <c r="Q13" s="5">
        <f t="shared" si="28"/>
        <v>1204256.0198569135</v>
      </c>
      <c r="R13" s="2">
        <f t="shared" si="12"/>
        <v>663000</v>
      </c>
      <c r="S13" s="2">
        <f t="shared" si="13"/>
        <v>19884000</v>
      </c>
      <c r="T13" s="2">
        <v>0.3</v>
      </c>
      <c r="U13" s="9">
        <f t="shared" si="3"/>
        <v>13926.15902420999</v>
      </c>
      <c r="V13" s="9">
        <f t="shared" si="4"/>
        <v>0</v>
      </c>
      <c r="W13" s="2">
        <f t="shared" si="20"/>
        <v>14396826.159024211</v>
      </c>
      <c r="X13" s="2">
        <f t="shared" si="21"/>
        <v>447171.29510082182</v>
      </c>
      <c r="Y13" s="2">
        <f t="shared" si="22"/>
        <v>16201342.794126762</v>
      </c>
      <c r="Z13" s="3">
        <f t="shared" si="23"/>
        <v>0.67446650844769507</v>
      </c>
      <c r="AA13" s="3">
        <f t="shared" si="24"/>
        <v>0.81479293875109449</v>
      </c>
      <c r="AB13" s="4">
        <v>10</v>
      </c>
      <c r="AC13" s="3">
        <v>100</v>
      </c>
      <c r="AD13" s="3">
        <v>100</v>
      </c>
      <c r="AE13" s="6">
        <v>130</v>
      </c>
      <c r="AF13" s="3">
        <v>200</v>
      </c>
      <c r="AG13" s="3">
        <v>200</v>
      </c>
      <c r="AH13" s="3">
        <v>200</v>
      </c>
      <c r="AI13" s="3">
        <f t="shared" si="25"/>
        <v>3365.9999999999995</v>
      </c>
      <c r="AJ13" s="3">
        <f t="shared" si="14"/>
        <v>3365.9999999999995</v>
      </c>
      <c r="AK13" s="3">
        <f t="shared" si="15"/>
        <v>4375.7999999999993</v>
      </c>
      <c r="AL13" s="3">
        <f t="shared" si="16"/>
        <v>6731.9999999999991</v>
      </c>
      <c r="AM13" s="3">
        <f t="shared" si="17"/>
        <v>6731.9999999999991</v>
      </c>
      <c r="AN13" s="3">
        <f t="shared" si="26"/>
        <v>6731.9999999999991</v>
      </c>
      <c r="AP13">
        <v>12</v>
      </c>
      <c r="AQ13">
        <f>SUM(AP$2:AP13)</f>
        <v>59.16</v>
      </c>
      <c r="AR13">
        <v>20</v>
      </c>
      <c r="AW13" s="5">
        <v>4977640</v>
      </c>
      <c r="AX13">
        <f t="shared" si="6"/>
        <v>1244410</v>
      </c>
    </row>
    <row r="14" spans="1:50" x14ac:dyDescent="0.2">
      <c r="C14" s="2">
        <v>80</v>
      </c>
      <c r="D14" s="2">
        <v>120</v>
      </c>
      <c r="E14" s="2">
        <v>0.7</v>
      </c>
      <c r="F14" s="3">
        <f t="shared" si="18"/>
        <v>95.672070096404568</v>
      </c>
      <c r="G14" s="3">
        <f t="shared" si="7"/>
        <v>78.527841553182185</v>
      </c>
      <c r="H14" s="2">
        <v>5000</v>
      </c>
      <c r="I14" s="2">
        <v>50000</v>
      </c>
      <c r="J14" s="3">
        <f t="shared" si="8"/>
        <v>0.6378138006426971</v>
      </c>
      <c r="K14" s="3">
        <f t="shared" si="9"/>
        <v>2.3558352465954657</v>
      </c>
      <c r="L14" s="4">
        <f t="shared" si="19"/>
        <v>9320</v>
      </c>
      <c r="M14" s="4">
        <f t="shared" si="10"/>
        <v>248720</v>
      </c>
      <c r="N14" s="5">
        <v>1269298</v>
      </c>
      <c r="O14" s="5">
        <f t="shared" si="11"/>
        <v>1269298</v>
      </c>
      <c r="P14" s="5">
        <f t="shared" si="27"/>
        <v>40083.094736842104</v>
      </c>
      <c r="Q14" s="5">
        <f t="shared" si="28"/>
        <v>1229214.9052631578</v>
      </c>
      <c r="R14" s="2">
        <f t="shared" si="12"/>
        <v>648000</v>
      </c>
      <c r="S14" s="2">
        <f t="shared" si="13"/>
        <v>19872000</v>
      </c>
      <c r="T14" s="2">
        <v>0.3</v>
      </c>
      <c r="U14" s="9">
        <f t="shared" si="3"/>
        <v>11953.974615865958</v>
      </c>
      <c r="V14" s="9">
        <f t="shared" si="4"/>
        <v>0</v>
      </c>
      <c r="W14" s="2">
        <f t="shared" si="20"/>
        <v>14375953.974615866</v>
      </c>
      <c r="X14" s="2">
        <f t="shared" si="21"/>
        <v>413303.34281646775</v>
      </c>
      <c r="Y14" s="2">
        <f t="shared" si="22"/>
        <v>15605052.673448365</v>
      </c>
      <c r="Z14" s="3">
        <f t="shared" si="23"/>
        <v>0.6378138006426971</v>
      </c>
      <c r="AA14" s="3">
        <f t="shared" si="24"/>
        <v>0.78527841553182187</v>
      </c>
      <c r="AB14" s="4">
        <v>11</v>
      </c>
      <c r="AC14" s="3">
        <v>100</v>
      </c>
      <c r="AD14" s="3">
        <v>100</v>
      </c>
      <c r="AE14" s="6">
        <v>130</v>
      </c>
      <c r="AF14" s="3">
        <v>200</v>
      </c>
      <c r="AG14" s="3">
        <v>200</v>
      </c>
      <c r="AH14" s="3">
        <v>200</v>
      </c>
      <c r="AI14" s="3">
        <f t="shared" si="25"/>
        <v>4716</v>
      </c>
      <c r="AJ14" s="3">
        <f t="shared" si="14"/>
        <v>4716</v>
      </c>
      <c r="AK14" s="3">
        <f t="shared" si="15"/>
        <v>6130.7999999999993</v>
      </c>
      <c r="AL14" s="3">
        <f t="shared" si="16"/>
        <v>9432</v>
      </c>
      <c r="AM14" s="3">
        <f t="shared" si="17"/>
        <v>9432</v>
      </c>
      <c r="AN14" s="3">
        <f t="shared" si="26"/>
        <v>9432</v>
      </c>
      <c r="AP14">
        <v>10</v>
      </c>
      <c r="AQ14">
        <f>SUM(AP$2:AP14)</f>
        <v>69.16</v>
      </c>
      <c r="AR14">
        <v>20</v>
      </c>
      <c r="AW14" s="5">
        <v>5077190</v>
      </c>
      <c r="AX14">
        <f t="shared" si="6"/>
        <v>1269298</v>
      </c>
    </row>
    <row r="15" spans="1:50" x14ac:dyDescent="0.2">
      <c r="C15" s="2">
        <v>75</v>
      </c>
      <c r="D15" s="2">
        <v>120</v>
      </c>
      <c r="E15" s="2">
        <v>0.7</v>
      </c>
      <c r="F15" s="3">
        <f t="shared" si="18"/>
        <v>89.413596131500981</v>
      </c>
      <c r="G15" s="3">
        <f t="shared" si="7"/>
        <v>75.334835903770596</v>
      </c>
      <c r="H15" s="2">
        <v>5000</v>
      </c>
      <c r="I15" s="2">
        <v>50000</v>
      </c>
      <c r="J15" s="3">
        <f t="shared" si="8"/>
        <v>0.59609064087667318</v>
      </c>
      <c r="K15" s="3">
        <f t="shared" si="9"/>
        <v>2.2600450771131175</v>
      </c>
      <c r="L15" s="4">
        <f t="shared" si="19"/>
        <v>9240</v>
      </c>
      <c r="M15" s="4">
        <f t="shared" si="10"/>
        <v>248600</v>
      </c>
      <c r="N15" s="5">
        <v>1294683</v>
      </c>
      <c r="O15" s="5">
        <f t="shared" si="11"/>
        <v>1294683</v>
      </c>
      <c r="P15" s="5">
        <f t="shared" si="27"/>
        <v>40174.589578454332</v>
      </c>
      <c r="Q15" s="5">
        <f t="shared" si="28"/>
        <v>1254508.4104215456</v>
      </c>
      <c r="R15" s="2">
        <f t="shared" si="12"/>
        <v>636000</v>
      </c>
      <c r="S15" s="2">
        <f t="shared" si="13"/>
        <v>19860000</v>
      </c>
      <c r="T15" s="2">
        <v>0.3</v>
      </c>
      <c r="U15" s="9">
        <f t="shared" si="3"/>
        <v>11022.34001282053</v>
      </c>
      <c r="V15" s="9">
        <f t="shared" si="4"/>
        <v>0</v>
      </c>
      <c r="W15" s="2">
        <f t="shared" si="20"/>
        <v>14358222.34001282</v>
      </c>
      <c r="X15" s="2">
        <f t="shared" si="21"/>
        <v>379113.64759756415</v>
      </c>
      <c r="Y15" s="2">
        <f t="shared" si="22"/>
        <v>14961498.41048884</v>
      </c>
      <c r="Z15" s="3">
        <f t="shared" si="23"/>
        <v>0.59609064087667318</v>
      </c>
      <c r="AA15" s="3">
        <f t="shared" si="24"/>
        <v>0.75334835903770592</v>
      </c>
      <c r="AB15" s="2">
        <v>12</v>
      </c>
      <c r="AC15" s="3">
        <v>100</v>
      </c>
      <c r="AD15" s="3">
        <v>100</v>
      </c>
      <c r="AE15" s="6">
        <v>130</v>
      </c>
      <c r="AF15" s="3">
        <v>200</v>
      </c>
      <c r="AG15" s="3">
        <v>200</v>
      </c>
      <c r="AH15" s="3">
        <v>200</v>
      </c>
      <c r="AI15" s="3">
        <f t="shared" si="25"/>
        <v>5916</v>
      </c>
      <c r="AJ15" s="3">
        <f t="shared" si="14"/>
        <v>5916</v>
      </c>
      <c r="AK15" s="3">
        <f t="shared" si="15"/>
        <v>7690.7999999999993</v>
      </c>
      <c r="AL15" s="3">
        <f t="shared" si="16"/>
        <v>11832</v>
      </c>
      <c r="AM15" s="3">
        <f t="shared" si="17"/>
        <v>11832</v>
      </c>
      <c r="AN15" s="3">
        <f t="shared" si="26"/>
        <v>11832</v>
      </c>
      <c r="AP15">
        <v>6</v>
      </c>
      <c r="AQ15">
        <f>SUM(AP$2:AP15)</f>
        <v>75.16</v>
      </c>
      <c r="AR15">
        <v>20</v>
      </c>
      <c r="AW15" s="5">
        <v>5178730</v>
      </c>
      <c r="AX15">
        <f t="shared" si="6"/>
        <v>1294683</v>
      </c>
    </row>
    <row r="16" spans="1:50" x14ac:dyDescent="0.2">
      <c r="C16" s="2">
        <v>60</v>
      </c>
      <c r="D16" s="2">
        <v>120</v>
      </c>
      <c r="E16" s="2">
        <v>0.7</v>
      </c>
      <c r="F16" s="3">
        <f t="shared" si="18"/>
        <v>82.689610742555715</v>
      </c>
      <c r="G16" s="3">
        <f t="shared" si="7"/>
        <v>71.88918783166244</v>
      </c>
      <c r="H16" s="2">
        <v>5000</v>
      </c>
      <c r="I16" s="2">
        <v>50000</v>
      </c>
      <c r="J16" s="3">
        <f t="shared" si="8"/>
        <v>0.55126407161703805</v>
      </c>
      <c r="K16" s="3">
        <f t="shared" si="9"/>
        <v>2.156675634949873</v>
      </c>
      <c r="L16" s="4">
        <f t="shared" si="19"/>
        <v>9165</v>
      </c>
      <c r="M16" s="4">
        <f t="shared" si="10"/>
        <v>248480</v>
      </c>
      <c r="N16" s="5">
        <v>1320575</v>
      </c>
      <c r="O16" s="5">
        <f t="shared" si="11"/>
        <v>1320575</v>
      </c>
      <c r="P16" s="5">
        <f t="shared" si="27"/>
        <v>40298.896398871671</v>
      </c>
      <c r="Q16" s="5">
        <f t="shared" si="28"/>
        <v>1280276.1036011283</v>
      </c>
      <c r="R16" s="2">
        <f t="shared" si="12"/>
        <v>624750</v>
      </c>
      <c r="S16" s="2">
        <f t="shared" si="13"/>
        <v>19848000</v>
      </c>
      <c r="T16" s="2">
        <v>0.3</v>
      </c>
      <c r="U16" s="9">
        <f t="shared" si="3"/>
        <v>9511.655429046983</v>
      </c>
      <c r="V16" s="9">
        <f t="shared" si="4"/>
        <v>0</v>
      </c>
      <c r="W16" s="2">
        <f t="shared" si="20"/>
        <v>14340436.655429047</v>
      </c>
      <c r="X16" s="2">
        <f t="shared" si="21"/>
        <v>344402.22874274454</v>
      </c>
      <c r="Y16" s="2">
        <f t="shared" si="22"/>
        <v>14268566.000828361</v>
      </c>
      <c r="Z16" s="3">
        <f t="shared" si="23"/>
        <v>0.55126407161703805</v>
      </c>
      <c r="AA16" s="3">
        <f t="shared" si="24"/>
        <v>0.71889187831662438</v>
      </c>
      <c r="AB16" s="4">
        <v>13</v>
      </c>
      <c r="AC16" s="3">
        <v>100</v>
      </c>
      <c r="AD16" s="3">
        <v>100</v>
      </c>
      <c r="AE16" s="6">
        <v>130</v>
      </c>
      <c r="AF16" s="3">
        <v>200</v>
      </c>
      <c r="AG16" s="3">
        <v>200</v>
      </c>
      <c r="AH16" s="3">
        <v>200</v>
      </c>
      <c r="AI16" s="3">
        <f t="shared" si="25"/>
        <v>6916</v>
      </c>
      <c r="AJ16" s="3">
        <f t="shared" si="14"/>
        <v>6916</v>
      </c>
      <c r="AK16" s="3">
        <f t="shared" si="15"/>
        <v>8990.7999999999993</v>
      </c>
      <c r="AL16" s="3">
        <f t="shared" si="16"/>
        <v>13832</v>
      </c>
      <c r="AM16" s="3">
        <f t="shared" si="17"/>
        <v>13832</v>
      </c>
      <c r="AN16" s="3">
        <f t="shared" si="26"/>
        <v>13832</v>
      </c>
      <c r="AP16">
        <v>3</v>
      </c>
      <c r="AQ16">
        <f>SUM(AP$2:AP16)</f>
        <v>78.16</v>
      </c>
      <c r="AR16">
        <v>20</v>
      </c>
      <c r="AW16" s="5">
        <v>5282300</v>
      </c>
      <c r="AX16">
        <f t="shared" si="6"/>
        <v>1320575</v>
      </c>
    </row>
    <row r="17" spans="3:50" x14ac:dyDescent="0.2">
      <c r="C17" s="2">
        <v>40</v>
      </c>
      <c r="D17" s="2">
        <v>120</v>
      </c>
      <c r="E17" s="2">
        <v>0.7</v>
      </c>
      <c r="F17" s="3">
        <f t="shared" si="18"/>
        <v>75.303920028245059</v>
      </c>
      <c r="G17" s="3">
        <f t="shared" si="7"/>
        <v>68.17867441985976</v>
      </c>
      <c r="H17" s="2">
        <v>5000</v>
      </c>
      <c r="I17" s="2">
        <v>50000</v>
      </c>
      <c r="J17" s="3">
        <f t="shared" si="8"/>
        <v>0.50202613352163372</v>
      </c>
      <c r="K17" s="3">
        <f t="shared" si="9"/>
        <v>2.0453602325957929</v>
      </c>
      <c r="L17" s="4">
        <f t="shared" si="19"/>
        <v>9105</v>
      </c>
      <c r="M17" s="4">
        <f t="shared" si="10"/>
        <v>248360</v>
      </c>
      <c r="N17" s="5">
        <v>1346988</v>
      </c>
      <c r="O17" s="5">
        <f t="shared" si="11"/>
        <v>1346988</v>
      </c>
      <c r="P17" s="5">
        <f t="shared" si="27"/>
        <v>40554.371190729398</v>
      </c>
      <c r="Q17" s="5">
        <f t="shared" si="28"/>
        <v>1306433.6288092707</v>
      </c>
      <c r="R17" s="2">
        <f t="shared" si="12"/>
        <v>615750</v>
      </c>
      <c r="S17" s="2">
        <f t="shared" si="13"/>
        <v>19836000</v>
      </c>
      <c r="T17" s="2">
        <v>0.3</v>
      </c>
      <c r="U17" s="9">
        <f t="shared" si="3"/>
        <v>7835.5184120590802</v>
      </c>
      <c r="V17" s="9">
        <f t="shared" si="4"/>
        <v>0</v>
      </c>
      <c r="W17" s="2">
        <f t="shared" si="20"/>
        <v>14324060.518412059</v>
      </c>
      <c r="X17" s="2">
        <f t="shared" si="21"/>
        <v>309122.59171594598</v>
      </c>
      <c r="Y17" s="2">
        <f t="shared" si="22"/>
        <v>13523921.857923383</v>
      </c>
      <c r="Z17" s="3">
        <f t="shared" si="23"/>
        <v>0.50202613352163372</v>
      </c>
      <c r="AA17" s="3">
        <f t="shared" si="24"/>
        <v>0.68178674419859764</v>
      </c>
      <c r="AB17" s="4">
        <v>14</v>
      </c>
      <c r="AC17" s="3">
        <v>100</v>
      </c>
      <c r="AD17" s="3">
        <v>100</v>
      </c>
      <c r="AE17" s="6">
        <v>130</v>
      </c>
      <c r="AF17" s="3">
        <v>200</v>
      </c>
      <c r="AG17" s="3">
        <v>200</v>
      </c>
      <c r="AH17" s="3">
        <v>200</v>
      </c>
      <c r="AI17" s="3">
        <f t="shared" si="25"/>
        <v>7516</v>
      </c>
      <c r="AJ17" s="3">
        <f t="shared" si="14"/>
        <v>7516</v>
      </c>
      <c r="AK17" s="3">
        <f t="shared" si="15"/>
        <v>9770.7999999999993</v>
      </c>
      <c r="AL17" s="3">
        <f t="shared" si="16"/>
        <v>15032</v>
      </c>
      <c r="AM17" s="3">
        <f t="shared" si="17"/>
        <v>15032</v>
      </c>
      <c r="AN17" s="3">
        <f t="shared" si="26"/>
        <v>15032</v>
      </c>
      <c r="AP17">
        <v>1.8</v>
      </c>
      <c r="AQ17">
        <f>SUM(AP$2:AP17)</f>
        <v>79.959999999999994</v>
      </c>
      <c r="AR17">
        <v>20</v>
      </c>
      <c r="AW17" s="5">
        <v>5387950</v>
      </c>
      <c r="AX17">
        <f t="shared" si="6"/>
        <v>1346988</v>
      </c>
    </row>
    <row r="18" spans="3:50" x14ac:dyDescent="0.2">
      <c r="C18" s="2">
        <v>20</v>
      </c>
      <c r="D18" s="2">
        <v>120</v>
      </c>
      <c r="E18" s="2">
        <v>0.7</v>
      </c>
      <c r="F18" s="3">
        <f t="shared" si="18"/>
        <v>67.187967386369053</v>
      </c>
      <c r="G18" s="3">
        <f t="shared" si="7"/>
        <v>64.191023271053737</v>
      </c>
      <c r="H18" s="2">
        <v>5000</v>
      </c>
      <c r="I18" s="2">
        <v>50000</v>
      </c>
      <c r="J18" s="3">
        <f t="shared" si="8"/>
        <v>0.44791978257579368</v>
      </c>
      <c r="K18" s="3">
        <f t="shared" si="9"/>
        <v>1.9257306981316122</v>
      </c>
      <c r="L18" s="4">
        <f t="shared" si="19"/>
        <v>9065</v>
      </c>
      <c r="M18" s="4">
        <f t="shared" si="10"/>
        <v>248240</v>
      </c>
      <c r="N18" s="5">
        <v>1373928</v>
      </c>
      <c r="O18" s="5">
        <f t="shared" si="11"/>
        <v>1373928</v>
      </c>
      <c r="P18" s="5">
        <f t="shared" si="27"/>
        <v>40998.475463387775</v>
      </c>
      <c r="Q18" s="5">
        <f t="shared" si="28"/>
        <v>1332929.5245366122</v>
      </c>
      <c r="R18" s="2">
        <f t="shared" si="12"/>
        <v>609750</v>
      </c>
      <c r="S18" s="2">
        <f t="shared" si="13"/>
        <v>19824000</v>
      </c>
      <c r="T18" s="2">
        <v>0.3</v>
      </c>
      <c r="U18" s="9">
        <f t="shared" si="3"/>
        <v>6332.6774981776807</v>
      </c>
      <c r="V18" s="9">
        <f t="shared" si="4"/>
        <v>0</v>
      </c>
      <c r="W18" s="2">
        <f t="shared" si="20"/>
        <v>14309957.677498179</v>
      </c>
      <c r="X18" s="2">
        <f t="shared" si="21"/>
        <v>273119.0874255902</v>
      </c>
      <c r="Y18" s="2">
        <f t="shared" si="22"/>
        <v>12725228.453253692</v>
      </c>
      <c r="Z18" s="3">
        <f t="shared" si="23"/>
        <v>0.44791978257579368</v>
      </c>
      <c r="AA18" s="3">
        <f t="shared" si="24"/>
        <v>0.64191023271053738</v>
      </c>
      <c r="AB18" s="2">
        <v>15</v>
      </c>
      <c r="AC18" s="3">
        <v>100</v>
      </c>
      <c r="AD18" s="3">
        <v>100</v>
      </c>
      <c r="AE18" s="6">
        <v>130</v>
      </c>
      <c r="AF18" s="3">
        <v>200</v>
      </c>
      <c r="AG18" s="3">
        <v>200</v>
      </c>
      <c r="AH18" s="3">
        <v>200</v>
      </c>
      <c r="AI18" s="3">
        <f t="shared" si="25"/>
        <v>7816</v>
      </c>
      <c r="AJ18" s="3">
        <f t="shared" si="14"/>
        <v>7816</v>
      </c>
      <c r="AK18" s="3">
        <f t="shared" si="15"/>
        <v>10160.799999999999</v>
      </c>
      <c r="AL18" s="3">
        <f t="shared" si="16"/>
        <v>15632</v>
      </c>
      <c r="AM18" s="3">
        <f t="shared" si="17"/>
        <v>15632</v>
      </c>
      <c r="AN18" s="3">
        <f t="shared" si="26"/>
        <v>15632</v>
      </c>
      <c r="AP18">
        <v>1.1000000000000001</v>
      </c>
      <c r="AQ18">
        <f>SUM(AP$2:AP18)</f>
        <v>81.059999999999988</v>
      </c>
      <c r="AR18">
        <v>20</v>
      </c>
      <c r="AW18" s="5">
        <v>5495710</v>
      </c>
      <c r="AX18">
        <f t="shared" si="6"/>
        <v>1373928</v>
      </c>
    </row>
    <row r="19" spans="3:50" x14ac:dyDescent="0.2">
      <c r="C19" s="2">
        <v>20</v>
      </c>
      <c r="D19" s="2">
        <v>120</v>
      </c>
      <c r="E19" s="2">
        <v>0.7</v>
      </c>
      <c r="F19" s="3">
        <f t="shared" si="18"/>
        <v>58.386167217700972</v>
      </c>
      <c r="G19" s="3">
        <f t="shared" si="7"/>
        <v>59.913745354015226</v>
      </c>
      <c r="H19" s="2">
        <v>5000</v>
      </c>
      <c r="I19" s="2">
        <v>50000</v>
      </c>
      <c r="J19" s="3">
        <f t="shared" si="8"/>
        <v>0.38924111478467316</v>
      </c>
      <c r="K19" s="3">
        <f t="shared" si="9"/>
        <v>1.7974123606204566</v>
      </c>
      <c r="L19" s="4">
        <f t="shared" si="19"/>
        <v>9045</v>
      </c>
      <c r="M19" s="4">
        <f t="shared" si="10"/>
        <v>248120</v>
      </c>
      <c r="N19" s="5">
        <v>1401405</v>
      </c>
      <c r="O19" s="5">
        <f t="shared" si="11"/>
        <v>1401405</v>
      </c>
      <c r="P19" s="5">
        <f t="shared" si="27"/>
        <v>41643.219283746555</v>
      </c>
      <c r="Q19" s="5">
        <f t="shared" si="28"/>
        <v>1359761.7807162534</v>
      </c>
      <c r="R19" s="2">
        <f t="shared" si="12"/>
        <v>606750</v>
      </c>
      <c r="S19" s="2">
        <f t="shared" si="13"/>
        <v>19812000</v>
      </c>
      <c r="T19" s="2">
        <v>0.3</v>
      </c>
      <c r="U19" s="9">
        <f t="shared" si="3"/>
        <v>5850.1609507850926</v>
      </c>
      <c r="V19" s="9">
        <f t="shared" si="4"/>
        <v>0</v>
      </c>
      <c r="W19" s="2">
        <f t="shared" si="20"/>
        <v>14298975.160950786</v>
      </c>
      <c r="X19" s="2">
        <f t="shared" si="21"/>
        <v>236172.04639560045</v>
      </c>
      <c r="Y19" s="2">
        <f t="shared" si="22"/>
        <v>11870111.229537496</v>
      </c>
      <c r="Z19" s="3">
        <f t="shared" si="23"/>
        <v>0.38924111478467316</v>
      </c>
      <c r="AA19" s="3">
        <f t="shared" si="24"/>
        <v>0.59913745354015224</v>
      </c>
      <c r="AB19" s="4">
        <v>16</v>
      </c>
      <c r="AC19" s="3">
        <v>100</v>
      </c>
      <c r="AD19" s="3">
        <v>100</v>
      </c>
      <c r="AE19" s="6">
        <v>130</v>
      </c>
      <c r="AF19" s="3">
        <v>200</v>
      </c>
      <c r="AG19" s="3">
        <v>200</v>
      </c>
      <c r="AH19" s="3">
        <v>200</v>
      </c>
      <c r="AI19" s="3">
        <f t="shared" si="25"/>
        <v>7995.9999999999991</v>
      </c>
      <c r="AJ19" s="3">
        <f t="shared" si="14"/>
        <v>7995.9999999999991</v>
      </c>
      <c r="AK19" s="3">
        <f t="shared" si="15"/>
        <v>10394.799999999999</v>
      </c>
      <c r="AL19" s="3">
        <f t="shared" si="16"/>
        <v>15991.999999999998</v>
      </c>
      <c r="AM19" s="3">
        <f t="shared" si="17"/>
        <v>15991.999999999998</v>
      </c>
      <c r="AN19" s="3">
        <f t="shared" si="26"/>
        <v>15991.999999999998</v>
      </c>
      <c r="AP19">
        <v>0.5</v>
      </c>
      <c r="AQ19">
        <f>SUM(AP$2:AP19)</f>
        <v>81.559999999999988</v>
      </c>
      <c r="AR19">
        <v>20</v>
      </c>
      <c r="AW19" s="5">
        <v>5605620</v>
      </c>
      <c r="AX19">
        <f t="shared" si="6"/>
        <v>1401405</v>
      </c>
    </row>
    <row r="20" spans="3:50" x14ac:dyDescent="0.2">
      <c r="C20" s="2">
        <v>20</v>
      </c>
      <c r="D20" s="2">
        <v>120</v>
      </c>
      <c r="E20" s="2">
        <v>0.7</v>
      </c>
      <c r="F20" s="3">
        <f t="shared" si="18"/>
        <v>49.202913831747971</v>
      </c>
      <c r="G20" s="3">
        <f t="shared" si="7"/>
        <v>55.333877344722815</v>
      </c>
      <c r="H20" s="2">
        <v>5000</v>
      </c>
      <c r="I20" s="2">
        <v>50000</v>
      </c>
      <c r="J20" s="3">
        <f t="shared" si="8"/>
        <v>0.32801942554498648</v>
      </c>
      <c r="K20" s="3">
        <f t="shared" si="9"/>
        <v>1.6600163203416844</v>
      </c>
      <c r="L20" s="4">
        <f t="shared" si="19"/>
        <v>9025</v>
      </c>
      <c r="M20" s="4">
        <f t="shared" si="10"/>
        <v>248000</v>
      </c>
      <c r="N20" s="5">
        <v>1429433</v>
      </c>
      <c r="O20" s="5">
        <f>INT(Z20&gt;T20)*MIN(N20,W20)</f>
        <v>1429433</v>
      </c>
      <c r="P20" s="5">
        <f t="shared" si="27"/>
        <v>42297.135269251972</v>
      </c>
      <c r="Q20" s="5">
        <f t="shared" si="28"/>
        <v>1387135.8647307481</v>
      </c>
      <c r="R20" s="2">
        <f t="shared" si="12"/>
        <v>603750</v>
      </c>
      <c r="S20" s="2">
        <f t="shared" si="13"/>
        <v>19800000</v>
      </c>
      <c r="T20" s="2">
        <v>0.3</v>
      </c>
      <c r="U20" s="9">
        <f t="shared" si="3"/>
        <v>5336.8864906011868</v>
      </c>
      <c r="V20" s="9">
        <f t="shared" si="4"/>
        <v>0</v>
      </c>
      <c r="W20" s="2">
        <f t="shared" si="20"/>
        <v>14287961.886490602</v>
      </c>
      <c r="X20" s="2">
        <f t="shared" si="21"/>
        <v>198041.72817278557</v>
      </c>
      <c r="Y20" s="2">
        <f t="shared" si="22"/>
        <v>10956107.714255117</v>
      </c>
      <c r="Z20" s="3">
        <f t="shared" si="23"/>
        <v>0.32801942554498648</v>
      </c>
      <c r="AA20" s="3">
        <f t="shared" si="24"/>
        <v>0.55333877344722815</v>
      </c>
      <c r="AB20" s="4">
        <v>17</v>
      </c>
      <c r="AC20" s="3">
        <v>100</v>
      </c>
      <c r="AD20" s="3">
        <v>100</v>
      </c>
      <c r="AE20" s="6">
        <v>130</v>
      </c>
      <c r="AF20" s="3">
        <v>200</v>
      </c>
      <c r="AG20" s="3">
        <v>200</v>
      </c>
      <c r="AH20" s="3">
        <v>200</v>
      </c>
      <c r="AI20" s="3">
        <f t="shared" si="25"/>
        <v>8105.9999999999991</v>
      </c>
      <c r="AJ20" s="3">
        <f t="shared" si="14"/>
        <v>8105.9999999999991</v>
      </c>
      <c r="AK20" s="3">
        <f t="shared" si="15"/>
        <v>10537.8</v>
      </c>
      <c r="AL20" s="3">
        <f t="shared" si="16"/>
        <v>16211.999999999998</v>
      </c>
      <c r="AM20" s="3">
        <f t="shared" si="17"/>
        <v>16211.999999999998</v>
      </c>
      <c r="AN20" s="3">
        <f t="shared" si="26"/>
        <v>16211.999999999998</v>
      </c>
      <c r="AP20">
        <v>0.3</v>
      </c>
      <c r="AQ20">
        <f>SUM(AP$2:AP20)</f>
        <v>81.859999999999985</v>
      </c>
      <c r="AR20">
        <v>20</v>
      </c>
      <c r="AW20" s="5">
        <v>5717730</v>
      </c>
      <c r="AX20">
        <f t="shared" si="6"/>
        <v>1429433</v>
      </c>
    </row>
    <row r="21" spans="3:50" x14ac:dyDescent="0.2">
      <c r="C21" s="2">
        <v>20</v>
      </c>
      <c r="D21" s="2">
        <v>120</v>
      </c>
      <c r="E21" s="2">
        <v>0.7</v>
      </c>
      <c r="F21" s="3">
        <f t="shared" si="18"/>
        <v>39.625070619367335</v>
      </c>
      <c r="G21" s="3">
        <f t="shared" si="7"/>
        <v>50.436914771632637</v>
      </c>
      <c r="H21" s="2">
        <v>5000</v>
      </c>
      <c r="I21" s="2">
        <v>50000</v>
      </c>
      <c r="J21" s="3">
        <f t="shared" si="8"/>
        <v>0.26416713746244891</v>
      </c>
      <c r="K21" s="3">
        <f t="shared" si="9"/>
        <v>1.513107443148979</v>
      </c>
      <c r="L21" s="4">
        <f t="shared" si="19"/>
        <v>9005</v>
      </c>
      <c r="M21" s="4">
        <f t="shared" si="10"/>
        <v>247880</v>
      </c>
      <c r="N21" s="5">
        <v>1458020</v>
      </c>
      <c r="O21" s="5">
        <f t="shared" si="11"/>
        <v>0</v>
      </c>
      <c r="P21" s="5">
        <f t="shared" si="27"/>
        <v>0</v>
      </c>
      <c r="Q21" s="5">
        <f t="shared" si="28"/>
        <v>0</v>
      </c>
      <c r="R21" s="2">
        <f t="shared" si="12"/>
        <v>600750</v>
      </c>
      <c r="S21" s="2">
        <f t="shared" si="13"/>
        <v>19788000</v>
      </c>
      <c r="T21" s="2">
        <v>0.3</v>
      </c>
      <c r="U21" s="9">
        <f t="shared" si="3"/>
        <v>4791.4518294882846</v>
      </c>
      <c r="V21" s="9">
        <f t="shared" si="4"/>
        <v>0</v>
      </c>
      <c r="W21" s="2">
        <f t="shared" si="20"/>
        <v>14276916.451829487</v>
      </c>
      <c r="X21" s="2">
        <f t="shared" si="21"/>
        <v>158698.4078305662</v>
      </c>
      <c r="Y21" s="2">
        <f t="shared" si="22"/>
        <v>9980456.6950106658</v>
      </c>
      <c r="Z21" s="3">
        <f t="shared" si="23"/>
        <v>0.26416713746244891</v>
      </c>
      <c r="AA21" s="3">
        <f t="shared" si="24"/>
        <v>0.50436914771632635</v>
      </c>
      <c r="AB21" s="2">
        <v>18</v>
      </c>
      <c r="AC21" s="3">
        <v>100</v>
      </c>
      <c r="AD21" s="3">
        <v>100</v>
      </c>
      <c r="AE21" s="6">
        <v>130</v>
      </c>
      <c r="AF21" s="3">
        <v>200</v>
      </c>
      <c r="AG21" s="3">
        <v>200</v>
      </c>
      <c r="AH21" s="3">
        <v>200</v>
      </c>
      <c r="AI21" s="3">
        <f t="shared" si="25"/>
        <v>8155.9999999999991</v>
      </c>
      <c r="AJ21" s="3">
        <f t="shared" si="14"/>
        <v>8155.9999999999991</v>
      </c>
      <c r="AK21" s="3">
        <f t="shared" si="15"/>
        <v>10602.8</v>
      </c>
      <c r="AL21" s="3">
        <f t="shared" si="16"/>
        <v>16311.999999999998</v>
      </c>
      <c r="AM21" s="3">
        <f t="shared" si="17"/>
        <v>16311.999999999998</v>
      </c>
      <c r="AN21" s="3">
        <f t="shared" si="26"/>
        <v>16311.999999999998</v>
      </c>
      <c r="AP21">
        <v>0.2</v>
      </c>
      <c r="AQ21">
        <f>SUM(AP$2:AP21)</f>
        <v>82.059999999999988</v>
      </c>
      <c r="AR21">
        <v>20</v>
      </c>
      <c r="AW21" s="5">
        <v>5832080</v>
      </c>
      <c r="AX21">
        <f t="shared" si="6"/>
        <v>1458020</v>
      </c>
    </row>
    <row r="22" spans="3:50" x14ac:dyDescent="0.2">
      <c r="C22" s="2">
        <v>20</v>
      </c>
      <c r="D22" s="2">
        <v>120</v>
      </c>
      <c r="E22" s="2">
        <v>0.7</v>
      </c>
      <c r="F22" s="3">
        <f t="shared" si="18"/>
        <v>40.419560742952648</v>
      </c>
      <c r="G22" s="3">
        <f t="shared" si="7"/>
        <v>52.363188688942444</v>
      </c>
      <c r="H22" s="2">
        <v>5000</v>
      </c>
      <c r="I22" s="2">
        <v>50000</v>
      </c>
      <c r="J22" s="3">
        <f t="shared" si="8"/>
        <v>0.26946373828635101</v>
      </c>
      <c r="K22" s="3">
        <f t="shared" si="9"/>
        <v>1.5708956606682731</v>
      </c>
      <c r="L22" s="4">
        <f t="shared" si="19"/>
        <v>8985</v>
      </c>
      <c r="M22" s="4">
        <f t="shared" si="10"/>
        <v>247760</v>
      </c>
      <c r="N22" s="5">
        <v>1487180</v>
      </c>
      <c r="O22" s="5">
        <f t="shared" si="11"/>
        <v>0</v>
      </c>
      <c r="P22" s="5">
        <f t="shared" si="27"/>
        <v>0</v>
      </c>
      <c r="Q22" s="5">
        <f t="shared" si="28"/>
        <v>0</v>
      </c>
      <c r="R22" s="2">
        <f t="shared" si="12"/>
        <v>597750</v>
      </c>
      <c r="S22" s="2">
        <f t="shared" si="13"/>
        <v>19776000</v>
      </c>
      <c r="T22" s="2">
        <v>0.3</v>
      </c>
      <c r="U22" s="9">
        <f t="shared" si="3"/>
        <v>4964.3817002725018</v>
      </c>
      <c r="V22" s="9">
        <f t="shared" si="4"/>
        <v>0</v>
      </c>
      <c r="W22" s="2">
        <f t="shared" si="20"/>
        <v>14266589.381700272</v>
      </c>
      <c r="X22" s="2">
        <f t="shared" si="21"/>
        <v>161071.94956066631</v>
      </c>
      <c r="Y22" s="2">
        <f t="shared" si="22"/>
        <v>10355344.195125258</v>
      </c>
      <c r="Z22" s="3">
        <f t="shared" si="23"/>
        <v>0.26946373828635101</v>
      </c>
      <c r="AA22" s="3">
        <f t="shared" si="24"/>
        <v>0.52363188688942441</v>
      </c>
      <c r="AB22" s="4">
        <v>19</v>
      </c>
      <c r="AC22" s="3">
        <v>100</v>
      </c>
      <c r="AD22" s="3">
        <v>100</v>
      </c>
      <c r="AE22" s="6">
        <v>130</v>
      </c>
      <c r="AF22" s="3">
        <v>200</v>
      </c>
      <c r="AG22" s="3">
        <v>200</v>
      </c>
      <c r="AH22" s="3">
        <v>200</v>
      </c>
      <c r="AI22" s="3">
        <f t="shared" si="25"/>
        <v>8185.9999999999982</v>
      </c>
      <c r="AJ22" s="3">
        <f t="shared" si="14"/>
        <v>8185.9999999999982</v>
      </c>
      <c r="AK22" s="3">
        <f t="shared" si="15"/>
        <v>10641.799999999997</v>
      </c>
      <c r="AL22" s="3">
        <f t="shared" si="16"/>
        <v>16371.999999999996</v>
      </c>
      <c r="AM22" s="3">
        <f t="shared" si="17"/>
        <v>16371.999999999996</v>
      </c>
      <c r="AN22" s="3">
        <f t="shared" si="26"/>
        <v>16371.999999999996</v>
      </c>
      <c r="AP22">
        <v>0.18</v>
      </c>
      <c r="AQ22">
        <f>SUM(AP$2:AP22)</f>
        <v>82.24</v>
      </c>
      <c r="AR22">
        <v>20</v>
      </c>
      <c r="AW22" s="5">
        <v>5948720</v>
      </c>
      <c r="AX22">
        <f t="shared" si="6"/>
        <v>1487180</v>
      </c>
    </row>
    <row r="23" spans="3:50" x14ac:dyDescent="0.2">
      <c r="C23" s="2">
        <v>20</v>
      </c>
      <c r="D23" s="2">
        <v>120</v>
      </c>
      <c r="E23" s="2">
        <v>0.7</v>
      </c>
      <c r="F23" s="3">
        <f t="shared" si="18"/>
        <v>41.23270919909293</v>
      </c>
      <c r="G23" s="3">
        <f t="shared" si="7"/>
        <v>54.36329081427418</v>
      </c>
      <c r="H23" s="2">
        <v>5000</v>
      </c>
      <c r="I23" s="2">
        <v>50000</v>
      </c>
      <c r="J23" s="3">
        <f t="shared" si="8"/>
        <v>0.27488472799395286</v>
      </c>
      <c r="K23" s="3">
        <f t="shared" si="9"/>
        <v>1.6308987244282254</v>
      </c>
      <c r="L23" s="4">
        <f t="shared" si="19"/>
        <v>8965</v>
      </c>
      <c r="M23" s="4">
        <f t="shared" si="10"/>
        <v>247640</v>
      </c>
      <c r="N23" s="5">
        <v>1516923</v>
      </c>
      <c r="O23" s="5">
        <f t="shared" si="11"/>
        <v>0</v>
      </c>
      <c r="P23" s="5">
        <f t="shared" si="27"/>
        <v>0</v>
      </c>
      <c r="Q23" s="5">
        <f t="shared" si="28"/>
        <v>0</v>
      </c>
      <c r="R23" s="2">
        <f t="shared" si="12"/>
        <v>594750</v>
      </c>
      <c r="S23" s="2">
        <f t="shared" si="13"/>
        <v>19764000</v>
      </c>
      <c r="T23" s="2">
        <v>0.3</v>
      </c>
      <c r="U23" s="9">
        <f t="shared" si="3"/>
        <v>5143.7743571863321</v>
      </c>
      <c r="V23" s="9">
        <f t="shared" si="4"/>
        <v>0</v>
      </c>
      <c r="W23" s="2">
        <f t="shared" si="20"/>
        <v>14256268.774357187</v>
      </c>
      <c r="X23" s="2">
        <f t="shared" si="21"/>
        <v>163487.69197440345</v>
      </c>
      <c r="Y23" s="2">
        <f t="shared" si="22"/>
        <v>10744360.796533149</v>
      </c>
      <c r="Z23" s="3">
        <f t="shared" si="23"/>
        <v>0.27488472799395286</v>
      </c>
      <c r="AA23" s="3">
        <f t="shared" si="24"/>
        <v>0.54363290814274179</v>
      </c>
      <c r="AB23" s="4">
        <v>20</v>
      </c>
      <c r="AC23" s="3">
        <v>100</v>
      </c>
      <c r="AD23" s="3">
        <v>100</v>
      </c>
      <c r="AE23" s="6">
        <v>130</v>
      </c>
      <c r="AF23" s="3">
        <v>200</v>
      </c>
      <c r="AG23" s="3">
        <v>200</v>
      </c>
      <c r="AH23" s="3">
        <v>200</v>
      </c>
      <c r="AI23" s="3">
        <f t="shared" si="25"/>
        <v>8205.9999999999982</v>
      </c>
      <c r="AJ23" s="3">
        <f t="shared" si="14"/>
        <v>8205.9999999999982</v>
      </c>
      <c r="AK23" s="3">
        <f t="shared" si="15"/>
        <v>10667.8</v>
      </c>
      <c r="AL23" s="3">
        <f t="shared" si="16"/>
        <v>16411.999999999996</v>
      </c>
      <c r="AM23" s="3">
        <f t="shared" si="17"/>
        <v>16411.999999999996</v>
      </c>
      <c r="AN23" s="3">
        <f t="shared" si="26"/>
        <v>16411.999999999996</v>
      </c>
      <c r="AP23">
        <v>0.17</v>
      </c>
      <c r="AQ23">
        <f>SUM(AP$2:AP23)</f>
        <v>82.41</v>
      </c>
      <c r="AR23">
        <v>20</v>
      </c>
      <c r="AW23" s="5">
        <v>6067690</v>
      </c>
      <c r="AX23">
        <f t="shared" si="6"/>
        <v>1516923</v>
      </c>
    </row>
    <row r="24" spans="3:50" x14ac:dyDescent="0.2">
      <c r="C24" s="2">
        <v>20</v>
      </c>
      <c r="D24" s="2">
        <v>120</v>
      </c>
      <c r="E24" s="2">
        <v>0.7</v>
      </c>
      <c r="F24" s="3">
        <f t="shared" si="18"/>
        <v>42.065028102993502</v>
      </c>
      <c r="G24" s="3">
        <f t="shared" si="7"/>
        <v>56.440061000423356</v>
      </c>
      <c r="H24" s="2">
        <v>5000</v>
      </c>
      <c r="I24" s="2">
        <v>50000</v>
      </c>
      <c r="J24" s="3">
        <f t="shared" si="8"/>
        <v>0.28043352068662336</v>
      </c>
      <c r="K24" s="3">
        <f t="shared" si="9"/>
        <v>1.6932018300127007</v>
      </c>
      <c r="L24" s="4">
        <f t="shared" si="19"/>
        <v>8945</v>
      </c>
      <c r="M24" s="4">
        <f t="shared" si="10"/>
        <v>247520</v>
      </c>
      <c r="N24" s="5">
        <v>1547260</v>
      </c>
      <c r="O24" s="5">
        <f t="shared" si="11"/>
        <v>0</v>
      </c>
      <c r="P24" s="5">
        <f t="shared" si="27"/>
        <v>0</v>
      </c>
      <c r="Q24" s="5">
        <f t="shared" si="28"/>
        <v>0</v>
      </c>
      <c r="R24" s="2">
        <f t="shared" si="12"/>
        <v>591750</v>
      </c>
      <c r="S24" s="2">
        <f t="shared" si="13"/>
        <v>19752000</v>
      </c>
      <c r="T24" s="2">
        <v>0.3</v>
      </c>
      <c r="U24" s="9">
        <f t="shared" si="3"/>
        <v>5329.8755174774706</v>
      </c>
      <c r="V24" s="9">
        <f t="shared" si="4"/>
        <v>8224</v>
      </c>
      <c r="W24" s="2">
        <f t="shared" si="20"/>
        <v>14245954.875517478</v>
      </c>
      <c r="X24" s="2">
        <f t="shared" si="21"/>
        <v>165946.53586630936</v>
      </c>
      <c r="Y24" s="2">
        <f t="shared" si="22"/>
        <v>11148040.848803623</v>
      </c>
      <c r="Z24" s="3">
        <f t="shared" si="23"/>
        <v>0.28043352068662336</v>
      </c>
      <c r="AA24" s="3">
        <f t="shared" si="24"/>
        <v>0.56440061000423358</v>
      </c>
      <c r="AB24" s="2">
        <v>21</v>
      </c>
      <c r="AC24" s="3">
        <v>100</v>
      </c>
      <c r="AD24" s="3">
        <v>100</v>
      </c>
      <c r="AE24" s="6">
        <v>130</v>
      </c>
      <c r="AF24" s="3">
        <v>200</v>
      </c>
      <c r="AG24" s="3">
        <v>200</v>
      </c>
      <c r="AH24" s="3">
        <v>200</v>
      </c>
      <c r="AI24" s="3">
        <f t="shared" si="25"/>
        <v>8224</v>
      </c>
      <c r="AJ24" s="3">
        <f t="shared" si="14"/>
        <v>8224</v>
      </c>
      <c r="AK24" s="3">
        <f t="shared" si="15"/>
        <v>10691.199999999999</v>
      </c>
      <c r="AL24" s="3">
        <f t="shared" si="16"/>
        <v>16448</v>
      </c>
      <c r="AM24" s="3">
        <f t="shared" si="17"/>
        <v>16448</v>
      </c>
      <c r="AN24" s="3">
        <f t="shared" si="26"/>
        <v>16448</v>
      </c>
      <c r="AP24">
        <v>0.16</v>
      </c>
      <c r="AQ24">
        <f>SUM(AP$2:AP24)</f>
        <v>82.57</v>
      </c>
      <c r="AR24">
        <v>20</v>
      </c>
      <c r="AW24" s="5">
        <v>6189040</v>
      </c>
      <c r="AX24">
        <f t="shared" si="6"/>
        <v>1547260</v>
      </c>
    </row>
    <row r="25" spans="3:50" x14ac:dyDescent="0.2">
      <c r="C25" s="2">
        <v>20</v>
      </c>
      <c r="D25" s="2">
        <v>120</v>
      </c>
      <c r="E25" s="2">
        <v>0.7</v>
      </c>
      <c r="F25" s="3">
        <f t="shared" si="18"/>
        <v>42.9170458696656</v>
      </c>
      <c r="G25" s="3">
        <f t="shared" si="7"/>
        <v>58.596448741381792</v>
      </c>
      <c r="H25" s="2">
        <v>5000</v>
      </c>
      <c r="I25" s="2">
        <v>50000</v>
      </c>
      <c r="J25" s="3">
        <f t="shared" si="8"/>
        <v>0.28611363913110399</v>
      </c>
      <c r="K25" s="3">
        <f t="shared" si="9"/>
        <v>1.7578934622414537</v>
      </c>
      <c r="L25" s="4">
        <f t="shared" si="19"/>
        <v>8925</v>
      </c>
      <c r="M25" s="4">
        <f t="shared" si="10"/>
        <v>247400</v>
      </c>
      <c r="N25" s="5">
        <v>1578205</v>
      </c>
      <c r="O25" s="5">
        <f t="shared" si="11"/>
        <v>0</v>
      </c>
      <c r="P25" s="5">
        <f t="shared" si="27"/>
        <v>0</v>
      </c>
      <c r="Q25" s="5">
        <f t="shared" si="28"/>
        <v>0</v>
      </c>
      <c r="R25" s="2">
        <f t="shared" si="12"/>
        <v>588750</v>
      </c>
      <c r="S25" s="2">
        <f t="shared" si="13"/>
        <v>19740000</v>
      </c>
      <c r="T25" s="2">
        <v>0.3</v>
      </c>
      <c r="U25" s="9">
        <f t="shared" si="3"/>
        <v>5522.9403364513892</v>
      </c>
      <c r="V25" s="9">
        <f t="shared" si="4"/>
        <v>16482</v>
      </c>
      <c r="W25" s="2">
        <f t="shared" si="20"/>
        <v>14235647.940336451</v>
      </c>
      <c r="X25" s="2">
        <f t="shared" si="21"/>
        <v>168449.40503843749</v>
      </c>
      <c r="Y25" s="2">
        <f t="shared" si="22"/>
        <v>11566938.981548766</v>
      </c>
      <c r="Z25" s="3">
        <f t="shared" si="23"/>
        <v>0.28611363913110399</v>
      </c>
      <c r="AA25" s="3">
        <f t="shared" si="24"/>
        <v>0.5859644874138179</v>
      </c>
      <c r="AB25" s="4">
        <v>22</v>
      </c>
      <c r="AC25" s="3">
        <v>100</v>
      </c>
      <c r="AD25" s="3">
        <v>100</v>
      </c>
      <c r="AE25" s="6">
        <v>130</v>
      </c>
      <c r="AF25" s="3">
        <v>200</v>
      </c>
      <c r="AG25" s="3">
        <v>200</v>
      </c>
      <c r="AH25" s="3">
        <v>200</v>
      </c>
      <c r="AI25" s="3">
        <f t="shared" si="25"/>
        <v>8241</v>
      </c>
      <c r="AJ25" s="3">
        <f t="shared" si="14"/>
        <v>8241</v>
      </c>
      <c r="AK25" s="3">
        <f t="shared" si="15"/>
        <v>10713.3</v>
      </c>
      <c r="AL25" s="3">
        <f t="shared" si="16"/>
        <v>16482</v>
      </c>
      <c r="AM25" s="3">
        <f t="shared" si="17"/>
        <v>16482</v>
      </c>
      <c r="AN25" s="3">
        <f t="shared" si="26"/>
        <v>16482</v>
      </c>
      <c r="AP25">
        <v>0.15</v>
      </c>
      <c r="AQ25">
        <f>SUM(AP$2:AP25)</f>
        <v>82.72</v>
      </c>
      <c r="AR25">
        <v>20</v>
      </c>
      <c r="AW25" s="5">
        <v>6312820</v>
      </c>
      <c r="AX25">
        <f t="shared" si="6"/>
        <v>1578205</v>
      </c>
    </row>
    <row r="26" spans="3:50" x14ac:dyDescent="0.2">
      <c r="C26" s="2">
        <v>20</v>
      </c>
      <c r="D26" s="2">
        <v>120</v>
      </c>
      <c r="E26" s="2">
        <v>0.7</v>
      </c>
      <c r="F26" s="3">
        <f t="shared" si="18"/>
        <v>43.789307809193332</v>
      </c>
      <c r="G26" s="3">
        <f t="shared" si="7"/>
        <v>60.835517421390072</v>
      </c>
      <c r="H26" s="2">
        <v>5000</v>
      </c>
      <c r="I26" s="2">
        <v>50000</v>
      </c>
      <c r="J26" s="3">
        <f t="shared" si="8"/>
        <v>0.29192871872795556</v>
      </c>
      <c r="K26" s="3">
        <f t="shared" si="9"/>
        <v>1.8250655226417023</v>
      </c>
      <c r="L26" s="4">
        <f t="shared" si="19"/>
        <v>8905</v>
      </c>
      <c r="M26" s="4">
        <f t="shared" si="10"/>
        <v>247280</v>
      </c>
      <c r="N26" s="5">
        <v>1609770</v>
      </c>
      <c r="O26" s="5">
        <f t="shared" si="11"/>
        <v>0</v>
      </c>
      <c r="P26" s="5">
        <f t="shared" si="27"/>
        <v>0</v>
      </c>
      <c r="Q26" s="5">
        <f t="shared" si="28"/>
        <v>0</v>
      </c>
      <c r="R26" s="2">
        <f t="shared" si="12"/>
        <v>585750</v>
      </c>
      <c r="S26" s="2">
        <f t="shared" si="13"/>
        <v>19728000</v>
      </c>
      <c r="T26" s="2">
        <v>0.3</v>
      </c>
      <c r="U26" s="9">
        <f t="shared" si="3"/>
        <v>5723.2337727254726</v>
      </c>
      <c r="V26" s="9">
        <f t="shared" si="4"/>
        <v>27248.1</v>
      </c>
      <c r="W26" s="2">
        <f t="shared" si="20"/>
        <v>14225348.233772725</v>
      </c>
      <c r="X26" s="2">
        <f t="shared" si="21"/>
        <v>170997.24699489996</v>
      </c>
      <c r="Y26" s="2">
        <f t="shared" si="22"/>
        <v>12001630.876891833</v>
      </c>
      <c r="Z26" s="3">
        <f t="shared" si="23"/>
        <v>0.29192871872795556</v>
      </c>
      <c r="AA26" s="3">
        <f t="shared" si="24"/>
        <v>0.60835517421390073</v>
      </c>
      <c r="AB26" s="4">
        <v>23</v>
      </c>
      <c r="AC26" s="3">
        <v>100</v>
      </c>
      <c r="AD26" s="3">
        <v>100</v>
      </c>
      <c r="AE26" s="6">
        <v>130</v>
      </c>
      <c r="AF26" s="3">
        <v>200</v>
      </c>
      <c r="AG26" s="3">
        <v>200</v>
      </c>
      <c r="AH26" s="3">
        <v>200</v>
      </c>
      <c r="AI26" s="3">
        <f t="shared" si="25"/>
        <v>8257</v>
      </c>
      <c r="AJ26" s="3">
        <f t="shared" si="14"/>
        <v>8257</v>
      </c>
      <c r="AK26" s="3">
        <f t="shared" si="15"/>
        <v>10734.099999999999</v>
      </c>
      <c r="AL26" s="3">
        <f t="shared" si="16"/>
        <v>16514</v>
      </c>
      <c r="AM26" s="3">
        <f t="shared" si="17"/>
        <v>16514</v>
      </c>
      <c r="AN26" s="3">
        <f t="shared" si="26"/>
        <v>16514</v>
      </c>
      <c r="AP26">
        <v>0.14000000000000001</v>
      </c>
      <c r="AQ26">
        <f>SUM(AP$2:AP26)</f>
        <v>82.86</v>
      </c>
      <c r="AR26">
        <v>20</v>
      </c>
      <c r="AW26" s="5">
        <v>6439080</v>
      </c>
      <c r="AX26">
        <f t="shared" si="6"/>
        <v>1609770</v>
      </c>
    </row>
    <row r="27" spans="3:50" x14ac:dyDescent="0.2">
      <c r="C27" s="2">
        <v>10</v>
      </c>
      <c r="D27" s="2">
        <v>120</v>
      </c>
      <c r="E27" s="2">
        <v>0.7</v>
      </c>
      <c r="F27" s="3">
        <f t="shared" si="18"/>
        <v>44.682376746666108</v>
      </c>
      <c r="G27" s="3">
        <f t="shared" si="7"/>
        <v>63.16044872929578</v>
      </c>
      <c r="H27" s="2">
        <v>5000</v>
      </c>
      <c r="I27" s="2">
        <v>50000</v>
      </c>
      <c r="J27" s="3">
        <f t="shared" si="8"/>
        <v>0.29788251164444074</v>
      </c>
      <c r="K27" s="3">
        <f t="shared" si="9"/>
        <v>1.8948134618788735</v>
      </c>
      <c r="L27" s="4">
        <f t="shared" si="19"/>
        <v>8885</v>
      </c>
      <c r="M27" s="4">
        <f t="shared" si="10"/>
        <v>247160</v>
      </c>
      <c r="N27" s="5">
        <v>1641965</v>
      </c>
      <c r="O27" s="5">
        <f t="shared" si="11"/>
        <v>0</v>
      </c>
      <c r="P27" s="5">
        <f t="shared" si="27"/>
        <v>0</v>
      </c>
      <c r="Q27" s="5">
        <f t="shared" si="28"/>
        <v>0</v>
      </c>
      <c r="R27" s="2">
        <f t="shared" si="12"/>
        <v>582750</v>
      </c>
      <c r="S27" s="2">
        <f t="shared" si="13"/>
        <v>19716000</v>
      </c>
      <c r="T27" s="2">
        <v>0.3</v>
      </c>
      <c r="U27" s="9">
        <f t="shared" si="3"/>
        <v>5618.2543304875071</v>
      </c>
      <c r="V27" s="9">
        <f t="shared" si="4"/>
        <v>43841.599999999999</v>
      </c>
      <c r="W27" s="2">
        <f t="shared" si="20"/>
        <v>14214743.254330488</v>
      </c>
      <c r="X27" s="2">
        <f t="shared" si="21"/>
        <v>173591.03366079784</v>
      </c>
      <c r="Y27" s="2">
        <f t="shared" si="22"/>
        <v>12452714.071467957</v>
      </c>
      <c r="Z27" s="3">
        <f t="shared" si="23"/>
        <v>0.29788251164444074</v>
      </c>
      <c r="AA27" s="3">
        <f t="shared" si="24"/>
        <v>0.63160448729295782</v>
      </c>
      <c r="AB27" s="2">
        <v>24</v>
      </c>
      <c r="AC27" s="3">
        <v>100</v>
      </c>
      <c r="AD27" s="3">
        <v>100</v>
      </c>
      <c r="AE27" s="6">
        <v>130</v>
      </c>
      <c r="AF27" s="3">
        <v>200</v>
      </c>
      <c r="AG27" s="3">
        <v>200</v>
      </c>
      <c r="AH27" s="3">
        <v>200</v>
      </c>
      <c r="AI27" s="3">
        <f t="shared" si="25"/>
        <v>8272</v>
      </c>
      <c r="AJ27" s="3">
        <f t="shared" si="14"/>
        <v>8272</v>
      </c>
      <c r="AK27" s="3">
        <f t="shared" si="15"/>
        <v>10753.6</v>
      </c>
      <c r="AL27" s="3">
        <f t="shared" si="16"/>
        <v>16544</v>
      </c>
      <c r="AM27" s="3">
        <f t="shared" si="17"/>
        <v>16544</v>
      </c>
      <c r="AN27" s="3">
        <f t="shared" si="26"/>
        <v>16544</v>
      </c>
      <c r="AP27">
        <v>0.13</v>
      </c>
      <c r="AQ27">
        <f>SUM(AP$2:AP27)</f>
        <v>82.99</v>
      </c>
      <c r="AR27">
        <v>20</v>
      </c>
      <c r="AW27" s="5">
        <v>6567860</v>
      </c>
      <c r="AX27">
        <f t="shared" si="6"/>
        <v>1641965</v>
      </c>
    </row>
    <row r="28" spans="3:50" x14ac:dyDescent="0.2">
      <c r="C28" s="2">
        <v>10</v>
      </c>
      <c r="D28" s="2">
        <v>120</v>
      </c>
      <c r="E28" s="2">
        <v>0.7</v>
      </c>
      <c r="F28" s="3">
        <f t="shared" si="18"/>
        <v>45.4799331488109</v>
      </c>
      <c r="G28" s="3">
        <f t="shared" si="7"/>
        <v>65.574547244673738</v>
      </c>
      <c r="H28" s="2">
        <v>5000</v>
      </c>
      <c r="I28" s="2">
        <v>50000</v>
      </c>
      <c r="J28" s="3">
        <f t="shared" si="8"/>
        <v>0.30319955432540602</v>
      </c>
      <c r="K28" s="3">
        <f t="shared" si="9"/>
        <v>1.9672364173402124</v>
      </c>
      <c r="L28" s="4">
        <f t="shared" si="19"/>
        <v>8875</v>
      </c>
      <c r="M28" s="4">
        <f t="shared" si="10"/>
        <v>247040</v>
      </c>
      <c r="N28" s="5">
        <v>1674805</v>
      </c>
      <c r="O28" s="5">
        <f t="shared" si="11"/>
        <v>1674805</v>
      </c>
      <c r="P28" s="5">
        <f t="shared" si="27"/>
        <v>47989.569083447335</v>
      </c>
      <c r="Q28" s="5">
        <f t="shared" si="28"/>
        <v>1626815.4309165527</v>
      </c>
      <c r="R28" s="2">
        <f t="shared" si="12"/>
        <v>581250</v>
      </c>
      <c r="S28" s="2">
        <f t="shared" si="13"/>
        <v>19704000</v>
      </c>
      <c r="T28" s="2">
        <v>0.3</v>
      </c>
      <c r="U28" s="9">
        <f t="shared" si="3"/>
        <v>5826.6215005942704</v>
      </c>
      <c r="V28" s="9">
        <f t="shared" si="4"/>
        <v>60487.8</v>
      </c>
      <c r="W28" s="2">
        <f t="shared" si="20"/>
        <v>14205501.621500595</v>
      </c>
      <c r="X28" s="2">
        <f t="shared" si="21"/>
        <v>176234.74095164225</v>
      </c>
      <c r="Y28" s="2">
        <f t="shared" si="22"/>
        <v>12920808.789090514</v>
      </c>
      <c r="Z28" s="3">
        <f t="shared" si="23"/>
        <v>0.30319955432540602</v>
      </c>
      <c r="AA28" s="3">
        <f t="shared" si="24"/>
        <v>0.65574547244673742</v>
      </c>
      <c r="AB28" s="4">
        <v>25</v>
      </c>
      <c r="AC28" s="3">
        <v>100</v>
      </c>
      <c r="AD28" s="3">
        <v>100</v>
      </c>
      <c r="AE28" s="6">
        <v>130</v>
      </c>
      <c r="AF28" s="3">
        <v>200</v>
      </c>
      <c r="AG28" s="3">
        <v>200</v>
      </c>
      <c r="AH28" s="3">
        <v>200</v>
      </c>
      <c r="AI28" s="3">
        <f t="shared" si="25"/>
        <v>8286</v>
      </c>
      <c r="AJ28" s="3">
        <f t="shared" si="14"/>
        <v>8286</v>
      </c>
      <c r="AK28" s="3">
        <f t="shared" si="15"/>
        <v>10771.8</v>
      </c>
      <c r="AL28" s="3">
        <f t="shared" si="16"/>
        <v>16572</v>
      </c>
      <c r="AM28" s="3">
        <f t="shared" si="17"/>
        <v>16572</v>
      </c>
      <c r="AN28" s="3">
        <f t="shared" si="26"/>
        <v>16572</v>
      </c>
      <c r="AP28">
        <v>0.125</v>
      </c>
      <c r="AQ28">
        <f>SUM(AP$2:AP28)</f>
        <v>83.114999999999995</v>
      </c>
      <c r="AR28">
        <v>20</v>
      </c>
      <c r="AW28" s="5">
        <v>6699220</v>
      </c>
      <c r="AX28">
        <f t="shared" si="6"/>
        <v>1674805</v>
      </c>
    </row>
    <row r="29" spans="3:50" x14ac:dyDescent="0.2">
      <c r="C29" s="2">
        <v>5</v>
      </c>
      <c r="D29" s="2">
        <v>120</v>
      </c>
      <c r="E29" s="2">
        <v>0.7</v>
      </c>
      <c r="F29" s="3">
        <f t="shared" si="18"/>
        <v>33.876594027759289</v>
      </c>
      <c r="G29" s="3">
        <f t="shared" si="7"/>
        <v>59.819944009463768</v>
      </c>
      <c r="H29" s="2">
        <v>5000</v>
      </c>
      <c r="I29" s="2">
        <v>50000</v>
      </c>
      <c r="J29" s="3">
        <f t="shared" si="8"/>
        <v>0.22584396018506192</v>
      </c>
      <c r="K29" s="3">
        <f t="shared" si="9"/>
        <v>1.7945983202839129</v>
      </c>
      <c r="L29" s="4">
        <f t="shared" si="19"/>
        <v>8865</v>
      </c>
      <c r="M29" s="4">
        <f t="shared" si="10"/>
        <v>246920</v>
      </c>
      <c r="N29" s="5">
        <v>1708300</v>
      </c>
      <c r="O29" s="5">
        <f t="shared" si="11"/>
        <v>0</v>
      </c>
      <c r="P29" s="5">
        <f t="shared" si="27"/>
        <v>0</v>
      </c>
      <c r="Q29" s="5">
        <f t="shared" si="28"/>
        <v>0</v>
      </c>
      <c r="R29" s="2">
        <f t="shared" si="12"/>
        <v>579750</v>
      </c>
      <c r="S29" s="2">
        <f t="shared" si="13"/>
        <v>19692000</v>
      </c>
      <c r="T29" s="2">
        <v>0.3</v>
      </c>
      <c r="U29" s="9">
        <f t="shared" si="3"/>
        <v>5143.4433758921132</v>
      </c>
      <c r="V29" s="9">
        <f t="shared" si="4"/>
        <v>60582.7</v>
      </c>
      <c r="W29" s="2">
        <f t="shared" si="20"/>
        <v>14195368.443375893</v>
      </c>
      <c r="X29" s="2">
        <f t="shared" si="21"/>
        <v>130933.03591728964</v>
      </c>
      <c r="Y29" s="2">
        <f t="shared" si="22"/>
        <v>11779743.374343606</v>
      </c>
      <c r="Z29" s="3">
        <f t="shared" si="23"/>
        <v>0.22584396018506192</v>
      </c>
      <c r="AA29" s="3">
        <f t="shared" si="24"/>
        <v>0.59819944009463766</v>
      </c>
      <c r="AB29" s="4">
        <v>26</v>
      </c>
      <c r="AC29" s="3">
        <v>100</v>
      </c>
      <c r="AD29" s="3">
        <v>100</v>
      </c>
      <c r="AE29" s="6">
        <v>130</v>
      </c>
      <c r="AF29" s="3">
        <v>200</v>
      </c>
      <c r="AG29" s="3">
        <v>200</v>
      </c>
      <c r="AH29" s="3">
        <v>200</v>
      </c>
      <c r="AI29" s="3">
        <f t="shared" si="25"/>
        <v>8299</v>
      </c>
      <c r="AJ29" s="3">
        <f t="shared" si="14"/>
        <v>8299</v>
      </c>
      <c r="AK29" s="3">
        <f t="shared" si="15"/>
        <v>10788.699999999999</v>
      </c>
      <c r="AL29" s="3">
        <f t="shared" si="16"/>
        <v>16598</v>
      </c>
      <c r="AM29" s="3">
        <f t="shared" si="17"/>
        <v>16598</v>
      </c>
      <c r="AN29" s="3">
        <f t="shared" si="26"/>
        <v>16598</v>
      </c>
      <c r="AP29">
        <v>0.1225</v>
      </c>
      <c r="AQ29">
        <f>SUM(AP$2:AP29)</f>
        <v>83.237499999999997</v>
      </c>
      <c r="AR29">
        <v>20</v>
      </c>
      <c r="AW29" s="5">
        <v>6833200</v>
      </c>
      <c r="AX29">
        <f t="shared" si="6"/>
        <v>1708300</v>
      </c>
    </row>
    <row r="30" spans="3:50" x14ac:dyDescent="0.2">
      <c r="C30" s="2">
        <v>5</v>
      </c>
      <c r="D30" s="2">
        <v>120</v>
      </c>
      <c r="E30" s="2">
        <v>0.7</v>
      </c>
      <c r="F30" s="3">
        <f t="shared" si="18"/>
        <v>34.438863576302921</v>
      </c>
      <c r="G30" s="3">
        <f t="shared" si="7"/>
        <v>62.106962600557289</v>
      </c>
      <c r="H30" s="2">
        <v>5000</v>
      </c>
      <c r="I30" s="2">
        <v>50000</v>
      </c>
      <c r="J30" s="3">
        <f t="shared" si="8"/>
        <v>0.22959242384201947</v>
      </c>
      <c r="K30" s="3">
        <f t="shared" si="9"/>
        <v>1.8632088780167186</v>
      </c>
      <c r="L30" s="4">
        <f t="shared" si="19"/>
        <v>8860</v>
      </c>
      <c r="M30" s="4">
        <f t="shared" si="10"/>
        <v>246800</v>
      </c>
      <c r="N30" s="5">
        <v>1742465</v>
      </c>
      <c r="O30" s="5">
        <f t="shared" si="11"/>
        <v>0</v>
      </c>
      <c r="P30" s="5">
        <f t="shared" si="27"/>
        <v>0</v>
      </c>
      <c r="Q30" s="5">
        <f t="shared" si="28"/>
        <v>0</v>
      </c>
      <c r="R30" s="2">
        <f t="shared" si="12"/>
        <v>579000</v>
      </c>
      <c r="S30" s="2">
        <f t="shared" si="13"/>
        <v>19680000</v>
      </c>
      <c r="T30" s="2">
        <v>0.3</v>
      </c>
      <c r="U30" s="9">
        <f t="shared" si="3"/>
        <v>5337.5208809638725</v>
      </c>
      <c r="V30" s="9">
        <f t="shared" si="4"/>
        <v>60673.95</v>
      </c>
      <c r="W30" s="2">
        <f t="shared" si="20"/>
        <v>14186637.520880964</v>
      </c>
      <c r="X30" s="2">
        <f t="shared" si="21"/>
        <v>132934.01340452928</v>
      </c>
      <c r="Y30" s="2">
        <f t="shared" si="22"/>
        <v>12222650.239789676</v>
      </c>
      <c r="Z30" s="3">
        <f t="shared" si="23"/>
        <v>0.22959242384201947</v>
      </c>
      <c r="AA30" s="3">
        <f t="shared" si="24"/>
        <v>0.62106962600557292</v>
      </c>
      <c r="AB30" s="2">
        <v>27</v>
      </c>
      <c r="AC30" s="3">
        <v>100</v>
      </c>
      <c r="AD30" s="3">
        <v>100</v>
      </c>
      <c r="AE30" s="6">
        <v>130</v>
      </c>
      <c r="AF30" s="3">
        <v>200</v>
      </c>
      <c r="AG30" s="3">
        <v>200</v>
      </c>
      <c r="AH30" s="3">
        <v>200</v>
      </c>
      <c r="AI30" s="3">
        <f t="shared" si="25"/>
        <v>8311.5</v>
      </c>
      <c r="AJ30" s="3">
        <f t="shared" si="14"/>
        <v>8311.5</v>
      </c>
      <c r="AK30" s="3">
        <f t="shared" si="15"/>
        <v>10804.949999999999</v>
      </c>
      <c r="AL30" s="3">
        <f t="shared" si="16"/>
        <v>16623</v>
      </c>
      <c r="AM30" s="3">
        <f t="shared" si="17"/>
        <v>16623</v>
      </c>
      <c r="AN30" s="3">
        <f t="shared" si="26"/>
        <v>16623</v>
      </c>
      <c r="AP30">
        <v>0.12239999999999999</v>
      </c>
      <c r="AQ30">
        <f>SUM(AP$2:AP30)</f>
        <v>83.359899999999996</v>
      </c>
      <c r="AR30">
        <v>20</v>
      </c>
      <c r="AW30" s="5">
        <v>6969860</v>
      </c>
      <c r="AX30">
        <f t="shared" si="6"/>
        <v>1742465</v>
      </c>
    </row>
    <row r="31" spans="3:50" x14ac:dyDescent="0.2">
      <c r="AP31">
        <v>0.12230000000000001</v>
      </c>
      <c r="AQ31">
        <f>SUM(AP$2:AP31)</f>
        <v>83.482199999999992</v>
      </c>
      <c r="AR31">
        <v>20</v>
      </c>
    </row>
  </sheetData>
  <mergeCells count="10">
    <mergeCell ref="AC1:AH1"/>
    <mergeCell ref="C1:E1"/>
    <mergeCell ref="L1:M1"/>
    <mergeCell ref="U1:V1"/>
    <mergeCell ref="R1:T1"/>
    <mergeCell ref="A1:B1"/>
    <mergeCell ref="F1:G1"/>
    <mergeCell ref="H1:I1"/>
    <mergeCell ref="J1:K1"/>
    <mergeCell ref="N1:Q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0F0562-A765-A442-B9DB-CF71D123E451}">
  <dimension ref="A1:AN159"/>
  <sheetViews>
    <sheetView tabSelected="1" topLeftCell="H115" zoomScale="93" zoomScaleNormal="93" workbookViewId="0">
      <selection activeCell="M128" sqref="M128"/>
    </sheetView>
  </sheetViews>
  <sheetFormatPr baseColWidth="10" defaultRowHeight="16" x14ac:dyDescent="0.2"/>
  <cols>
    <col min="1" max="1" width="62.1640625" style="24" customWidth="1"/>
    <col min="2" max="2" width="14" style="27" customWidth="1"/>
    <col min="3" max="3" width="4.1640625" style="23" customWidth="1"/>
    <col min="4" max="4" width="27" style="22" hidden="1" customWidth="1"/>
    <col min="5" max="5" width="44" style="10" hidden="1" customWidth="1"/>
    <col min="6" max="6" width="11" style="4" customWidth="1"/>
    <col min="7" max="7" width="15.1640625" style="4" customWidth="1"/>
    <col min="8" max="8" width="11.5" style="5" customWidth="1"/>
    <col min="9" max="10" width="13.33203125" style="4" customWidth="1"/>
    <col min="11" max="11" width="11.83203125" style="5" customWidth="1"/>
    <col min="12" max="13" width="13.33203125" style="4" customWidth="1"/>
    <col min="14" max="14" width="21.1640625" style="5" customWidth="1"/>
    <col min="15" max="15" width="21.1640625" style="4" customWidth="1"/>
    <col min="16" max="16" width="13.33203125" style="4" customWidth="1"/>
    <col min="17" max="17" width="22.83203125" style="5" customWidth="1"/>
    <col min="18" max="19" width="13.33203125" style="4" customWidth="1"/>
    <col min="20" max="20" width="9.1640625" style="5" customWidth="1"/>
    <col min="21" max="21" width="13.33203125" style="4" customWidth="1"/>
    <col min="22" max="22" width="12.5" style="4" customWidth="1"/>
    <col min="23" max="23" width="9.1640625" style="5" customWidth="1"/>
    <col min="24" max="25" width="13.33203125" style="4" customWidth="1"/>
    <col min="26" max="26" width="62.1640625" style="24" customWidth="1"/>
    <col min="27" max="29" width="14.6640625" customWidth="1"/>
    <col min="30" max="32" width="14.1640625" customWidth="1"/>
    <col min="33" max="33" width="4.1640625" customWidth="1"/>
    <col min="34" max="34" width="3.33203125" customWidth="1"/>
  </cols>
  <sheetData>
    <row r="1" spans="1:40" s="7" customFormat="1" x14ac:dyDescent="0.2">
      <c r="A1" s="24"/>
      <c r="B1" s="27"/>
      <c r="C1" s="23"/>
      <c r="D1" s="22"/>
      <c r="E1" s="10"/>
      <c r="F1" s="5" t="s">
        <v>59</v>
      </c>
      <c r="G1" s="5" t="s">
        <v>61</v>
      </c>
      <c r="H1" s="5">
        <v>1</v>
      </c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24"/>
    </row>
    <row r="2" spans="1:40" s="7" customFormat="1" x14ac:dyDescent="0.2">
      <c r="A2" s="24"/>
      <c r="B2" s="27"/>
      <c r="C2" s="23"/>
      <c r="D2" s="22"/>
      <c r="E2" s="10"/>
      <c r="F2" s="5" t="s">
        <v>60</v>
      </c>
      <c r="G2" s="5" t="s">
        <v>62</v>
      </c>
      <c r="H2" s="43">
        <v>150</v>
      </c>
      <c r="I2" s="43"/>
      <c r="J2" s="5"/>
      <c r="K2" s="5"/>
      <c r="L2" s="5"/>
      <c r="M2" s="5"/>
      <c r="N2" s="5"/>
      <c r="O2" s="5"/>
      <c r="P2" s="4">
        <v>249700</v>
      </c>
      <c r="Q2" s="5"/>
      <c r="R2" s="5"/>
      <c r="S2" s="5"/>
      <c r="T2" s="5"/>
      <c r="U2" s="5"/>
      <c r="V2" s="5"/>
      <c r="W2" s="5"/>
      <c r="X2" s="5"/>
      <c r="Y2" s="5"/>
      <c r="Z2" s="24"/>
    </row>
    <row r="3" spans="1:40" s="7" customFormat="1" x14ac:dyDescent="0.2">
      <c r="A3" s="24"/>
      <c r="B3" s="27"/>
      <c r="C3" s="23"/>
      <c r="D3" s="22"/>
      <c r="E3" s="10"/>
      <c r="F3" s="5"/>
      <c r="G3" s="5" t="s">
        <v>63</v>
      </c>
      <c r="H3" s="43">
        <v>30</v>
      </c>
      <c r="I3" s="43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24"/>
    </row>
    <row r="4" spans="1:40" ht="60" customHeight="1" x14ac:dyDescent="0.2">
      <c r="F4" s="8">
        <v>0</v>
      </c>
      <c r="G4" s="8"/>
      <c r="H4" s="16"/>
      <c r="I4" s="20">
        <v>1</v>
      </c>
      <c r="J4" s="20"/>
      <c r="K4" s="18"/>
      <c r="L4" s="20">
        <v>2</v>
      </c>
      <c r="M4" s="20"/>
      <c r="N4" s="18"/>
      <c r="O4" s="20">
        <v>3</v>
      </c>
      <c r="P4" s="20"/>
      <c r="Q4" s="18"/>
      <c r="R4" s="20">
        <v>4</v>
      </c>
      <c r="S4" s="20"/>
      <c r="T4" s="18"/>
      <c r="U4" s="20">
        <v>5</v>
      </c>
      <c r="V4" s="20"/>
      <c r="W4" s="18"/>
      <c r="X4" s="20">
        <v>6</v>
      </c>
      <c r="Y4" s="20"/>
      <c r="AD4" s="51" t="s">
        <v>89</v>
      </c>
      <c r="AE4" s="51"/>
      <c r="AF4" s="51"/>
      <c r="AK4" t="s">
        <v>94</v>
      </c>
      <c r="AL4" t="s">
        <v>96</v>
      </c>
      <c r="AM4" t="s">
        <v>98</v>
      </c>
      <c r="AN4" t="s">
        <v>100</v>
      </c>
    </row>
    <row r="5" spans="1:40" ht="36" customHeight="1" x14ac:dyDescent="0.2">
      <c r="A5" s="24" t="s">
        <v>155</v>
      </c>
      <c r="B5" s="30" t="s">
        <v>161</v>
      </c>
      <c r="D5" s="7" t="s">
        <v>153</v>
      </c>
      <c r="E5" s="7" t="s">
        <v>154</v>
      </c>
      <c r="F5" s="52" t="s">
        <v>51</v>
      </c>
      <c r="G5" s="52"/>
      <c r="H5" s="17"/>
      <c r="I5" s="52" t="s">
        <v>64</v>
      </c>
      <c r="J5" s="52"/>
      <c r="L5" s="52" t="s">
        <v>65</v>
      </c>
      <c r="M5" s="52"/>
      <c r="O5" s="52" t="s">
        <v>78</v>
      </c>
      <c r="P5" s="52"/>
      <c r="R5" s="52" t="s">
        <v>83</v>
      </c>
      <c r="S5" s="52"/>
      <c r="U5" s="52" t="s">
        <v>84</v>
      </c>
      <c r="V5" s="52"/>
      <c r="X5" s="52" t="s">
        <v>135</v>
      </c>
      <c r="Y5" s="52"/>
      <c r="Z5" s="24" t="s">
        <v>284</v>
      </c>
      <c r="AC5" s="36" t="s">
        <v>234</v>
      </c>
      <c r="AD5" s="21" t="s">
        <v>33</v>
      </c>
      <c r="AE5" s="21" t="s">
        <v>38</v>
      </c>
      <c r="AF5" s="21" t="s">
        <v>41</v>
      </c>
      <c r="AK5" t="s">
        <v>94</v>
      </c>
      <c r="AL5" t="s">
        <v>96</v>
      </c>
      <c r="AM5" t="s">
        <v>99</v>
      </c>
      <c r="AN5" t="s">
        <v>101</v>
      </c>
    </row>
    <row r="6" spans="1:40" x14ac:dyDescent="0.2">
      <c r="B6" s="30"/>
      <c r="F6" s="4" t="s">
        <v>24</v>
      </c>
      <c r="G6" s="4" t="s">
        <v>25</v>
      </c>
      <c r="I6" s="4" t="s">
        <v>24</v>
      </c>
      <c r="J6" s="4" t="s">
        <v>25</v>
      </c>
      <c r="L6" s="4" t="s">
        <v>24</v>
      </c>
      <c r="M6" s="4" t="s">
        <v>25</v>
      </c>
      <c r="O6" s="4" t="s">
        <v>24</v>
      </c>
      <c r="P6" s="4" t="s">
        <v>25</v>
      </c>
      <c r="R6" s="4" t="s">
        <v>24</v>
      </c>
      <c r="S6" s="4" t="s">
        <v>25</v>
      </c>
      <c r="U6" s="4" t="s">
        <v>24</v>
      </c>
      <c r="V6" s="4" t="s">
        <v>25</v>
      </c>
      <c r="X6" s="4" t="s">
        <v>24</v>
      </c>
      <c r="Y6" s="4" t="s">
        <v>25</v>
      </c>
      <c r="AD6" s="19">
        <v>0</v>
      </c>
      <c r="AE6" s="19">
        <f>SUM(AD$6:AD6)</f>
        <v>0</v>
      </c>
      <c r="AF6" s="19">
        <v>2</v>
      </c>
      <c r="AK6" t="s">
        <v>94</v>
      </c>
      <c r="AL6" t="s">
        <v>97</v>
      </c>
      <c r="AM6" t="s">
        <v>98</v>
      </c>
      <c r="AN6" t="s">
        <v>102</v>
      </c>
    </row>
    <row r="7" spans="1:40" ht="17" x14ac:dyDescent="0.2">
      <c r="A7" s="38" t="s">
        <v>156</v>
      </c>
      <c r="B7" s="28" t="s">
        <v>174</v>
      </c>
      <c r="E7" s="10" t="s">
        <v>67</v>
      </c>
      <c r="F7" s="4">
        <v>10000</v>
      </c>
      <c r="G7" s="4">
        <v>250000</v>
      </c>
      <c r="I7" s="4">
        <f>F13</f>
        <v>9950</v>
      </c>
      <c r="J7" s="4">
        <f>G13</f>
        <v>249900</v>
      </c>
      <c r="L7" s="4">
        <f>I13</f>
        <v>9888</v>
      </c>
      <c r="M7" s="4">
        <f>J13</f>
        <v>249790</v>
      </c>
      <c r="O7" s="4">
        <f>L13</f>
        <v>9830</v>
      </c>
      <c r="P7" s="4">
        <f>M13</f>
        <v>249696</v>
      </c>
      <c r="R7" s="4">
        <f>O13</f>
        <v>9760</v>
      </c>
      <c r="S7" s="4">
        <f>P13</f>
        <v>249504</v>
      </c>
      <c r="U7" s="4">
        <f>R13</f>
        <v>9660</v>
      </c>
      <c r="V7" s="4">
        <f>S13</f>
        <v>249465</v>
      </c>
      <c r="X7" s="4">
        <f>U7-U9</f>
        <v>9562</v>
      </c>
      <c r="Y7" s="4">
        <f>MAX(V7-V9,0)</f>
        <v>249360</v>
      </c>
      <c r="Z7" s="38" t="s">
        <v>285</v>
      </c>
      <c r="AD7" s="19">
        <v>0.01</v>
      </c>
      <c r="AE7" s="19">
        <f>SUM(AD$6:AD7)</f>
        <v>0.01</v>
      </c>
      <c r="AF7" s="19">
        <v>2</v>
      </c>
      <c r="AK7" t="s">
        <v>94</v>
      </c>
      <c r="AL7" t="s">
        <v>97</v>
      </c>
      <c r="AM7" t="s">
        <v>99</v>
      </c>
      <c r="AN7" t="s">
        <v>103</v>
      </c>
    </row>
    <row r="8" spans="1:40" ht="17" x14ac:dyDescent="0.2">
      <c r="A8" s="38" t="s">
        <v>157</v>
      </c>
      <c r="B8" s="31" t="s">
        <v>162</v>
      </c>
      <c r="E8" s="10" t="s">
        <v>114</v>
      </c>
      <c r="F8" s="4">
        <f>F7</f>
        <v>10000</v>
      </c>
      <c r="G8" s="4">
        <f>G7</f>
        <v>250000</v>
      </c>
      <c r="I8" s="4">
        <f>I7</f>
        <v>9950</v>
      </c>
      <c r="J8" s="4">
        <f>G8-G9+G12</f>
        <v>249985</v>
      </c>
      <c r="L8" s="4">
        <f>L7</f>
        <v>9888</v>
      </c>
      <c r="M8" s="4">
        <f>J8-J9+J12</f>
        <v>249955</v>
      </c>
      <c r="O8" s="4">
        <f>O7</f>
        <v>9830</v>
      </c>
      <c r="P8" s="4">
        <f>M8-M9+M12</f>
        <v>249953</v>
      </c>
      <c r="R8" s="4">
        <f>R7</f>
        <v>9760</v>
      </c>
      <c r="S8" s="4">
        <f>P8-P9+P12</f>
        <v>249804</v>
      </c>
      <c r="U8" s="4">
        <f>U7</f>
        <v>9660</v>
      </c>
      <c r="V8" s="4">
        <f>S8-S9+S12</f>
        <v>249857</v>
      </c>
      <c r="X8" s="4">
        <f>X7</f>
        <v>9562</v>
      </c>
      <c r="Y8" s="4">
        <f>V8-V9+V12</f>
        <v>249801</v>
      </c>
      <c r="Z8" s="38" t="s">
        <v>286</v>
      </c>
      <c r="AD8" s="19">
        <v>0.05</v>
      </c>
      <c r="AE8" s="19">
        <f>SUM(AD$6:AD8)</f>
        <v>6.0000000000000005E-2</v>
      </c>
      <c r="AF8" s="19">
        <v>2</v>
      </c>
      <c r="AK8" t="s">
        <v>95</v>
      </c>
      <c r="AL8" t="s">
        <v>96</v>
      </c>
      <c r="AM8" t="s">
        <v>99</v>
      </c>
      <c r="AN8" t="s">
        <v>104</v>
      </c>
    </row>
    <row r="9" spans="1:40" ht="17" x14ac:dyDescent="0.2">
      <c r="A9" s="38" t="s">
        <v>224</v>
      </c>
      <c r="B9" s="31" t="s">
        <v>162</v>
      </c>
      <c r="E9" s="10" t="s">
        <v>55</v>
      </c>
      <c r="F9" s="4">
        <v>50</v>
      </c>
      <c r="G9" s="4">
        <v>100</v>
      </c>
      <c r="I9" s="4">
        <v>62</v>
      </c>
      <c r="J9" s="4">
        <v>110</v>
      </c>
      <c r="L9" s="4">
        <v>58</v>
      </c>
      <c r="M9" s="4">
        <v>94</v>
      </c>
      <c r="O9" s="4">
        <v>70</v>
      </c>
      <c r="P9" s="4">
        <v>192</v>
      </c>
      <c r="R9" s="4">
        <v>100</v>
      </c>
      <c r="S9" s="4">
        <v>39</v>
      </c>
      <c r="U9" s="4">
        <v>98</v>
      </c>
      <c r="V9" s="4">
        <v>105</v>
      </c>
      <c r="X9" s="4">
        <v>98</v>
      </c>
      <c r="Y9" s="4">
        <v>116</v>
      </c>
      <c r="Z9" s="38" t="s">
        <v>288</v>
      </c>
      <c r="AD9" s="19">
        <v>0.12</v>
      </c>
      <c r="AE9" s="19">
        <f>SUM(AD$6:AD9)</f>
        <v>0.18</v>
      </c>
      <c r="AF9" s="19">
        <v>2</v>
      </c>
      <c r="AK9" t="s">
        <v>95</v>
      </c>
      <c r="AL9" t="s">
        <v>97</v>
      </c>
      <c r="AM9" t="s">
        <v>99</v>
      </c>
      <c r="AN9" t="s">
        <v>105</v>
      </c>
    </row>
    <row r="10" spans="1:40" ht="34" x14ac:dyDescent="0.2">
      <c r="A10" s="38" t="s">
        <v>223</v>
      </c>
      <c r="B10" s="28" t="s">
        <v>174</v>
      </c>
      <c r="E10" s="10" t="s">
        <v>145</v>
      </c>
      <c r="G10" s="4">
        <f>-MIN(G7-G9,0)</f>
        <v>0</v>
      </c>
      <c r="J10" s="4">
        <f>-MIN(J7-J9,0)</f>
        <v>0</v>
      </c>
      <c r="M10" s="4">
        <f>-MIN(M7-M9,0)</f>
        <v>0</v>
      </c>
      <c r="P10" s="4">
        <f>-MIN(P7-P9,0)</f>
        <v>0</v>
      </c>
      <c r="S10" s="4">
        <f>-MIN(S7-S9,0)</f>
        <v>0</v>
      </c>
      <c r="V10" s="4">
        <f>-MIN(V7-V9,0)</f>
        <v>0</v>
      </c>
      <c r="Y10" s="4">
        <f>-MIN(Y7-Y9,0)</f>
        <v>0</v>
      </c>
      <c r="Z10" s="38" t="s">
        <v>289</v>
      </c>
      <c r="AD10" s="19">
        <v>0.2</v>
      </c>
      <c r="AE10" s="19">
        <f>SUM(AD$6:AD10)</f>
        <v>0.38</v>
      </c>
      <c r="AF10" s="19">
        <v>20</v>
      </c>
    </row>
    <row r="11" spans="1:40" ht="17" x14ac:dyDescent="0.2">
      <c r="A11" s="38" t="s">
        <v>221</v>
      </c>
      <c r="B11" s="28" t="s">
        <v>174</v>
      </c>
      <c r="E11" s="10" t="s">
        <v>113</v>
      </c>
      <c r="G11" s="4">
        <f>MAX(G10-G25,0)</f>
        <v>0</v>
      </c>
      <c r="J11" s="4">
        <f>MAX(J10-J25,0)</f>
        <v>0</v>
      </c>
      <c r="M11" s="4">
        <f>MAX(M10-M25,0)</f>
        <v>0</v>
      </c>
      <c r="P11" s="4">
        <f>MAX(P10-P25,0)</f>
        <v>0</v>
      </c>
      <c r="S11" s="4">
        <f>MAX(S10-S25,0)</f>
        <v>0</v>
      </c>
      <c r="V11" s="4">
        <f>MAX(V10-V25,0)</f>
        <v>0</v>
      </c>
      <c r="Y11" s="4">
        <f>MAX(Y10-Y25,0)</f>
        <v>0</v>
      </c>
      <c r="Z11" s="38" t="s">
        <v>290</v>
      </c>
      <c r="AD11" s="19">
        <v>0.2</v>
      </c>
      <c r="AE11" s="19">
        <f>SUM(AD$6:AD11)</f>
        <v>0.58000000000000007</v>
      </c>
      <c r="AF11" s="19">
        <v>20</v>
      </c>
    </row>
    <row r="12" spans="1:40" ht="17" x14ac:dyDescent="0.2">
      <c r="A12" s="38" t="s">
        <v>222</v>
      </c>
      <c r="B12" s="31" t="s">
        <v>162</v>
      </c>
      <c r="E12" s="10" t="s">
        <v>66</v>
      </c>
      <c r="G12" s="4">
        <v>85</v>
      </c>
      <c r="J12" s="4">
        <v>80</v>
      </c>
      <c r="M12" s="4">
        <v>92</v>
      </c>
      <c r="P12" s="4">
        <v>43</v>
      </c>
      <c r="S12" s="4">
        <v>92</v>
      </c>
      <c r="V12" s="4">
        <v>49</v>
      </c>
      <c r="Y12" s="4">
        <v>110</v>
      </c>
      <c r="Z12" s="38" t="s">
        <v>287</v>
      </c>
      <c r="AD12" s="19">
        <v>0.36</v>
      </c>
      <c r="AE12" s="19">
        <f>SUM(AD$6:AD12)</f>
        <v>0.94000000000000006</v>
      </c>
      <c r="AF12" s="19">
        <v>20</v>
      </c>
    </row>
    <row r="13" spans="1:40" ht="17" customHeight="1" x14ac:dyDescent="0.2">
      <c r="A13" s="38" t="s">
        <v>158</v>
      </c>
      <c r="B13" s="28" t="s">
        <v>174</v>
      </c>
      <c r="E13" s="10" t="s">
        <v>143</v>
      </c>
      <c r="F13" s="4">
        <f>MAX(F7-F9,0)</f>
        <v>9950</v>
      </c>
      <c r="G13" s="4">
        <f>MAX(G7-G9,0)</f>
        <v>249900</v>
      </c>
      <c r="I13" s="4">
        <f>MAX(I7-I9,0)</f>
        <v>9888</v>
      </c>
      <c r="J13" s="4">
        <f>MAX(J7-J9,0)</f>
        <v>249790</v>
      </c>
      <c r="L13" s="4">
        <f>MAX(L7-L9,0)</f>
        <v>9830</v>
      </c>
      <c r="M13" s="4">
        <f>MAX(M7-M9,0)</f>
        <v>249696</v>
      </c>
      <c r="O13" s="4">
        <f>MAX(O7-O9,0)</f>
        <v>9760</v>
      </c>
      <c r="P13" s="4">
        <f>MAX(P7-P9,0)</f>
        <v>249504</v>
      </c>
      <c r="R13" s="4">
        <f>MAX(R7-R9,0)</f>
        <v>9660</v>
      </c>
      <c r="S13" s="4">
        <f>MAX(S7-S9,0)</f>
        <v>249465</v>
      </c>
      <c r="U13" s="4">
        <f>MAX(U7-U9,0)</f>
        <v>9562</v>
      </c>
      <c r="V13" s="4">
        <f>MAX(V7-V9,0)</f>
        <v>249360</v>
      </c>
      <c r="X13" s="4">
        <f>MAX(X7-X9,0)</f>
        <v>9464</v>
      </c>
      <c r="Y13" s="4">
        <f>MAX(Y7-Y9,0)</f>
        <v>249244</v>
      </c>
      <c r="Z13" s="38" t="s">
        <v>291</v>
      </c>
      <c r="AD13" s="19"/>
      <c r="AE13" s="19"/>
      <c r="AF13" s="19"/>
    </row>
    <row r="14" spans="1:40" ht="32" customHeight="1" x14ac:dyDescent="0.2">
      <c r="A14" s="38" t="s">
        <v>225</v>
      </c>
      <c r="B14" s="31" t="s">
        <v>162</v>
      </c>
      <c r="E14" s="10" t="s">
        <v>54</v>
      </c>
      <c r="F14" s="4">
        <v>0.7</v>
      </c>
      <c r="I14" s="4">
        <v>0.7</v>
      </c>
      <c r="L14" s="4">
        <v>0.7</v>
      </c>
      <c r="O14" s="4">
        <v>0.7</v>
      </c>
      <c r="R14" s="4">
        <v>0.7</v>
      </c>
      <c r="U14" s="4">
        <v>0.7</v>
      </c>
      <c r="X14" s="4">
        <v>0.7</v>
      </c>
      <c r="Z14" s="38" t="s">
        <v>292</v>
      </c>
      <c r="AD14" s="19">
        <v>0.6</v>
      </c>
      <c r="AE14" s="19">
        <f>SUM(AD$6:AD14)</f>
        <v>1.54</v>
      </c>
      <c r="AF14" s="19">
        <v>20</v>
      </c>
    </row>
    <row r="15" spans="1:40" ht="32" customHeight="1" x14ac:dyDescent="0.2">
      <c r="A15" s="38" t="s">
        <v>249</v>
      </c>
      <c r="B15" s="31" t="s">
        <v>162</v>
      </c>
      <c r="D15" s="22" t="s">
        <v>248</v>
      </c>
      <c r="E15" s="10" t="s">
        <v>247</v>
      </c>
      <c r="F15" s="4">
        <v>5</v>
      </c>
      <c r="G15" s="4">
        <v>10</v>
      </c>
      <c r="I15" s="4">
        <v>5.0999999999999996</v>
      </c>
      <c r="J15" s="4">
        <v>9.8000000000000007</v>
      </c>
      <c r="L15" s="4">
        <v>5.2</v>
      </c>
      <c r="M15" s="4">
        <v>9.8000000000000007</v>
      </c>
      <c r="O15" s="4">
        <v>4.7</v>
      </c>
      <c r="P15" s="4">
        <v>9.9</v>
      </c>
      <c r="R15" s="4">
        <v>5.2</v>
      </c>
      <c r="S15" s="4">
        <v>10.1</v>
      </c>
      <c r="U15" s="4">
        <v>4.0999999999999996</v>
      </c>
      <c r="V15" s="4">
        <v>11</v>
      </c>
      <c r="X15" s="4">
        <v>5.0999999999999996</v>
      </c>
      <c r="Y15" s="4">
        <v>9</v>
      </c>
      <c r="Z15" s="38" t="s">
        <v>296</v>
      </c>
      <c r="AD15" s="19"/>
      <c r="AE15" s="19"/>
      <c r="AF15" s="19"/>
    </row>
    <row r="16" spans="1:40" ht="51" x14ac:dyDescent="0.2">
      <c r="A16" s="38" t="s">
        <v>226</v>
      </c>
      <c r="B16" s="31" t="s">
        <v>162</v>
      </c>
      <c r="E16" s="10" t="s">
        <v>229</v>
      </c>
      <c r="F16" s="4">
        <v>1E-3</v>
      </c>
      <c r="G16" s="4">
        <v>1E-3</v>
      </c>
      <c r="Z16" s="38" t="s">
        <v>293</v>
      </c>
      <c r="AD16" s="19">
        <v>1.8</v>
      </c>
      <c r="AE16" s="19">
        <f>SUM(AD$6:AD16)</f>
        <v>3.34</v>
      </c>
      <c r="AF16" s="19">
        <v>20</v>
      </c>
    </row>
    <row r="17" spans="1:32" ht="34" x14ac:dyDescent="0.2">
      <c r="A17" s="38" t="s">
        <v>227</v>
      </c>
      <c r="B17" s="31" t="s">
        <v>162</v>
      </c>
      <c r="D17" s="49" t="s">
        <v>118</v>
      </c>
      <c r="E17" s="10" t="s">
        <v>117</v>
      </c>
      <c r="F17" s="4">
        <v>0.2</v>
      </c>
      <c r="G17" s="4">
        <v>0.2</v>
      </c>
      <c r="Z17" s="38" t="s">
        <v>294</v>
      </c>
      <c r="AD17" s="19">
        <v>3</v>
      </c>
      <c r="AE17" s="19">
        <f>SUM(AD$6:AD17)</f>
        <v>6.34</v>
      </c>
      <c r="AF17" s="19">
        <v>20</v>
      </c>
    </row>
    <row r="18" spans="1:32" ht="51" x14ac:dyDescent="0.2">
      <c r="A18" s="38" t="s">
        <v>228</v>
      </c>
      <c r="B18" s="31" t="s">
        <v>162</v>
      </c>
      <c r="D18" s="49"/>
      <c r="E18" s="10" t="s">
        <v>138</v>
      </c>
      <c r="F18" s="4">
        <v>0.67</v>
      </c>
      <c r="Z18" s="40" t="s">
        <v>295</v>
      </c>
      <c r="AD18" s="19">
        <v>6</v>
      </c>
      <c r="AE18" s="19">
        <f>SUM(AD$6:AD18)</f>
        <v>12.34</v>
      </c>
      <c r="AF18" s="19">
        <v>20</v>
      </c>
    </row>
    <row r="19" spans="1:32" ht="17" x14ac:dyDescent="0.2">
      <c r="A19" s="38" t="s">
        <v>230</v>
      </c>
      <c r="B19" s="31" t="s">
        <v>162</v>
      </c>
      <c r="E19" s="10" t="s">
        <v>116</v>
      </c>
      <c r="F19" s="4">
        <v>150</v>
      </c>
      <c r="G19" s="4">
        <v>100</v>
      </c>
      <c r="Z19" s="38" t="s">
        <v>297</v>
      </c>
      <c r="AD19" s="19">
        <v>10</v>
      </c>
      <c r="AE19" s="19">
        <f>SUM(AD$6:AD19)</f>
        <v>22.34</v>
      </c>
      <c r="AF19" s="19">
        <v>20</v>
      </c>
    </row>
    <row r="20" spans="1:32" ht="17" x14ac:dyDescent="0.2">
      <c r="A20" s="38" t="s">
        <v>232</v>
      </c>
      <c r="B20" s="31" t="s">
        <v>162</v>
      </c>
      <c r="E20" s="10" t="s">
        <v>173</v>
      </c>
      <c r="F20" s="4">
        <v>0.3</v>
      </c>
      <c r="G20" s="4">
        <v>0.25</v>
      </c>
      <c r="Z20" s="38" t="s">
        <v>298</v>
      </c>
      <c r="AD20" s="19"/>
      <c r="AE20" s="19"/>
      <c r="AF20" s="19"/>
    </row>
    <row r="21" spans="1:32" ht="17" x14ac:dyDescent="0.2">
      <c r="A21" s="38" t="s">
        <v>280</v>
      </c>
      <c r="B21" s="32" t="s">
        <v>174</v>
      </c>
      <c r="E21" s="10" t="s">
        <v>115</v>
      </c>
      <c r="F21" s="4">
        <f>F$19*$F$16</f>
        <v>0.15</v>
      </c>
      <c r="G21" s="4">
        <f>G$19*$G$16</f>
        <v>0.1</v>
      </c>
      <c r="Z21" s="38"/>
      <c r="AD21" s="19">
        <v>12</v>
      </c>
      <c r="AE21" s="19">
        <f>SUM(AD$6:AD21)</f>
        <v>34.340000000000003</v>
      </c>
      <c r="AF21" s="19">
        <v>20</v>
      </c>
    </row>
    <row r="22" spans="1:32" ht="17" x14ac:dyDescent="0.2">
      <c r="A22" s="38" t="s">
        <v>231</v>
      </c>
      <c r="B22" s="32" t="s">
        <v>174</v>
      </c>
      <c r="E22" s="10" t="s">
        <v>175</v>
      </c>
      <c r="F22" s="4">
        <f>F19-F21</f>
        <v>149.85</v>
      </c>
      <c r="G22" s="4">
        <f>G19-G21</f>
        <v>99.9</v>
      </c>
      <c r="Z22" s="38" t="s">
        <v>299</v>
      </c>
      <c r="AD22" s="19">
        <v>13.5</v>
      </c>
      <c r="AE22" s="19">
        <f>SUM(AD$6:AD22)</f>
        <v>47.84</v>
      </c>
      <c r="AF22" s="19">
        <v>20</v>
      </c>
    </row>
    <row r="23" spans="1:32" x14ac:dyDescent="0.2">
      <c r="AD23" s="19">
        <v>12</v>
      </c>
      <c r="AE23" s="19">
        <f>SUM(AD$6:AD23)</f>
        <v>59.84</v>
      </c>
      <c r="AF23" s="19">
        <v>20</v>
      </c>
    </row>
    <row r="24" spans="1:32" ht="17" x14ac:dyDescent="0.2">
      <c r="A24" s="38" t="s">
        <v>159</v>
      </c>
      <c r="B24" s="31" t="s">
        <v>162</v>
      </c>
      <c r="E24" s="10" t="s">
        <v>52</v>
      </c>
      <c r="F24" s="4">
        <v>5000</v>
      </c>
      <c r="G24" s="4">
        <v>50000</v>
      </c>
      <c r="I24" s="4">
        <v>5000</v>
      </c>
      <c r="J24" s="4">
        <v>50000</v>
      </c>
      <c r="L24" s="4">
        <v>5500</v>
      </c>
      <c r="M24" s="4">
        <v>50000</v>
      </c>
      <c r="O24" s="4">
        <v>6000</v>
      </c>
      <c r="P24" s="4">
        <v>50000</v>
      </c>
      <c r="R24" s="4">
        <v>6500</v>
      </c>
      <c r="S24" s="4">
        <v>49000</v>
      </c>
      <c r="U24" s="4">
        <v>7200</v>
      </c>
      <c r="V24" s="4">
        <v>49500</v>
      </c>
      <c r="X24" s="4">
        <v>7200</v>
      </c>
      <c r="Y24" s="4">
        <v>49500</v>
      </c>
      <c r="Z24" s="38"/>
      <c r="AD24" s="19">
        <v>10</v>
      </c>
      <c r="AE24" s="19">
        <f>SUM(AD$6:AD24)</f>
        <v>69.84</v>
      </c>
      <c r="AF24" s="19">
        <v>20</v>
      </c>
    </row>
    <row r="25" spans="1:32" ht="17" x14ac:dyDescent="0.2">
      <c r="A25" s="38" t="s">
        <v>279</v>
      </c>
      <c r="B25" s="33" t="s">
        <v>163</v>
      </c>
      <c r="E25" s="14" t="s">
        <v>108</v>
      </c>
      <c r="G25" s="4">
        <f>MAX(G$24-G$13, 0)</f>
        <v>0</v>
      </c>
      <c r="J25" s="4">
        <f>MAX(J$24-J$13, 0)</f>
        <v>0</v>
      </c>
      <c r="M25" s="4">
        <f>MAX(M$24-M$13, 0)</f>
        <v>0</v>
      </c>
      <c r="P25" s="4">
        <f>MAX(P$24-P$13, 0)</f>
        <v>0</v>
      </c>
      <c r="S25" s="4">
        <f>MAX(S$24-S$13, 0)</f>
        <v>0</v>
      </c>
      <c r="V25" s="4">
        <f>MAX(V$24-V$13, 0)</f>
        <v>0</v>
      </c>
      <c r="Y25" s="4">
        <f>MAX(Y$24-Y$13, 0)</f>
        <v>0</v>
      </c>
      <c r="Z25" s="38"/>
      <c r="AD25" s="19">
        <v>6</v>
      </c>
      <c r="AE25" s="19">
        <f>SUM(AD$6:AD25)</f>
        <v>75.84</v>
      </c>
      <c r="AF25" s="19">
        <v>20</v>
      </c>
    </row>
    <row r="26" spans="1:32" ht="17" x14ac:dyDescent="0.2">
      <c r="A26" s="38" t="s">
        <v>160</v>
      </c>
      <c r="B26" s="33" t="s">
        <v>163</v>
      </c>
      <c r="E26" s="14" t="s">
        <v>144</v>
      </c>
      <c r="F26" s="4">
        <f>MIN(F13,F24)</f>
        <v>5000</v>
      </c>
      <c r="G26" s="4">
        <f>MIN(G13,G24)</f>
        <v>50000</v>
      </c>
      <c r="I26" s="4">
        <f>MIN(I13,I24)</f>
        <v>5000</v>
      </c>
      <c r="J26" s="4">
        <f>MIN(J13,J24)</f>
        <v>50000</v>
      </c>
      <c r="L26" s="4">
        <f>MIN(L13,L24)</f>
        <v>5500</v>
      </c>
      <c r="M26" s="4">
        <f>MIN(M13,M24)</f>
        <v>50000</v>
      </c>
      <c r="O26" s="4">
        <f>MIN(O13,O24)</f>
        <v>6000</v>
      </c>
      <c r="P26" s="4">
        <f>MIN(P13,P24)</f>
        <v>50000</v>
      </c>
      <c r="R26" s="4">
        <f>MIN(R13,R24)</f>
        <v>6500</v>
      </c>
      <c r="S26" s="4">
        <f>MIN(S13,S24)</f>
        <v>49000</v>
      </c>
      <c r="U26" s="4">
        <f>MIN(U13,U24)</f>
        <v>7200</v>
      </c>
      <c r="V26" s="4">
        <f>MIN(V13,V24)</f>
        <v>49500</v>
      </c>
      <c r="X26" s="4">
        <f>MIN(X13,X24)</f>
        <v>7200</v>
      </c>
      <c r="Y26" s="4">
        <f>MIN(Y13,Y24)</f>
        <v>49500</v>
      </c>
      <c r="Z26" s="38"/>
      <c r="AD26" s="19">
        <v>3</v>
      </c>
      <c r="AE26" s="19">
        <f>SUM(AD$6:AD26)</f>
        <v>78.84</v>
      </c>
      <c r="AF26" s="19">
        <v>20</v>
      </c>
    </row>
    <row r="27" spans="1:32" ht="17" x14ac:dyDescent="0.2">
      <c r="E27" s="15" t="s">
        <v>169</v>
      </c>
      <c r="F27" s="8"/>
      <c r="G27" s="8"/>
      <c r="I27" s="8"/>
      <c r="J27" s="8"/>
      <c r="L27" s="8"/>
      <c r="M27" s="8"/>
      <c r="O27" s="8"/>
      <c r="P27" s="8"/>
      <c r="R27" s="8"/>
      <c r="S27" s="8"/>
      <c r="U27" s="8"/>
      <c r="V27" s="8"/>
      <c r="X27" s="8"/>
      <c r="Y27" s="8"/>
      <c r="AD27" s="19">
        <v>1.8</v>
      </c>
      <c r="AE27" s="19">
        <f>SUM(AD$6:AD27)</f>
        <v>80.64</v>
      </c>
      <c r="AF27" s="19">
        <v>20</v>
      </c>
    </row>
    <row r="28" spans="1:32" ht="73" customHeight="1" x14ac:dyDescent="0.2">
      <c r="A28" s="38" t="s">
        <v>278</v>
      </c>
      <c r="B28" s="31" t="s">
        <v>162</v>
      </c>
      <c r="D28" s="49" t="s">
        <v>170</v>
      </c>
      <c r="E28" s="25" t="s">
        <v>68</v>
      </c>
      <c r="F28" s="4">
        <v>0.3</v>
      </c>
      <c r="G28" s="4">
        <v>0.92</v>
      </c>
      <c r="Z28" s="38"/>
    </row>
    <row r="29" spans="1:32" ht="73" customHeight="1" x14ac:dyDescent="0.2">
      <c r="A29" s="38" t="s">
        <v>233</v>
      </c>
      <c r="B29" s="32" t="s">
        <v>174</v>
      </c>
      <c r="D29" s="49"/>
      <c r="E29" s="25" t="s">
        <v>171</v>
      </c>
      <c r="F29" s="4">
        <f>F28/F19</f>
        <v>2E-3</v>
      </c>
      <c r="G29" s="4">
        <f>F29</f>
        <v>2E-3</v>
      </c>
      <c r="Z29" s="38"/>
    </row>
    <row r="30" spans="1:32" ht="18" customHeight="1" x14ac:dyDescent="0.2">
      <c r="D30" s="26"/>
    </row>
    <row r="31" spans="1:32" ht="17" x14ac:dyDescent="0.2">
      <c r="E31" s="15" t="s">
        <v>56</v>
      </c>
      <c r="F31" s="8"/>
      <c r="G31" s="8"/>
      <c r="I31" s="8"/>
      <c r="J31" s="8"/>
      <c r="L31" s="8"/>
      <c r="M31" s="8"/>
      <c r="O31" s="8"/>
      <c r="P31" s="8"/>
      <c r="R31" s="8"/>
      <c r="S31" s="8"/>
      <c r="U31" s="8"/>
      <c r="V31" s="8"/>
      <c r="X31" s="8"/>
      <c r="Y31" s="8"/>
    </row>
    <row r="32" spans="1:32" ht="17" x14ac:dyDescent="0.2">
      <c r="A32" s="38" t="s">
        <v>168</v>
      </c>
      <c r="B32" s="31" t="s">
        <v>162</v>
      </c>
      <c r="E32" s="10" t="s">
        <v>53</v>
      </c>
      <c r="F32" s="4">
        <v>2000000</v>
      </c>
      <c r="I32" s="4">
        <v>2050000</v>
      </c>
      <c r="L32" s="4">
        <v>2110000</v>
      </c>
      <c r="O32" s="4">
        <v>2210000</v>
      </c>
      <c r="R32" s="4">
        <v>3000000</v>
      </c>
      <c r="U32" s="4">
        <v>25000000</v>
      </c>
      <c r="X32" s="4">
        <v>2520000</v>
      </c>
      <c r="Z32" s="38"/>
    </row>
    <row r="34" spans="1:27" ht="17" x14ac:dyDescent="0.2">
      <c r="E34" s="11" t="s">
        <v>57</v>
      </c>
      <c r="F34" s="12"/>
      <c r="G34" s="12"/>
      <c r="I34" s="12"/>
      <c r="J34" s="12"/>
      <c r="L34" s="12"/>
      <c r="M34" s="12"/>
      <c r="O34" s="12"/>
      <c r="P34" s="12"/>
      <c r="R34" s="12"/>
      <c r="S34" s="12"/>
      <c r="U34" s="12"/>
      <c r="V34" s="12"/>
      <c r="X34" s="12"/>
      <c r="Y34" s="12"/>
    </row>
    <row r="35" spans="1:27" ht="17" x14ac:dyDescent="0.2">
      <c r="E35" s="15" t="s">
        <v>139</v>
      </c>
      <c r="F35" s="8" t="s">
        <v>124</v>
      </c>
      <c r="G35" s="8"/>
      <c r="I35" s="4" t="s">
        <v>126</v>
      </c>
      <c r="L35" s="4" t="s">
        <v>126</v>
      </c>
      <c r="N35" s="5" t="s">
        <v>125</v>
      </c>
      <c r="O35" s="4" t="s">
        <v>126</v>
      </c>
    </row>
    <row r="36" spans="1:27" ht="17" x14ac:dyDescent="0.2">
      <c r="A36" s="24" t="s">
        <v>179</v>
      </c>
      <c r="E36" s="14" t="s">
        <v>88</v>
      </c>
      <c r="G36" s="4">
        <v>0</v>
      </c>
      <c r="H36" s="5">
        <f>SUM(J$36:J36)</f>
        <v>0</v>
      </c>
      <c r="J36" s="4">
        <v>0</v>
      </c>
      <c r="K36" s="5">
        <f>SUM(M$36:M36)</f>
        <v>0</v>
      </c>
      <c r="M36" s="4">
        <v>0</v>
      </c>
      <c r="N36" s="5">
        <f>SUM(P$36:P36)</f>
        <v>0</v>
      </c>
      <c r="P36" s="4">
        <v>0</v>
      </c>
      <c r="Q36" s="5">
        <f>SUM(S$36:S36)</f>
        <v>0</v>
      </c>
      <c r="S36" s="4">
        <v>0</v>
      </c>
      <c r="T36" s="5">
        <f>SUM(V$36:V36)</f>
        <v>0</v>
      </c>
      <c r="V36" s="4">
        <v>0</v>
      </c>
      <c r="W36" s="5">
        <f>SUM(Y$36:Y36)</f>
        <v>0</v>
      </c>
      <c r="Y36" s="4">
        <v>0</v>
      </c>
    </row>
    <row r="37" spans="1:27" ht="17" x14ac:dyDescent="0.2">
      <c r="A37" s="46" t="s">
        <v>180</v>
      </c>
      <c r="B37" s="47" t="s">
        <v>174</v>
      </c>
      <c r="E37" s="14" t="s">
        <v>87</v>
      </c>
      <c r="F37" s="4">
        <v>0</v>
      </c>
      <c r="G37" s="4">
        <f>G12</f>
        <v>85</v>
      </c>
      <c r="H37" s="5">
        <f>SUM(G$36:G37)</f>
        <v>85</v>
      </c>
      <c r="I37" s="4">
        <f>IF(H37&gt;=J$11, IF(H36&lt;J$11, J$11-H36, 0),G37)</f>
        <v>0</v>
      </c>
      <c r="J37" s="4">
        <f>G37-I37</f>
        <v>85</v>
      </c>
      <c r="K37" s="5">
        <f>SUM(J$36:J37)</f>
        <v>85</v>
      </c>
      <c r="L37" s="4">
        <f>IF(K37&gt;=M$11, IF(K36&lt;M$11, M$11-K36, 0),J37)</f>
        <v>0</v>
      </c>
      <c r="M37" s="4">
        <f>J37-L37</f>
        <v>85</v>
      </c>
      <c r="N37" s="5">
        <f>SUM(M$36:M37)</f>
        <v>85</v>
      </c>
      <c r="O37" s="4">
        <f>IF(N37&gt;=P$11, IF(N36&lt;P$11, P$11-N36, 0),M37)</f>
        <v>0</v>
      </c>
      <c r="P37" s="4">
        <f>M37-O37</f>
        <v>85</v>
      </c>
      <c r="Q37" s="5">
        <f>SUM(P$36:P37)</f>
        <v>85</v>
      </c>
      <c r="R37" s="4">
        <f>IF(Q37&gt;=S$11, IF(Q36&lt;S$11, S$11-Q36, 0),P37)</f>
        <v>0</v>
      </c>
      <c r="S37" s="4">
        <f>P37-R37</f>
        <v>85</v>
      </c>
      <c r="T37" s="5">
        <f>SUM(S$36:S37)</f>
        <v>85</v>
      </c>
      <c r="U37" s="4">
        <f>IF(T37&gt;=V$11, IF(T36&lt;V$11, V$11-T36, 0),S37)</f>
        <v>0</v>
      </c>
      <c r="V37" s="4">
        <f>S37-U37</f>
        <v>85</v>
      </c>
      <c r="W37" s="5">
        <f>SUM(V$36:V37)</f>
        <v>85</v>
      </c>
      <c r="X37" s="4">
        <f>IF(W37&gt;=Y$11, IF(W36&lt;Y$11, Y$11-W36, 0),V37)</f>
        <v>0</v>
      </c>
      <c r="Y37" s="4">
        <f>V37-X37</f>
        <v>85</v>
      </c>
      <c r="Z37" s="37"/>
    </row>
    <row r="38" spans="1:27" ht="17" x14ac:dyDescent="0.2">
      <c r="A38" s="48"/>
      <c r="B38" s="47"/>
      <c r="E38" s="14" t="s">
        <v>69</v>
      </c>
      <c r="F38" s="4">
        <v>0</v>
      </c>
      <c r="G38" s="4">
        <v>0</v>
      </c>
      <c r="H38" s="5">
        <f>SUM(G$36:G38)</f>
        <v>85</v>
      </c>
      <c r="I38" s="4">
        <f>IF(H38&gt;=J$11, IF(H37&lt;J$11, J$11-H37, 0),G38)</f>
        <v>0</v>
      </c>
      <c r="J38" s="4">
        <f>J12</f>
        <v>80</v>
      </c>
      <c r="K38" s="5">
        <f>SUM(J$36:J38)</f>
        <v>165</v>
      </c>
      <c r="L38" s="4">
        <f>IF(K38&gt;=M$11, IF(K37&lt;M$11, M$11-K37, 0),J38)</f>
        <v>0</v>
      </c>
      <c r="M38" s="4">
        <f>J38-L38</f>
        <v>80</v>
      </c>
      <c r="N38" s="5">
        <f>SUM(M$36:M38)</f>
        <v>165</v>
      </c>
      <c r="O38" s="4">
        <f t="shared" ref="O38:O40" si="0">IF(N38&gt;=P$11, IF(N37&lt;P$11, P$11-N37, 0),M38)</f>
        <v>0</v>
      </c>
      <c r="P38" s="4">
        <f>M38-O38</f>
        <v>80</v>
      </c>
      <c r="Q38" s="5">
        <f>SUM(P$36:P38)</f>
        <v>165</v>
      </c>
      <c r="R38" s="4">
        <f t="shared" ref="R38:R40" si="1">IF(Q38&gt;=S$11, IF(Q37&lt;S$11, S$11-Q37, 0),P38)</f>
        <v>0</v>
      </c>
      <c r="S38" s="4">
        <f>P38-R38</f>
        <v>80</v>
      </c>
      <c r="T38" s="5">
        <f>SUM(S$36:S38)</f>
        <v>165</v>
      </c>
      <c r="U38" s="4">
        <f t="shared" ref="U38:U40" si="2">IF(T38&gt;=V$11, IF(T37&lt;V$11, V$11-T37, 0),S38)</f>
        <v>0</v>
      </c>
      <c r="V38" s="4">
        <f>S38-U38</f>
        <v>80</v>
      </c>
      <c r="W38" s="5">
        <f>SUM(V$36:V38)</f>
        <v>165</v>
      </c>
      <c r="X38" s="4">
        <f t="shared" ref="X38:X40" si="3">IF(W38&gt;=Y$11, IF(W37&lt;Y$11, Y$11-W37, 0),V38)</f>
        <v>0</v>
      </c>
      <c r="Y38" s="4">
        <f>V38-X38</f>
        <v>80</v>
      </c>
      <c r="Z38" s="38"/>
    </row>
    <row r="39" spans="1:27" ht="17" x14ac:dyDescent="0.2">
      <c r="A39" s="48"/>
      <c r="B39" s="47"/>
      <c r="E39" s="14" t="s">
        <v>79</v>
      </c>
      <c r="F39" s="4">
        <v>0</v>
      </c>
      <c r="G39" s="4">
        <v>0</v>
      </c>
      <c r="H39" s="5">
        <f>SUM(G$36:G39)</f>
        <v>85</v>
      </c>
      <c r="I39" s="4">
        <f>IF(H39&gt;=J$11, IF(H38&lt;J$11, J$11-H38, 0),G39)</f>
        <v>0</v>
      </c>
      <c r="J39" s="4">
        <v>0</v>
      </c>
      <c r="K39" s="5">
        <f>SUM(J$36:J39)</f>
        <v>165</v>
      </c>
      <c r="L39" s="4">
        <f t="shared" ref="L39:L40" si="4">IF(K39&gt;=M$11, IF(K38&lt;M$11, M$11-K38, 0),J39)</f>
        <v>0</v>
      </c>
      <c r="M39" s="4">
        <f>M12</f>
        <v>92</v>
      </c>
      <c r="N39" s="5">
        <f>SUM(M$36:M39)</f>
        <v>257</v>
      </c>
      <c r="O39" s="4">
        <f t="shared" si="0"/>
        <v>0</v>
      </c>
      <c r="P39" s="4">
        <f>M39-O39</f>
        <v>92</v>
      </c>
      <c r="Q39" s="5">
        <f>SUM(P$36:P39)</f>
        <v>257</v>
      </c>
      <c r="R39" s="4">
        <f t="shared" si="1"/>
        <v>0</v>
      </c>
      <c r="S39" s="4">
        <f>P39-R39</f>
        <v>92</v>
      </c>
      <c r="T39" s="5">
        <f>SUM(S$36:S39)</f>
        <v>257</v>
      </c>
      <c r="U39" s="4">
        <f t="shared" si="2"/>
        <v>0</v>
      </c>
      <c r="V39" s="4">
        <f>S39-U39</f>
        <v>92</v>
      </c>
      <c r="W39" s="5">
        <f>SUM(V$36:V39)</f>
        <v>257</v>
      </c>
      <c r="X39" s="4">
        <f t="shared" si="3"/>
        <v>0</v>
      </c>
      <c r="Y39" s="4">
        <f>V39-X39</f>
        <v>92</v>
      </c>
      <c r="Z39" s="38"/>
    </row>
    <row r="40" spans="1:27" ht="17" x14ac:dyDescent="0.2">
      <c r="A40" s="48"/>
      <c r="B40" s="47"/>
      <c r="E40" s="14" t="s">
        <v>80</v>
      </c>
      <c r="F40" s="4">
        <v>0</v>
      </c>
      <c r="G40" s="4">
        <v>0</v>
      </c>
      <c r="H40" s="5">
        <f>SUM(G$36:G40)</f>
        <v>85</v>
      </c>
      <c r="I40" s="4">
        <f>IF(H40&gt;=J$11, IF(H39&lt;J$11, J$11-H39, 0),G40)</f>
        <v>0</v>
      </c>
      <c r="J40" s="4">
        <v>0</v>
      </c>
      <c r="K40" s="5">
        <f>SUM(J$36:J40)</f>
        <v>165</v>
      </c>
      <c r="L40" s="4">
        <f t="shared" si="4"/>
        <v>0</v>
      </c>
      <c r="M40" s="4">
        <v>0</v>
      </c>
      <c r="N40" s="5">
        <f>SUM(M$36:M40)</f>
        <v>257</v>
      </c>
      <c r="O40" s="4">
        <f t="shared" si="0"/>
        <v>0</v>
      </c>
      <c r="P40" s="4">
        <f>P12</f>
        <v>43</v>
      </c>
      <c r="Q40" s="5">
        <f>SUM(P$36:P40)</f>
        <v>300</v>
      </c>
      <c r="R40" s="4">
        <f t="shared" si="1"/>
        <v>0</v>
      </c>
      <c r="S40" s="4">
        <f>P40-R40</f>
        <v>43</v>
      </c>
      <c r="T40" s="5">
        <f>SUM(S$36:S40)</f>
        <v>300</v>
      </c>
      <c r="U40" s="4">
        <f t="shared" si="2"/>
        <v>0</v>
      </c>
      <c r="V40" s="4">
        <f>S40-U40</f>
        <v>43</v>
      </c>
      <c r="W40" s="5">
        <f>SUM(V$36:V40)</f>
        <v>300</v>
      </c>
      <c r="X40" s="4">
        <f t="shared" si="3"/>
        <v>0</v>
      </c>
      <c r="Y40" s="4">
        <f>V40-X40</f>
        <v>43</v>
      </c>
      <c r="Z40" s="38"/>
    </row>
    <row r="41" spans="1:27" ht="17" x14ac:dyDescent="0.2">
      <c r="E41" s="14" t="s">
        <v>82</v>
      </c>
      <c r="AA41" t="s">
        <v>77</v>
      </c>
    </row>
    <row r="42" spans="1:27" ht="17" x14ac:dyDescent="0.2">
      <c r="A42" s="48" t="s">
        <v>191</v>
      </c>
      <c r="B42" s="47" t="s">
        <v>174</v>
      </c>
      <c r="E42" s="14" t="s">
        <v>195</v>
      </c>
      <c r="G42" s="4">
        <v>0</v>
      </c>
      <c r="J42" s="4">
        <f>IF(G37=0, 0, G95*I37/G37)</f>
        <v>0</v>
      </c>
      <c r="M42" s="4">
        <f>IF(J37=0, 0, J95*L37/J37)</f>
        <v>0</v>
      </c>
      <c r="P42" s="4">
        <f>IF(M37=0, 0, M95*O37/M37)</f>
        <v>0</v>
      </c>
      <c r="S42" s="4">
        <f>IF(P37=0, 0, P95*R37/P37)</f>
        <v>0</v>
      </c>
      <c r="V42" s="4">
        <f>IF(S37=0, 0, S95*U37/S37)</f>
        <v>0</v>
      </c>
      <c r="Y42" s="4">
        <f>IF(V37=0, 0, V95*X37/V37)</f>
        <v>0</v>
      </c>
      <c r="Z42" s="38"/>
    </row>
    <row r="43" spans="1:27" ht="17" x14ac:dyDescent="0.2">
      <c r="A43" s="48"/>
      <c r="B43" s="47"/>
      <c r="E43" s="14" t="s">
        <v>196</v>
      </c>
      <c r="G43" s="4">
        <v>0</v>
      </c>
      <c r="J43" s="4">
        <f>IF(G38=0, 0, G96*I38/G38)</f>
        <v>0</v>
      </c>
      <c r="M43" s="4">
        <f>IF(J38=0, 0, J96*L38/J38)</f>
        <v>0</v>
      </c>
      <c r="P43" s="4">
        <f>IF(M38=0, 0, M96*O38/M38)</f>
        <v>0</v>
      </c>
      <c r="S43" s="4">
        <f>IF(P38=0, 0, P96*R38/P38)</f>
        <v>0</v>
      </c>
      <c r="V43" s="4">
        <f>IF(S38=0, 0, S96*U38/S38)</f>
        <v>0</v>
      </c>
      <c r="Y43" s="4">
        <f>IF(V38=0, 0, V96*X38/V38)</f>
        <v>0</v>
      </c>
      <c r="Z43" s="38"/>
    </row>
    <row r="44" spans="1:27" ht="17" x14ac:dyDescent="0.2">
      <c r="A44" s="48"/>
      <c r="B44" s="47"/>
      <c r="E44" s="14" t="s">
        <v>197</v>
      </c>
      <c r="G44" s="4">
        <v>0</v>
      </c>
      <c r="J44" s="4">
        <f>IF(G39=0, 0, G97*I39/G39)</f>
        <v>0</v>
      </c>
      <c r="M44" s="4">
        <f>IF(J39=0, 0, J97*L39/J39)</f>
        <v>0</v>
      </c>
      <c r="P44" s="4">
        <f>IF(M39=0, 0, M97*O39/M39)</f>
        <v>0</v>
      </c>
      <c r="S44" s="4">
        <f>IF(P39=0, 0, P97*R39/P39)</f>
        <v>0</v>
      </c>
      <c r="V44" s="4">
        <f>IF(S39=0, 0, S97*U39/S39)</f>
        <v>0</v>
      </c>
      <c r="Y44" s="4">
        <f>IF(V39=0, 0, V97*X39/V39)</f>
        <v>0</v>
      </c>
      <c r="Z44" s="38"/>
    </row>
    <row r="45" spans="1:27" ht="17" x14ac:dyDescent="0.2">
      <c r="A45" s="48"/>
      <c r="B45" s="47"/>
      <c r="E45" s="14" t="s">
        <v>198</v>
      </c>
      <c r="G45" s="4">
        <v>0</v>
      </c>
      <c r="J45" s="4">
        <f>IF(G40=0, 0, G98*I40/G40)</f>
        <v>0</v>
      </c>
      <c r="M45" s="4">
        <f>IF(J40=0, 0, J98*L40/J40)</f>
        <v>0</v>
      </c>
      <c r="P45" s="4">
        <f>IF(M40=0, 0, M98*O40/M40)</f>
        <v>0</v>
      </c>
      <c r="S45" s="4">
        <f>IF(P40=0, 0, P98*R40/P40)</f>
        <v>0</v>
      </c>
      <c r="V45" s="4">
        <f>IF(S40=0, 0, S98*U40/S40)</f>
        <v>0</v>
      </c>
      <c r="Y45" s="4">
        <f>IF(V40=0, 0, V98*X40/V40)</f>
        <v>0</v>
      </c>
      <c r="Z45" s="38"/>
    </row>
    <row r="46" spans="1:27" x14ac:dyDescent="0.2">
      <c r="A46" s="38" t="s">
        <v>192</v>
      </c>
      <c r="B46" s="28" t="s">
        <v>174</v>
      </c>
      <c r="E46" s="14"/>
      <c r="G46" s="4">
        <f>SUM(G42:G45)</f>
        <v>0</v>
      </c>
      <c r="J46" s="4">
        <f>SUM(J42:J45)</f>
        <v>0</v>
      </c>
      <c r="M46" s="4">
        <f>SUM(M42:M45)</f>
        <v>0</v>
      </c>
      <c r="P46" s="4">
        <f>SUM(P42:P45)</f>
        <v>0</v>
      </c>
      <c r="S46" s="4">
        <f>SUM(S42:S45)</f>
        <v>0</v>
      </c>
      <c r="V46" s="4">
        <f>SUM(V42:V45)</f>
        <v>0</v>
      </c>
      <c r="Y46" s="4">
        <f>SUM(Y42:Y45)</f>
        <v>0</v>
      </c>
      <c r="Z46" s="38"/>
    </row>
    <row r="47" spans="1:27" ht="17" x14ac:dyDescent="0.2">
      <c r="E47" s="14" t="s">
        <v>82</v>
      </c>
      <c r="AA47" t="s">
        <v>77</v>
      </c>
    </row>
    <row r="48" spans="1:27" ht="17" x14ac:dyDescent="0.2">
      <c r="A48" s="48" t="s">
        <v>263</v>
      </c>
      <c r="B48" s="47" t="s">
        <v>174</v>
      </c>
      <c r="D48" s="49" t="s">
        <v>251</v>
      </c>
      <c r="E48" s="14" t="s">
        <v>250</v>
      </c>
      <c r="G48" s="4">
        <f>MIN(G42,G$15*F37)</f>
        <v>0</v>
      </c>
      <c r="J48" s="4">
        <f>MIN(J42,J$15*I37)</f>
        <v>0</v>
      </c>
      <c r="M48" s="4">
        <f>MIN(M42,M$15*L37)</f>
        <v>0</v>
      </c>
      <c r="P48" s="4">
        <f>MIN(P42,P$15*O37)</f>
        <v>0</v>
      </c>
      <c r="S48" s="4">
        <f>MIN(S42,S$15*R37)</f>
        <v>0</v>
      </c>
      <c r="V48" s="4">
        <f>MIN(V42,V$15*U37)</f>
        <v>0</v>
      </c>
      <c r="Y48" s="4">
        <f>MIN(Y42,Y$15*X37)</f>
        <v>0</v>
      </c>
      <c r="Z48" s="38"/>
    </row>
    <row r="49" spans="1:26" ht="17" x14ac:dyDescent="0.2">
      <c r="A49" s="48"/>
      <c r="B49" s="47"/>
      <c r="D49" s="49"/>
      <c r="E49" s="14" t="s">
        <v>252</v>
      </c>
      <c r="G49" s="4">
        <f>MIN(G43,G$15*F38)</f>
        <v>0</v>
      </c>
      <c r="J49" s="4">
        <f>MIN(J43,J$15*I38)</f>
        <v>0</v>
      </c>
      <c r="M49" s="4">
        <f>MIN(M43,M$15*L38)</f>
        <v>0</v>
      </c>
      <c r="P49" s="4">
        <f t="shared" ref="P49" si="5">MIN(P43,P$15*O38)</f>
        <v>0</v>
      </c>
      <c r="S49" s="4">
        <f t="shared" ref="S49" si="6">MIN(S43,S$15*R38)</f>
        <v>0</v>
      </c>
      <c r="V49" s="4">
        <f t="shared" ref="V49" si="7">MIN(V43,V$15*U38)</f>
        <v>0</v>
      </c>
      <c r="Y49" s="4">
        <f t="shared" ref="Y49" si="8">MIN(Y43,Y$15*X38)</f>
        <v>0</v>
      </c>
      <c r="Z49" s="38"/>
    </row>
    <row r="50" spans="1:26" ht="17" x14ac:dyDescent="0.2">
      <c r="A50" s="48"/>
      <c r="B50" s="47"/>
      <c r="D50" s="49"/>
      <c r="E50" s="14" t="s">
        <v>253</v>
      </c>
      <c r="G50" s="4">
        <f>MIN(G44,G$15*F39)</f>
        <v>0</v>
      </c>
      <c r="J50" s="4">
        <f>MIN(J44,J$15*I39)</f>
        <v>0</v>
      </c>
      <c r="M50" s="4">
        <f>MIN(M44,M$15*L39)</f>
        <v>0</v>
      </c>
      <c r="P50" s="4">
        <f>MIN(P44,P$15*O39)</f>
        <v>0</v>
      </c>
      <c r="S50" s="4">
        <f>MIN(S44,S$15*R39)</f>
        <v>0</v>
      </c>
      <c r="V50" s="4">
        <f>MIN(V44,V$15*U39)</f>
        <v>0</v>
      </c>
      <c r="Y50" s="4">
        <f>MIN(Y44,Y$15*X39)</f>
        <v>0</v>
      </c>
      <c r="Z50" s="38"/>
    </row>
    <row r="51" spans="1:26" ht="17" x14ac:dyDescent="0.2">
      <c r="A51" s="48"/>
      <c r="B51" s="47"/>
      <c r="D51" s="49"/>
      <c r="E51" s="14" t="s">
        <v>254</v>
      </c>
      <c r="G51" s="4">
        <f>MIN(G45,G$15*F40)</f>
        <v>0</v>
      </c>
      <c r="J51" s="4">
        <f>MIN(J45,J$15*I40)</f>
        <v>0</v>
      </c>
      <c r="M51" s="4">
        <f>MIN(M45,M$15*L40)</f>
        <v>0</v>
      </c>
      <c r="P51" s="4">
        <f>MIN(P45,P$15*O40)</f>
        <v>0</v>
      </c>
      <c r="S51" s="4">
        <f>MIN(S45,S$15*R40)</f>
        <v>0</v>
      </c>
      <c r="V51" s="4">
        <f>MIN(V45,V$15*U40)</f>
        <v>0</v>
      </c>
      <c r="Y51" s="4">
        <f>MIN(Y45,Y$15*X40)</f>
        <v>0</v>
      </c>
      <c r="Z51" s="38"/>
    </row>
    <row r="52" spans="1:26" x14ac:dyDescent="0.2">
      <c r="A52" s="38" t="s">
        <v>264</v>
      </c>
      <c r="B52" s="28" t="s">
        <v>174</v>
      </c>
      <c r="E52" s="14"/>
      <c r="G52" s="4">
        <f>SUM(G48:G51)</f>
        <v>0</v>
      </c>
      <c r="J52" s="4">
        <f>SUM(J48:J51)</f>
        <v>0</v>
      </c>
      <c r="M52" s="4">
        <f>SUM(M48:M51)</f>
        <v>0</v>
      </c>
      <c r="P52" s="4">
        <f>SUM(P48:P51)</f>
        <v>0</v>
      </c>
      <c r="S52" s="4">
        <f>SUM(S48:S51)</f>
        <v>0</v>
      </c>
      <c r="V52" s="4">
        <f>SUM(V48:V51)</f>
        <v>0</v>
      </c>
      <c r="Y52" s="4">
        <f>SUM(Y48:Y51)</f>
        <v>0</v>
      </c>
      <c r="Z52" s="38"/>
    </row>
    <row r="53" spans="1:26" x14ac:dyDescent="0.2">
      <c r="A53" s="38" t="s">
        <v>266</v>
      </c>
      <c r="B53" s="28"/>
      <c r="E53" s="14"/>
      <c r="G53" s="4">
        <f>G46-G52</f>
        <v>0</v>
      </c>
      <c r="J53" s="4">
        <f>J46-J52</f>
        <v>0</v>
      </c>
      <c r="M53" s="4">
        <f>M46-M52</f>
        <v>0</v>
      </c>
      <c r="P53" s="4">
        <f>P46-P52</f>
        <v>0</v>
      </c>
      <c r="S53" s="4">
        <f>S46-S52</f>
        <v>0</v>
      </c>
      <c r="V53" s="4">
        <f>V46-V52</f>
        <v>0</v>
      </c>
      <c r="Y53" s="4">
        <f>Y46-Y52</f>
        <v>0</v>
      </c>
      <c r="Z53" s="38"/>
    </row>
    <row r="54" spans="1:26" x14ac:dyDescent="0.2">
      <c r="E54" s="14"/>
    </row>
    <row r="55" spans="1:26" ht="17" x14ac:dyDescent="0.2">
      <c r="A55" s="48" t="s">
        <v>193</v>
      </c>
      <c r="B55" s="47" t="s">
        <v>174</v>
      </c>
      <c r="E55" s="14" t="s">
        <v>199</v>
      </c>
      <c r="G55" s="4">
        <f>G42*$G$20</f>
        <v>0</v>
      </c>
      <c r="J55" s="4">
        <f>J42*$G$20</f>
        <v>0</v>
      </c>
      <c r="M55" s="4">
        <f>M42*$G$20</f>
        <v>0</v>
      </c>
      <c r="P55" s="4">
        <f>P42*$G$20</f>
        <v>0</v>
      </c>
      <c r="S55" s="4">
        <f>S42*$G$20</f>
        <v>0</v>
      </c>
      <c r="V55" s="4">
        <f>V42*$G$20</f>
        <v>0</v>
      </c>
      <c r="Y55" s="4">
        <f>Y42*$G$20</f>
        <v>0</v>
      </c>
      <c r="Z55" s="38"/>
    </row>
    <row r="56" spans="1:26" ht="17" x14ac:dyDescent="0.2">
      <c r="A56" s="48"/>
      <c r="B56" s="47"/>
      <c r="E56" s="14" t="s">
        <v>200</v>
      </c>
      <c r="G56" s="4">
        <f>G43*$G$20</f>
        <v>0</v>
      </c>
      <c r="J56" s="4">
        <f>J43*$G$20</f>
        <v>0</v>
      </c>
      <c r="M56" s="4">
        <f>M43*$G$20</f>
        <v>0</v>
      </c>
      <c r="P56" s="4">
        <f>P43*$G$20</f>
        <v>0</v>
      </c>
      <c r="S56" s="4">
        <f>S43*$G$20</f>
        <v>0</v>
      </c>
      <c r="V56" s="4">
        <f>V43*$G$20</f>
        <v>0</v>
      </c>
      <c r="Y56" s="4">
        <f>Y43*$G$20</f>
        <v>0</v>
      </c>
      <c r="Z56" s="38"/>
    </row>
    <row r="57" spans="1:26" ht="17" x14ac:dyDescent="0.2">
      <c r="A57" s="48"/>
      <c r="B57" s="47"/>
      <c r="E57" s="14" t="s">
        <v>201</v>
      </c>
      <c r="G57" s="4">
        <f>G44*$G$20</f>
        <v>0</v>
      </c>
      <c r="J57" s="4">
        <f>J44*$G$20</f>
        <v>0</v>
      </c>
      <c r="M57" s="4">
        <f>M44*$G$20</f>
        <v>0</v>
      </c>
      <c r="P57" s="4">
        <f>P44*$G$20</f>
        <v>0</v>
      </c>
      <c r="S57" s="4">
        <f>S44*$G$20</f>
        <v>0</v>
      </c>
      <c r="V57" s="4">
        <f>V44*$G$20</f>
        <v>0</v>
      </c>
      <c r="Y57" s="4">
        <f>Y44*$G$20</f>
        <v>0</v>
      </c>
      <c r="Z57" s="38"/>
    </row>
    <row r="58" spans="1:26" ht="17" x14ac:dyDescent="0.2">
      <c r="A58" s="48"/>
      <c r="B58" s="47"/>
      <c r="E58" s="14" t="s">
        <v>202</v>
      </c>
      <c r="G58" s="4">
        <f>G45*$G$20</f>
        <v>0</v>
      </c>
      <c r="J58" s="4">
        <f>J45*$G$20</f>
        <v>0</v>
      </c>
      <c r="M58" s="4">
        <f>M45*$G$20</f>
        <v>0</v>
      </c>
      <c r="P58" s="4">
        <f>P45*$G$20</f>
        <v>0</v>
      </c>
      <c r="S58" s="4">
        <f>S45*$G$20</f>
        <v>0</v>
      </c>
      <c r="V58" s="4">
        <f>V45*$G$20</f>
        <v>0</v>
      </c>
      <c r="Y58" s="4">
        <f>Y45*$G$20</f>
        <v>0</v>
      </c>
      <c r="Z58" s="38"/>
    </row>
    <row r="59" spans="1:26" x14ac:dyDescent="0.2">
      <c r="A59" s="38" t="s">
        <v>194</v>
      </c>
      <c r="B59" s="28" t="s">
        <v>174</v>
      </c>
      <c r="E59" s="14"/>
      <c r="G59" s="4">
        <f>SUM(G55:G58)</f>
        <v>0</v>
      </c>
      <c r="J59" s="4">
        <f>SUM(J55:J58)</f>
        <v>0</v>
      </c>
      <c r="M59" s="4">
        <f>SUM(M55:M58)</f>
        <v>0</v>
      </c>
      <c r="P59" s="4">
        <f>SUM(P55:P58)</f>
        <v>0</v>
      </c>
      <c r="S59" s="4">
        <f>SUM(S55:S58)</f>
        <v>0</v>
      </c>
      <c r="V59" s="4">
        <f>SUM(V55:V58)</f>
        <v>0</v>
      </c>
      <c r="Y59" s="4">
        <f>SUM(Y55:Y58)</f>
        <v>0</v>
      </c>
      <c r="Z59" s="38"/>
    </row>
    <row r="60" spans="1:26" x14ac:dyDescent="0.2">
      <c r="E60" s="14"/>
    </row>
    <row r="61" spans="1:26" ht="17" x14ac:dyDescent="0.2">
      <c r="A61" s="48" t="s">
        <v>178</v>
      </c>
      <c r="B61" s="47" t="s">
        <v>174</v>
      </c>
      <c r="E61" s="14" t="s">
        <v>90</v>
      </c>
      <c r="G61" s="4">
        <f>AD6</f>
        <v>0</v>
      </c>
      <c r="J61" s="4">
        <f>AD7</f>
        <v>0.01</v>
      </c>
      <c r="M61" s="4">
        <f>AD8</f>
        <v>0.05</v>
      </c>
      <c r="P61" s="4">
        <f>AD9</f>
        <v>0.12</v>
      </c>
      <c r="S61" s="4">
        <f>AD11</f>
        <v>0.2</v>
      </c>
      <c r="V61" s="4">
        <f>AD12</f>
        <v>0.36</v>
      </c>
      <c r="Y61" s="4">
        <f>AD14</f>
        <v>0.6</v>
      </c>
      <c r="Z61" s="38"/>
    </row>
    <row r="62" spans="1:26" ht="17" x14ac:dyDescent="0.2">
      <c r="A62" s="48"/>
      <c r="B62" s="47"/>
      <c r="E62" s="14" t="s">
        <v>91</v>
      </c>
      <c r="G62" s="4">
        <v>0</v>
      </c>
      <c r="J62" s="4">
        <v>0</v>
      </c>
      <c r="M62" s="4">
        <f>AD7</f>
        <v>0.01</v>
      </c>
      <c r="P62" s="4">
        <f>AD8</f>
        <v>0.05</v>
      </c>
      <c r="S62" s="4">
        <f>AD9</f>
        <v>0.12</v>
      </c>
      <c r="V62" s="4">
        <f>AD11</f>
        <v>0.2</v>
      </c>
      <c r="Y62" s="4">
        <f>AD12</f>
        <v>0.36</v>
      </c>
      <c r="Z62" s="38"/>
    </row>
    <row r="63" spans="1:26" ht="17" x14ac:dyDescent="0.2">
      <c r="A63" s="48"/>
      <c r="B63" s="47"/>
      <c r="E63" s="14" t="s">
        <v>92</v>
      </c>
      <c r="G63" s="4">
        <v>0</v>
      </c>
      <c r="J63" s="4">
        <v>0</v>
      </c>
      <c r="M63" s="4">
        <v>0</v>
      </c>
      <c r="P63" s="4">
        <f>AD7</f>
        <v>0.01</v>
      </c>
      <c r="S63" s="4">
        <f>AD8</f>
        <v>0.05</v>
      </c>
      <c r="V63" s="4">
        <f>AD9</f>
        <v>0.12</v>
      </c>
      <c r="Y63" s="4">
        <f>AD11</f>
        <v>0.2</v>
      </c>
      <c r="Z63" s="38"/>
    </row>
    <row r="64" spans="1:26" ht="17" x14ac:dyDescent="0.2">
      <c r="A64" s="48"/>
      <c r="B64" s="47"/>
      <c r="E64" s="14" t="s">
        <v>93</v>
      </c>
      <c r="G64" s="4">
        <v>0</v>
      </c>
      <c r="J64" s="4">
        <v>0</v>
      </c>
      <c r="M64" s="4">
        <v>0</v>
      </c>
      <c r="P64" s="4">
        <v>0</v>
      </c>
      <c r="S64" s="4">
        <f>AD7</f>
        <v>0.01</v>
      </c>
      <c r="V64" s="4">
        <f>AD8</f>
        <v>0.05</v>
      </c>
      <c r="Y64" s="4">
        <f>AD9</f>
        <v>0.12</v>
      </c>
      <c r="Z64" s="38"/>
    </row>
    <row r="65" spans="1:31" ht="17" x14ac:dyDescent="0.2">
      <c r="E65" s="14" t="s">
        <v>49</v>
      </c>
    </row>
    <row r="66" spans="1:31" x14ac:dyDescent="0.2">
      <c r="E66" s="14"/>
    </row>
    <row r="67" spans="1:31" ht="17" x14ac:dyDescent="0.2">
      <c r="A67" s="48" t="s">
        <v>238</v>
      </c>
      <c r="B67" s="47" t="s">
        <v>174</v>
      </c>
      <c r="E67" s="14" t="s">
        <v>109</v>
      </c>
      <c r="G67" s="4">
        <f>G37*G61</f>
        <v>0</v>
      </c>
      <c r="J67" s="4">
        <f>J37*J61</f>
        <v>0.85</v>
      </c>
      <c r="M67" s="4">
        <f>J67*(1- $F$29)+M37*M61</f>
        <v>5.0983000000000001</v>
      </c>
      <c r="P67" s="4">
        <f>M67*(1- $F$29)+P37*P61</f>
        <v>15.288103399999999</v>
      </c>
      <c r="S67" s="4">
        <f>P67*(1- $F$29)+S37*S61</f>
        <v>32.257527193199998</v>
      </c>
      <c r="V67" s="4">
        <f>S67*(1- $F$29)+V37*V61</f>
        <v>62.793012138813594</v>
      </c>
      <c r="Y67" s="4">
        <f>V67*(1- $F$29)+Y37*Y61</f>
        <v>113.66742611453597</v>
      </c>
      <c r="Z67" s="38"/>
    </row>
    <row r="68" spans="1:31" ht="17" x14ac:dyDescent="0.2">
      <c r="A68" s="48"/>
      <c r="B68" s="47"/>
      <c r="E68" s="14" t="s">
        <v>110</v>
      </c>
      <c r="J68" s="4">
        <f>J38*J62</f>
        <v>0</v>
      </c>
      <c r="M68" s="4">
        <f>J68*(1- $F$29)+M38*M62</f>
        <v>0.8</v>
      </c>
      <c r="P68" s="4">
        <f>M68*(1- $F$29)+P38*P62</f>
        <v>4.7984</v>
      </c>
      <c r="S68" s="4">
        <f>P68*(1- $F$29)+S38*S62</f>
        <v>14.3888032</v>
      </c>
      <c r="V68" s="4">
        <f>S68*(1- $F$29)+V38*V62</f>
        <v>30.3600255936</v>
      </c>
      <c r="Y68" s="4">
        <f>V68*(1- $F$29)+Y38*Y62</f>
        <v>59.099305542412793</v>
      </c>
      <c r="Z68" s="38"/>
    </row>
    <row r="69" spans="1:31" ht="17" x14ac:dyDescent="0.2">
      <c r="A69" s="48"/>
      <c r="B69" s="47"/>
      <c r="D69" s="49"/>
      <c r="E69" s="14" t="s">
        <v>111</v>
      </c>
      <c r="M69" s="4">
        <f>J69*(1- $F$29)+M39*M63</f>
        <v>0</v>
      </c>
      <c r="P69" s="4">
        <f>M69*(1- $F$29)+P39*P63</f>
        <v>0.92</v>
      </c>
      <c r="S69" s="4">
        <f>P69*(1- $F$29)+S39*S63</f>
        <v>5.5181600000000008</v>
      </c>
      <c r="V69" s="4">
        <f>S69*(1- $F$29)+V39*V63</f>
        <v>16.547123679999999</v>
      </c>
      <c r="Y69" s="4">
        <f>V69*(1- $F$29)+Y39*Y63</f>
        <v>34.91402943264</v>
      </c>
      <c r="Z69" s="38"/>
    </row>
    <row r="70" spans="1:31" ht="17" x14ac:dyDescent="0.2">
      <c r="A70" s="48"/>
      <c r="B70" s="47"/>
      <c r="D70" s="49"/>
      <c r="E70" s="14" t="s">
        <v>112</v>
      </c>
      <c r="M70" s="4">
        <f>J70*(1- $F$29)+M40*M64</f>
        <v>0</v>
      </c>
      <c r="P70" s="4">
        <f>M70*(1- $F$29)+P40*P64</f>
        <v>0</v>
      </c>
      <c r="S70" s="4">
        <f>P70*(1- $F$29)+S40*S64</f>
        <v>0.43</v>
      </c>
      <c r="V70" s="4">
        <f>S70*(1- $F$29)+V40*V64</f>
        <v>2.5791399999999998</v>
      </c>
      <c r="Y70" s="4">
        <f>V70*(1- $F$29)+Y40*Y64</f>
        <v>7.7339817200000001</v>
      </c>
      <c r="Z70" s="38"/>
    </row>
    <row r="71" spans="1:31" x14ac:dyDescent="0.2">
      <c r="D71" s="49"/>
      <c r="E71" s="14"/>
    </row>
    <row r="72" spans="1:31" ht="17" x14ac:dyDescent="0.2">
      <c r="A72" s="48" t="s">
        <v>235</v>
      </c>
      <c r="B72" s="47" t="s">
        <v>174</v>
      </c>
      <c r="E72" s="14" t="s">
        <v>127</v>
      </c>
      <c r="G72" s="4">
        <v>0</v>
      </c>
      <c r="J72" s="4">
        <f>INT(I$4-$AF$6 &gt; $D80)*MAX(G95-$G$21*G37-J42,0)</f>
        <v>0</v>
      </c>
      <c r="M72" s="4">
        <f>INT(L$4-$AF$6 &gt; $D80)*MAX(J95-$G$21*J37-M42,0)</f>
        <v>0</v>
      </c>
      <c r="P72" s="4">
        <f>INT(O$4-$AF$6 &gt; $D80)*MAX(M95-$G$21*M37-P42,0)</f>
        <v>0</v>
      </c>
      <c r="S72" s="4">
        <f>INT(R$4-$AF$6 &gt; $D80)*MAX(P95-$G$21*P37-S42,0)</f>
        <v>6.7881033999999989</v>
      </c>
      <c r="V72" s="4">
        <f>INT(U$4-$AF$6 &gt; $D80)*MAX(S95-$G$21*S37-V42,0)</f>
        <v>23.757527193199998</v>
      </c>
      <c r="Y72" s="4">
        <f>INT(X$4-$AF$6 &gt; $D80)*MAX(V95-$G$21*V37-Y42,0)</f>
        <v>30.582999999999998</v>
      </c>
      <c r="Z72" s="38"/>
    </row>
    <row r="73" spans="1:31" ht="17" x14ac:dyDescent="0.2">
      <c r="A73" s="48"/>
      <c r="B73" s="47"/>
      <c r="E73" s="14" t="s">
        <v>128</v>
      </c>
      <c r="G73" s="4">
        <v>0</v>
      </c>
      <c r="J73" s="4">
        <f>INT(I$4-$AF$6 &gt; $D81)*MAX(G96-$G$21*G38-J43,0)</f>
        <v>0</v>
      </c>
      <c r="M73" s="4">
        <f>INT(L$4-$AF$6 &gt; $D81)*MAX(J96-$G$21*J38-M43,0)</f>
        <v>0</v>
      </c>
      <c r="P73" s="4">
        <f>INT(O$4-$AF$6 &gt; $D81)*MAX(M96-$G$21*M38-P43,0)</f>
        <v>0</v>
      </c>
      <c r="S73" s="4">
        <f>INT(R$4-$AF$6 &gt; $D81)*MAX(P96-$G$21*P38-S43,0)</f>
        <v>0</v>
      </c>
      <c r="V73" s="4">
        <f>INT(U$4-$AF$6 &gt; $D81)*MAX(S96-$G$21*S38-V43,0)</f>
        <v>6.3888031999999999</v>
      </c>
      <c r="Y73" s="4">
        <f>INT(X$4-$AF$6 &gt; $D81)*MAX(V96-$G$21*V38-Y43,0)</f>
        <v>15.984000000000002</v>
      </c>
      <c r="Z73" s="38"/>
    </row>
    <row r="74" spans="1:31" ht="17" x14ac:dyDescent="0.2">
      <c r="A74" s="48"/>
      <c r="B74" s="47"/>
      <c r="D74" s="49" t="s">
        <v>152</v>
      </c>
      <c r="E74" s="14" t="s">
        <v>129</v>
      </c>
      <c r="G74" s="4">
        <v>0</v>
      </c>
      <c r="J74" s="4">
        <f>INT(I$4-$AF$6 &gt; $D82)*MAX(G97-$G$21*G39-J44,0)</f>
        <v>0</v>
      </c>
      <c r="M74" s="4">
        <f>INT(L$4-$AF$6 &gt; $D82)*MAX(J97-$G$21*J39-M44,0)</f>
        <v>0</v>
      </c>
      <c r="P74" s="4">
        <f>INT(O$4-$AF$6 &gt; $D82)*MAX(M97-$G$21*M39-P44,0)</f>
        <v>0</v>
      </c>
      <c r="S74" s="4">
        <f>INT(R$4-$AF$6 &gt; $D82)*MAX(P97-$G$21*P39-S44,0)</f>
        <v>0</v>
      </c>
      <c r="V74" s="4">
        <f>INT(U$4-$AF$6 &gt; $D82)*MAX(S97-$G$21*S39-V44,0)</f>
        <v>0</v>
      </c>
      <c r="Y74" s="4">
        <f>INT(X$4-$AF$6 &gt; $D82)*MAX(V97-$G$21*V39-Y44,0)</f>
        <v>7.3471236799999975</v>
      </c>
      <c r="Z74" s="38"/>
    </row>
    <row r="75" spans="1:31" ht="17" x14ac:dyDescent="0.2">
      <c r="A75" s="48"/>
      <c r="B75" s="47"/>
      <c r="D75" s="49"/>
      <c r="E75" s="14" t="s">
        <v>130</v>
      </c>
      <c r="G75" s="4">
        <v>0</v>
      </c>
      <c r="J75" s="4">
        <f>INT(I$4-$AF$6 &gt; $D83)*MAX(G98-$G$21*G40-J45,0)</f>
        <v>0</v>
      </c>
      <c r="M75" s="4">
        <f>INT(L$4-$AF$6 &gt; $D83)*MAX(J98-$G$21*J40-M45,0)</f>
        <v>0</v>
      </c>
      <c r="P75" s="4">
        <f>INT(O$4-$AF$6 &gt; $D83)*MAX(M98-$G$21*M40-P45,0)</f>
        <v>0</v>
      </c>
      <c r="S75" s="4">
        <f>INT(R$4-$AF$6 &gt; $D83)*MAX(P98-$G$21*P40-S45,0)</f>
        <v>0</v>
      </c>
      <c r="V75" s="4">
        <f>INT(U$4-$AF$6 &gt; $D83)*MAX(S98-$G$21*S40-V45,0)</f>
        <v>0</v>
      </c>
      <c r="Y75" s="4">
        <f>INT(X$4-$AF$6 &gt; $D83)*MAX(V98-$G$21*V40-Y45,0)</f>
        <v>0</v>
      </c>
      <c r="Z75" s="38"/>
    </row>
    <row r="76" spans="1:31" ht="17" x14ac:dyDescent="0.2">
      <c r="A76" s="38" t="s">
        <v>236</v>
      </c>
      <c r="B76" s="28" t="s">
        <v>174</v>
      </c>
      <c r="D76" s="49"/>
      <c r="E76" s="14" t="s">
        <v>147</v>
      </c>
      <c r="G76" s="4">
        <v>0</v>
      </c>
      <c r="J76" s="4">
        <f>SUM(J72:J75)</f>
        <v>0</v>
      </c>
      <c r="M76" s="4">
        <f>SUM(M72:M75)</f>
        <v>0</v>
      </c>
      <c r="P76" s="4">
        <f>SUM(P72:P75)</f>
        <v>0</v>
      </c>
      <c r="S76" s="4">
        <f>SUM(S72:S75)</f>
        <v>6.7881033999999989</v>
      </c>
      <c r="V76" s="4">
        <f>SUM(V72:V75)</f>
        <v>30.146330393199996</v>
      </c>
      <c r="Y76" s="4">
        <f>SUM(Y72:Y75)</f>
        <v>53.914123679999996</v>
      </c>
      <c r="Z76" s="38"/>
      <c r="AE76" t="s">
        <v>106</v>
      </c>
    </row>
    <row r="77" spans="1:31" x14ac:dyDescent="0.2">
      <c r="D77" s="49"/>
      <c r="E77" s="14"/>
      <c r="AC77" t="s">
        <v>85</v>
      </c>
      <c r="AE77" t="s">
        <v>107</v>
      </c>
    </row>
    <row r="78" spans="1:31" ht="17" customHeight="1" x14ac:dyDescent="0.2">
      <c r="A78" s="50" t="s">
        <v>237</v>
      </c>
      <c r="B78" s="47" t="s">
        <v>174</v>
      </c>
      <c r="E78" s="14" t="s">
        <v>88</v>
      </c>
      <c r="F78" s="4">
        <v>0</v>
      </c>
      <c r="I78" s="4">
        <v>0</v>
      </c>
      <c r="L78" s="4">
        <v>0</v>
      </c>
      <c r="O78" s="4">
        <v>0</v>
      </c>
      <c r="R78" s="4">
        <v>0</v>
      </c>
      <c r="U78" s="4">
        <v>0</v>
      </c>
      <c r="X78" s="4">
        <v>0</v>
      </c>
      <c r="Z78" s="39"/>
      <c r="AC78" t="s">
        <v>86</v>
      </c>
    </row>
    <row r="79" spans="1:31" ht="17" x14ac:dyDescent="0.2">
      <c r="A79" s="50"/>
      <c r="B79" s="47"/>
      <c r="E79" s="14" t="s">
        <v>148</v>
      </c>
      <c r="F79" s="4">
        <f>SUM(G$72:G72)</f>
        <v>0</v>
      </c>
      <c r="G79" s="4">
        <f>IF(F79&gt;=F$131, IF(F78&lt;F$131, F$131-F78, 0),G72)</f>
        <v>0</v>
      </c>
      <c r="I79" s="4">
        <f>SUM(J$72:J72)</f>
        <v>0</v>
      </c>
      <c r="J79" s="4">
        <f>IF(I79&gt;=I$131, IF(I78&lt;I$131, I$131-I78, 0),J72)</f>
        <v>0</v>
      </c>
      <c r="L79" s="4">
        <f>SUM(M$72:M72)</f>
        <v>0</v>
      </c>
      <c r="M79" s="4">
        <f>IF(L79&gt;=L$131, IF(L78&lt;L$131, L$131-L78, 0),M72)</f>
        <v>0</v>
      </c>
      <c r="O79" s="4">
        <f>SUM(P$72:P72)</f>
        <v>0</v>
      </c>
      <c r="P79" s="4">
        <f>IF(O79&gt;=O$131, IF(O78&lt;O$131, O$131-O78, 0),P72)</f>
        <v>0</v>
      </c>
      <c r="R79" s="4">
        <f>SUM(S$72:S72)</f>
        <v>6.7881033999999989</v>
      </c>
      <c r="S79" s="4">
        <f>IF(R79&gt;=R$131, IF(R78&lt;R$131, R$131-R78, 0),S72)</f>
        <v>0</v>
      </c>
      <c r="U79" s="4">
        <f>SUM(V$72:V72)</f>
        <v>23.757527193199998</v>
      </c>
      <c r="V79" s="4">
        <f>IF(U79&gt;=U$131, IF(U78&lt;U$131, U$131-U78, 0),V72)</f>
        <v>23.757527193199998</v>
      </c>
      <c r="X79" s="4">
        <f>SUM(Y$72:Y72)</f>
        <v>30.582999999999998</v>
      </c>
      <c r="Y79" s="4">
        <f>IF(X79&gt;=X$131, IF(X78&lt;X$131, X$131-X78, 0),Y72)</f>
        <v>30.582999999999998</v>
      </c>
      <c r="Z79" s="39"/>
    </row>
    <row r="80" spans="1:31" ht="17" x14ac:dyDescent="0.2">
      <c r="A80" s="50"/>
      <c r="B80" s="47"/>
      <c r="D80" s="22">
        <v>0</v>
      </c>
      <c r="E80" s="14" t="s">
        <v>149</v>
      </c>
      <c r="F80" s="4">
        <f>SUM(G$72:G73)</f>
        <v>0</v>
      </c>
      <c r="G80" s="4">
        <f>IF(F80&gt;=F$131, IF(F79&lt;F$131, F$131-F79, 0),G73)</f>
        <v>0</v>
      </c>
      <c r="I80" s="4">
        <f>SUM(J$72:J73)</f>
        <v>0</v>
      </c>
      <c r="J80" s="4">
        <f>IF(I80&gt;=I$131, IF(I79&lt;I$131, I$131-I79, 0),J73)</f>
        <v>0</v>
      </c>
      <c r="L80" s="4">
        <f>SUM(M$72:M73)</f>
        <v>0</v>
      </c>
      <c r="M80" s="4">
        <f>IF(L80&gt;=L$131, IF(L79&lt;L$131, L$131-L79, 0),M73)</f>
        <v>0</v>
      </c>
      <c r="O80" s="4">
        <f>SUM(P$72:P73)</f>
        <v>0</v>
      </c>
      <c r="P80" s="4">
        <f>IF(O80&gt;=O$131, IF(O79&lt;O$131, O$131-O79, 0),P73)</f>
        <v>0</v>
      </c>
      <c r="R80" s="4">
        <f>SUM(S$72:S73)</f>
        <v>6.7881033999999989</v>
      </c>
      <c r="S80" s="4">
        <f>IF(R80&gt;=R$131, IF(R79&lt;R$131, R$131-R79, 0),S73)</f>
        <v>0</v>
      </c>
      <c r="U80" s="4">
        <f>SUM(V$72:V73)</f>
        <v>30.146330393199996</v>
      </c>
      <c r="V80" s="4">
        <f>IF(U80&gt;=U$131, IF(U79&lt;U$131, U$131-U79, 0),V73)</f>
        <v>6.3888031999999981</v>
      </c>
      <c r="X80" s="4">
        <f>SUM(Y$72:Y73)</f>
        <v>46.567</v>
      </c>
      <c r="Y80" s="4">
        <f>IF(X80&gt;=X$131, IF(X79&lt;X$131, X$131-X79, 0),Y73)</f>
        <v>15.984000000000002</v>
      </c>
      <c r="Z80" s="39"/>
    </row>
    <row r="81" spans="1:26" ht="17" x14ac:dyDescent="0.2">
      <c r="A81" s="50"/>
      <c r="B81" s="47"/>
      <c r="D81" s="22">
        <v>1</v>
      </c>
      <c r="E81" s="14" t="s">
        <v>150</v>
      </c>
      <c r="F81" s="4">
        <f>SUM(G$72:G74)</f>
        <v>0</v>
      </c>
      <c r="G81" s="4">
        <f>IF(F81&gt;=F$131, IF(F80&lt;F$131, F$131-F80, 0),G74)</f>
        <v>0</v>
      </c>
      <c r="I81" s="4">
        <f>SUM(J$72:J74)</f>
        <v>0</v>
      </c>
      <c r="J81" s="4">
        <f>IF(I81&gt;=I$131, IF(I80&lt;I$131, I$131-I80, 0),J74)</f>
        <v>0</v>
      </c>
      <c r="L81" s="4">
        <f>SUM(M$72:M74)</f>
        <v>0</v>
      </c>
      <c r="M81" s="4">
        <f>IF(L81&gt;=L$131, IF(L80&lt;L$131, L$131-L80, 0),M74)</f>
        <v>0</v>
      </c>
      <c r="O81" s="4">
        <f>SUM(P$72:P74)</f>
        <v>0</v>
      </c>
      <c r="P81" s="4">
        <f>IF(O81&gt;=O$131, IF(O80&lt;O$131, O$131-O80, 0),P74)</f>
        <v>0</v>
      </c>
      <c r="R81" s="4">
        <f>SUM(S$72:S74)</f>
        <v>6.7881033999999989</v>
      </c>
      <c r="S81" s="4">
        <f>IF(R81&gt;=R$131, IF(R80&lt;R$131, R$131-R80, 0),S74)</f>
        <v>0</v>
      </c>
      <c r="U81" s="4">
        <f>SUM(V$72:V74)</f>
        <v>30.146330393199996</v>
      </c>
      <c r="V81" s="4">
        <f>IF(U81&gt;=U$131, IF(U80&lt;U$131, U$131-U80, 0),V74)</f>
        <v>0</v>
      </c>
      <c r="X81" s="4">
        <f>SUM(Y$72:Y74)</f>
        <v>53.914123679999996</v>
      </c>
      <c r="Y81" s="4">
        <f>IF(X81&gt;=X$131, IF(X80&lt;X$131, X$131-X80, 0),Y74)</f>
        <v>7.3471236799999957</v>
      </c>
      <c r="Z81" s="39"/>
    </row>
    <row r="82" spans="1:26" ht="17" x14ac:dyDescent="0.2">
      <c r="A82" s="50"/>
      <c r="B82" s="47"/>
      <c r="D82" s="22">
        <v>2</v>
      </c>
      <c r="E82" s="14" t="s">
        <v>151</v>
      </c>
      <c r="F82" s="4">
        <f>SUM(G$72:G75)</f>
        <v>0</v>
      </c>
      <c r="G82" s="4">
        <f>IF(F82&gt;=F$131, IF(F81&lt;F$131, F$131-F81, 0),G75)</f>
        <v>0</v>
      </c>
      <c r="I82" s="4">
        <f>SUM(J$72:J75)</f>
        <v>0</v>
      </c>
      <c r="J82" s="4">
        <f>IF(I82&gt;=I$131, IF(I81&lt;I$131, I$131-I81, 0),J75)</f>
        <v>0</v>
      </c>
      <c r="L82" s="4">
        <f>SUM(M$72:M75)</f>
        <v>0</v>
      </c>
      <c r="M82" s="4">
        <f>IF(L82&gt;=L$131, IF(L81&lt;L$131, L$131-L81, 0),M75)</f>
        <v>0</v>
      </c>
      <c r="O82" s="4">
        <f>SUM(P$72:P75)</f>
        <v>0</v>
      </c>
      <c r="P82" s="4">
        <f>IF(O82&gt;=O$131, IF(O81&lt;O$131, O$131-O81, 0),P75)</f>
        <v>0</v>
      </c>
      <c r="R82" s="4">
        <f>SUM(S$72:S75)</f>
        <v>6.7881033999999989</v>
      </c>
      <c r="S82" s="4">
        <f>IF(R82&gt;=R$131, IF(R81&lt;R$131, R$131-R81, 0),S75)</f>
        <v>0</v>
      </c>
      <c r="U82" s="4">
        <f>SUM(V$72:V75)</f>
        <v>30.146330393199996</v>
      </c>
      <c r="V82" s="4">
        <f>IF(U82&gt;=U$131, IF(U81&lt;U$131, U$131-U81, 0),V75)</f>
        <v>0</v>
      </c>
      <c r="X82" s="4">
        <f>SUM(Y$72:Y75)</f>
        <v>53.914123679999996</v>
      </c>
      <c r="Y82" s="4">
        <f>IF(X82&gt;=X$131, IF(X81&lt;X$131, X$131-X81, 0),Y75)</f>
        <v>0</v>
      </c>
      <c r="Z82" s="39"/>
    </row>
    <row r="83" spans="1:26" x14ac:dyDescent="0.2">
      <c r="D83" s="22">
        <v>3</v>
      </c>
      <c r="E83" s="14"/>
    </row>
    <row r="84" spans="1:26" x14ac:dyDescent="0.2">
      <c r="E84" s="14"/>
      <c r="I84" s="4" t="s">
        <v>136</v>
      </c>
      <c r="L84" s="4" t="s">
        <v>136</v>
      </c>
      <c r="O84" s="4" t="s">
        <v>136</v>
      </c>
      <c r="R84" s="4" t="s">
        <v>136</v>
      </c>
      <c r="U84" s="4" t="s">
        <v>136</v>
      </c>
      <c r="X84" s="4" t="s">
        <v>136</v>
      </c>
    </row>
    <row r="85" spans="1:26" ht="17" x14ac:dyDescent="0.2">
      <c r="A85" s="46" t="s">
        <v>181</v>
      </c>
      <c r="B85" s="47" t="s">
        <v>174</v>
      </c>
      <c r="E85" s="14" t="s">
        <v>131</v>
      </c>
      <c r="G85" s="4">
        <f>G61</f>
        <v>0</v>
      </c>
      <c r="I85" s="4">
        <f>IF(G95=0,1,MIN(MAX((G95/G67-$F$16)/($F$18-$F$16), 0), 1))</f>
        <v>1</v>
      </c>
      <c r="J85" s="4">
        <f>J61*I85</f>
        <v>0.01</v>
      </c>
      <c r="L85" s="4">
        <f>IF(J95=0,1,MIN(MAX((J95/J67-$F$16)/($F$18-$F$16), 0), 1))</f>
        <v>1</v>
      </c>
      <c r="M85" s="4">
        <f>M61*L85</f>
        <v>0.05</v>
      </c>
      <c r="O85" s="4">
        <f>IF(M95=0,1,MIN(MAX((M95/M67-$F$16)/($F$18-$F$16), 0), 1))</f>
        <v>1</v>
      </c>
      <c r="P85" s="4">
        <f>P61*O85</f>
        <v>0.12</v>
      </c>
      <c r="R85" s="4">
        <f>IF(P95=0,1,MIN(MAX((P95/P67-$F$16)/($F$18-$F$16), 0), 1))</f>
        <v>1</v>
      </c>
      <c r="S85" s="4">
        <f>S61*R85</f>
        <v>0.2</v>
      </c>
      <c r="U85" s="4">
        <f>IF(S95=0,1,MIN(MAX((S95/S67-$F$16)/($F$18-$F$16), 0), 1))</f>
        <v>1</v>
      </c>
      <c r="V85" s="4">
        <f>V61*U85</f>
        <v>0.36</v>
      </c>
      <c r="X85" s="4">
        <f>IF(V95=0,1,MIN(MAX((V95/V67-$F$16)/($F$18-$F$16), 0), 1))</f>
        <v>0.92886400737928387</v>
      </c>
      <c r="Y85" s="4">
        <f>Y61*X85</f>
        <v>0.5573184044275703</v>
      </c>
      <c r="Z85" s="37"/>
    </row>
    <row r="86" spans="1:26" ht="17" x14ac:dyDescent="0.2">
      <c r="A86" s="46"/>
      <c r="B86" s="47"/>
      <c r="E86" s="14" t="s">
        <v>132</v>
      </c>
      <c r="G86" s="4">
        <f>G62</f>
        <v>0</v>
      </c>
      <c r="I86" s="4">
        <f>IF(G96=0,1,MIN(MAX((G96/G68-$F$16)/($F$18-$F$16), 0), 1))</f>
        <v>1</v>
      </c>
      <c r="J86" s="4">
        <f>J62</f>
        <v>0</v>
      </c>
      <c r="L86" s="4">
        <f>IF(J96=0,1,MIN(MAX((J96/J68-$F$16)/($F$18-$F$16), 0), 1))</f>
        <v>1</v>
      </c>
      <c r="M86" s="4">
        <f>M62</f>
        <v>0.01</v>
      </c>
      <c r="O86" s="4">
        <f>IF(M96=0,1,MIN(MAX((M96/M68-$F$16)/($F$18-$F$16), 0), 1))</f>
        <v>1</v>
      </c>
      <c r="P86" s="4">
        <f>P62</f>
        <v>0.05</v>
      </c>
      <c r="R86" s="4">
        <f>IF(P96=0,1,MIN(MAX((P96/P68-$F$16)/($F$18-$F$16), 0), 1))</f>
        <v>1</v>
      </c>
      <c r="S86" s="4">
        <f>S62</f>
        <v>0.12</v>
      </c>
      <c r="U86" s="4">
        <f>IF(S96=0,1,MIN(MAX((S96/S68-$F$16)/($F$18-$F$16), 0), 1))</f>
        <v>1</v>
      </c>
      <c r="V86" s="4">
        <f>V62</f>
        <v>0.2</v>
      </c>
      <c r="X86" s="4">
        <f>IF(V96=0,1,MIN(MAX((V96/V68-$F$16)/($F$18-$F$16), 0), 1))</f>
        <v>1</v>
      </c>
      <c r="Y86" s="4">
        <f>Y62</f>
        <v>0.36</v>
      </c>
      <c r="Z86" s="37"/>
    </row>
    <row r="87" spans="1:26" ht="17" x14ac:dyDescent="0.2">
      <c r="A87" s="46"/>
      <c r="B87" s="47"/>
      <c r="E87" s="14" t="s">
        <v>133</v>
      </c>
      <c r="G87" s="4">
        <f>G63</f>
        <v>0</v>
      </c>
      <c r="I87" s="4">
        <f>IF(G97=0,1,MIN(MAX((G97/G69-$F$16)/($F$18-$F$16), 0), 1))</f>
        <v>1</v>
      </c>
      <c r="J87" s="4">
        <f>J63</f>
        <v>0</v>
      </c>
      <c r="L87" s="4">
        <f>IF(J97=0,1,MIN(MAX((J97/J69-$F$16)/($F$18-$F$16), 0), 1))</f>
        <v>1</v>
      </c>
      <c r="M87" s="4">
        <f>M63</f>
        <v>0</v>
      </c>
      <c r="O87" s="4">
        <f>IF(M97=0,1,MIN(MAX((M97/M69-$F$16)/($F$18-$F$16), 0), 1))</f>
        <v>1</v>
      </c>
      <c r="P87" s="4">
        <f>P63</f>
        <v>0.01</v>
      </c>
      <c r="R87" s="4">
        <f>IF(P97=0,1,MIN(MAX((P97/P69-$F$16)/($F$18-$F$16), 0), 1))</f>
        <v>1</v>
      </c>
      <c r="S87" s="4">
        <f>S63</f>
        <v>0.05</v>
      </c>
      <c r="U87" s="4">
        <f>IF(S97=0,1,MIN(MAX((S97/S69-$F$16)/($F$18-$F$16), 0), 1))</f>
        <v>1</v>
      </c>
      <c r="V87" s="4">
        <f>V63</f>
        <v>0.12</v>
      </c>
      <c r="X87" s="4">
        <f>IF(V97=0,1,MIN(MAX((V97/V69-$F$16)/($F$18-$F$16), 0), 1))</f>
        <v>1</v>
      </c>
      <c r="Y87" s="4">
        <f>Y63</f>
        <v>0.2</v>
      </c>
      <c r="Z87" s="37"/>
    </row>
    <row r="88" spans="1:26" ht="17" x14ac:dyDescent="0.2">
      <c r="A88" s="46"/>
      <c r="B88" s="47"/>
      <c r="E88" s="14" t="s">
        <v>134</v>
      </c>
      <c r="G88" s="4">
        <f>G64</f>
        <v>0</v>
      </c>
      <c r="I88" s="4">
        <f>IF(G98=0,1,MIN(MAX((G98/G70-$F$16)/($F$18-$F$16), 0), 1))</f>
        <v>1</v>
      </c>
      <c r="J88" s="4">
        <f>J64</f>
        <v>0</v>
      </c>
      <c r="L88" s="4">
        <f>IF(J98=0,1,MIN(MAX((J98/J70-$F$16)/($F$18-$F$16), 0), 1))</f>
        <v>1</v>
      </c>
      <c r="M88" s="4">
        <f>M64</f>
        <v>0</v>
      </c>
      <c r="O88" s="4">
        <f>IF(M98=0,1,MIN(MAX((M98/M70-$F$16)/($F$18-$F$16), 0), 1))</f>
        <v>1</v>
      </c>
      <c r="P88" s="4">
        <f>P64</f>
        <v>0</v>
      </c>
      <c r="R88" s="4">
        <f>IF(P98=0,1,MIN(MAX((P98/P70-$F$16)/($F$18-$F$16), 0), 1))</f>
        <v>1</v>
      </c>
      <c r="S88" s="4">
        <f>S64</f>
        <v>0.01</v>
      </c>
      <c r="U88" s="4">
        <f>IF(S98=0,1,MIN(MAX((S98/S70-$F$16)/($F$18-$F$16), 0), 1))</f>
        <v>1</v>
      </c>
      <c r="V88" s="4">
        <f>V64</f>
        <v>0.05</v>
      </c>
      <c r="X88" s="4">
        <f>IF(V98=0,1,MIN(MAX((V98/V70-$F$16)/($F$18-$F$16), 0), 1))</f>
        <v>1</v>
      </c>
      <c r="Y88" s="4">
        <f>Y64</f>
        <v>0.12</v>
      </c>
      <c r="Z88" s="37"/>
    </row>
    <row r="89" spans="1:26" x14ac:dyDescent="0.2">
      <c r="E89" s="14"/>
    </row>
    <row r="90" spans="1:26" ht="17" x14ac:dyDescent="0.2">
      <c r="A90" s="46" t="s">
        <v>204</v>
      </c>
      <c r="B90" s="47" t="s">
        <v>174</v>
      </c>
      <c r="E90" s="14" t="s">
        <v>205</v>
      </c>
      <c r="G90" s="4">
        <f>G56*G32</f>
        <v>0</v>
      </c>
      <c r="J90" s="4">
        <f>(G95-J79-J42)*$F$29</f>
        <v>0</v>
      </c>
      <c r="M90" s="4">
        <f>(J95-M79-M42)*$F$29</f>
        <v>1.6999999999999999E-3</v>
      </c>
      <c r="P90" s="4">
        <f>(M95-P79-P42)*$F$29</f>
        <v>1.01966E-2</v>
      </c>
      <c r="S90" s="4">
        <f>(P95-S79-S42)*$F$29</f>
        <v>3.0576206799999998E-2</v>
      </c>
      <c r="V90" s="4">
        <f>(S95-V79-V42)*$F$29</f>
        <v>1.7000000000000001E-2</v>
      </c>
      <c r="Y90" s="4">
        <f>(V95-Y79-Y42)*$F$29</f>
        <v>1.7000000000000001E-2</v>
      </c>
      <c r="Z90" s="37"/>
    </row>
    <row r="91" spans="1:26" ht="17" x14ac:dyDescent="0.2">
      <c r="A91" s="46"/>
      <c r="B91" s="47"/>
      <c r="E91" s="14" t="s">
        <v>206</v>
      </c>
      <c r="G91" s="4">
        <f>G57*G33</f>
        <v>0</v>
      </c>
      <c r="J91" s="4">
        <f>(G96-J80-J43)*$F$29</f>
        <v>0</v>
      </c>
      <c r="M91" s="4">
        <f>(J96-M80-M43)*$F$29</f>
        <v>0</v>
      </c>
      <c r="P91" s="4">
        <f>(M96-P80-P43)*$F$29</f>
        <v>1.6000000000000001E-3</v>
      </c>
      <c r="S91" s="4">
        <f>(P96-S80-S43)*$F$29</f>
        <v>9.5968000000000008E-3</v>
      </c>
      <c r="V91" s="4">
        <f>(S96-V80-V43)*$F$29</f>
        <v>1.6000000000000004E-2</v>
      </c>
      <c r="Y91" s="4">
        <f>(V96-Y80-Y43)*$F$29</f>
        <v>1.6E-2</v>
      </c>
      <c r="Z91" s="37"/>
    </row>
    <row r="92" spans="1:26" ht="17" x14ac:dyDescent="0.2">
      <c r="A92" s="46"/>
      <c r="B92" s="47"/>
      <c r="E92" s="14" t="s">
        <v>207</v>
      </c>
      <c r="G92" s="4">
        <f>G58*G34</f>
        <v>0</v>
      </c>
      <c r="J92" s="4">
        <f>(G97-J81-J44)*$F$29</f>
        <v>0</v>
      </c>
      <c r="M92" s="4">
        <f>(J97-M81-M44)*$F$29</f>
        <v>0</v>
      </c>
      <c r="P92" s="4">
        <f>(M97-P81-P44)*$F$29</f>
        <v>0</v>
      </c>
      <c r="S92" s="4">
        <f>(P97-S81-S44)*$F$29</f>
        <v>1.8400000000000001E-3</v>
      </c>
      <c r="V92" s="4">
        <f>(S97-V81-V44)*$F$29</f>
        <v>1.1036320000000002E-2</v>
      </c>
      <c r="Y92" s="4">
        <f>(V97-Y81-Y44)*$F$29</f>
        <v>1.8400000000000007E-2</v>
      </c>
      <c r="Z92" s="37"/>
    </row>
    <row r="93" spans="1:26" ht="17" x14ac:dyDescent="0.2">
      <c r="A93" s="46"/>
      <c r="B93" s="47"/>
      <c r="E93" s="14" t="s">
        <v>208</v>
      </c>
      <c r="G93" s="4">
        <f>G59*G35</f>
        <v>0</v>
      </c>
      <c r="J93" s="4">
        <f>(G98-J82-J45)*$F$29</f>
        <v>0</v>
      </c>
      <c r="M93" s="4">
        <f>(J98-M82-M45)*$F$29</f>
        <v>0</v>
      </c>
      <c r="P93" s="4">
        <f>(M98-P82-P45)*$F$29</f>
        <v>0</v>
      </c>
      <c r="S93" s="4">
        <f>(P98-S82-S45)*$F$29</f>
        <v>0</v>
      </c>
      <c r="V93" s="4">
        <f>(S98-V82-V45)*$F$29</f>
        <v>8.5999999999999998E-4</v>
      </c>
      <c r="Y93" s="4">
        <f>(V98-Y82-Y45)*$F$29</f>
        <v>5.1582799999999995E-3</v>
      </c>
      <c r="Z93" s="37"/>
    </row>
    <row r="94" spans="1:26" x14ac:dyDescent="0.2">
      <c r="E94" s="14"/>
    </row>
    <row r="95" spans="1:26" ht="17" x14ac:dyDescent="0.2">
      <c r="A95" s="46" t="s">
        <v>209</v>
      </c>
      <c r="B95" s="47" t="s">
        <v>174</v>
      </c>
      <c r="E95" s="14" t="s">
        <v>70</v>
      </c>
      <c r="G95" s="4">
        <f>G61*G37</f>
        <v>0</v>
      </c>
      <c r="J95" s="4">
        <f>G95 - J79 - J90 - J42 + J37*J85</f>
        <v>0.85</v>
      </c>
      <c r="M95" s="4">
        <f>J95 - M79 - M90 - M42 + M37*M85</f>
        <v>5.0983000000000001</v>
      </c>
      <c r="P95" s="4">
        <f>M95 - P79 - P90 - P42 + P37*P85</f>
        <v>15.288103399999999</v>
      </c>
      <c r="S95" s="4">
        <f>P95 - S79 - S90 - S42 + S37*S85</f>
        <v>32.257527193199998</v>
      </c>
      <c r="V95" s="4">
        <f>S95 - V79 - V90 - V42 + V37*V85</f>
        <v>39.082999999999998</v>
      </c>
      <c r="Y95" s="4">
        <f>V95 - Y79 - Y90 - Y42 + Y37*Y85</f>
        <v>55.855064376343478</v>
      </c>
      <c r="Z95" s="37"/>
    </row>
    <row r="96" spans="1:26" ht="17" x14ac:dyDescent="0.2">
      <c r="A96" s="46"/>
      <c r="B96" s="47"/>
      <c r="E96" s="14" t="s">
        <v>71</v>
      </c>
      <c r="G96" s="4">
        <f>G62*G38</f>
        <v>0</v>
      </c>
      <c r="J96" s="4">
        <f>G96 - J80 - J91 - J43 + J38*J86</f>
        <v>0</v>
      </c>
      <c r="M96" s="4">
        <f>J96 - M80 - M91 - M43 + M38*M86</f>
        <v>0.8</v>
      </c>
      <c r="P96" s="4">
        <f>M96 - P80 - P91 - P43 + P38*P86</f>
        <v>4.7984</v>
      </c>
      <c r="S96" s="4">
        <f>P96 - S80 - S91 - S43 + S38*S86</f>
        <v>14.3888032</v>
      </c>
      <c r="V96" s="4">
        <f>S96 - V80 - V91 - V43 + V38*V86</f>
        <v>23.984000000000002</v>
      </c>
      <c r="Y96" s="4">
        <f>V96 - Y80 - Y91 - Y43 + Y38*Y86</f>
        <v>36.783999999999999</v>
      </c>
      <c r="Z96" s="37"/>
    </row>
    <row r="97" spans="1:26" ht="17" x14ac:dyDescent="0.2">
      <c r="A97" s="46"/>
      <c r="B97" s="47"/>
      <c r="E97" s="14" t="s">
        <v>72</v>
      </c>
      <c r="G97" s="4">
        <f>G63*G39</f>
        <v>0</v>
      </c>
      <c r="J97" s="4">
        <f>G97 - J81 - J92 - J44 + J39*J87</f>
        <v>0</v>
      </c>
      <c r="M97" s="4">
        <f>J97 - M81 - M92 - M44 + M39*M87</f>
        <v>0</v>
      </c>
      <c r="P97" s="4">
        <f>M97 - P81 - P92 - P44 + P39*P87</f>
        <v>0.92</v>
      </c>
      <c r="S97" s="4">
        <f>P97 - S81 - S92 - S44 + S39*S87</f>
        <v>5.5181600000000008</v>
      </c>
      <c r="V97" s="4">
        <f>S97 - V81 - V92 - V44 + V39*V87</f>
        <v>16.547123679999999</v>
      </c>
      <c r="Y97" s="4">
        <f>V97 - Y81 - Y92 - Y44 + Y39*Y87</f>
        <v>27.581600000000005</v>
      </c>
      <c r="Z97" s="37"/>
    </row>
    <row r="98" spans="1:26" ht="17" customHeight="1" x14ac:dyDescent="0.2">
      <c r="A98" s="46"/>
      <c r="B98" s="47"/>
      <c r="E98" s="14" t="s">
        <v>81</v>
      </c>
      <c r="G98" s="4">
        <f>G64*G40</f>
        <v>0</v>
      </c>
      <c r="J98" s="4">
        <f>G98 - J82 - J93 - J45 + J40*J88</f>
        <v>0</v>
      </c>
      <c r="M98" s="4">
        <f>J98 - M82 - M93 - M45 + M40*M88</f>
        <v>0</v>
      </c>
      <c r="P98" s="4">
        <f>M98 - P82 - P93 - P45 + P40*P88</f>
        <v>0</v>
      </c>
      <c r="S98" s="4">
        <f>P98 - S82 - S93 - S45 + S40*S88</f>
        <v>0.43</v>
      </c>
      <c r="V98" s="4">
        <f>S98 - V82 - V93 - V45 + V40*V88</f>
        <v>2.5791399999999998</v>
      </c>
      <c r="Y98" s="4">
        <f>V98 - Y82 - Y93 - Y45 + Y40*Y88</f>
        <v>7.7339817200000001</v>
      </c>
      <c r="Z98" s="37"/>
    </row>
    <row r="99" spans="1:26" x14ac:dyDescent="0.2">
      <c r="D99" s="26"/>
      <c r="E99" s="14"/>
    </row>
    <row r="100" spans="1:26" ht="17" x14ac:dyDescent="0.2">
      <c r="A100" s="46" t="s">
        <v>210</v>
      </c>
      <c r="B100" s="47" t="s">
        <v>174</v>
      </c>
      <c r="D100" s="26"/>
      <c r="E100" s="14" t="s">
        <v>211</v>
      </c>
      <c r="G100" s="4">
        <f>G95*$G$20</f>
        <v>0</v>
      </c>
      <c r="J100" s="4">
        <f>J95*$G$20</f>
        <v>0.21249999999999999</v>
      </c>
      <c r="M100" s="4">
        <f>M95*$G$20</f>
        <v>1.274575</v>
      </c>
      <c r="P100" s="4">
        <f>P95*$G$20</f>
        <v>3.8220258499999997</v>
      </c>
      <c r="S100" s="4">
        <f>S95*$G$20</f>
        <v>8.0643817982999995</v>
      </c>
      <c r="V100" s="4">
        <f>V95*$G$20</f>
        <v>9.7707499999999996</v>
      </c>
      <c r="Y100" s="4">
        <f>Y95*$G$20</f>
        <v>13.963766094085869</v>
      </c>
      <c r="Z100" s="37"/>
    </row>
    <row r="101" spans="1:26" ht="17" x14ac:dyDescent="0.2">
      <c r="A101" s="46"/>
      <c r="B101" s="47"/>
      <c r="D101" s="26"/>
      <c r="E101" s="14" t="s">
        <v>212</v>
      </c>
      <c r="G101" s="4">
        <f t="shared" ref="G101:G103" si="9">G96*$G$20</f>
        <v>0</v>
      </c>
      <c r="J101" s="4">
        <f t="shared" ref="J101:J103" si="10">J96*$G$20</f>
        <v>0</v>
      </c>
      <c r="M101" s="4">
        <f t="shared" ref="M101:M103" si="11">M96*$G$20</f>
        <v>0.2</v>
      </c>
      <c r="P101" s="4">
        <f t="shared" ref="P101:P103" si="12">P96*$G$20</f>
        <v>1.1996</v>
      </c>
      <c r="S101" s="4">
        <f t="shared" ref="S101:S103" si="13">S96*$G$20</f>
        <v>3.5972008</v>
      </c>
      <c r="V101" s="4">
        <f t="shared" ref="V101:V103" si="14">V96*$G$20</f>
        <v>5.9960000000000004</v>
      </c>
      <c r="Y101" s="4">
        <f t="shared" ref="Y101:Y103" si="15">Y96*$G$20</f>
        <v>9.1959999999999997</v>
      </c>
      <c r="Z101" s="37"/>
    </row>
    <row r="102" spans="1:26" ht="17" x14ac:dyDescent="0.2">
      <c r="A102" s="46"/>
      <c r="B102" s="47"/>
      <c r="D102" s="26"/>
      <c r="E102" s="14" t="s">
        <v>213</v>
      </c>
      <c r="G102" s="4">
        <f>G97*$G$20</f>
        <v>0</v>
      </c>
      <c r="J102" s="4">
        <f>J97*$G$20</f>
        <v>0</v>
      </c>
      <c r="M102" s="4">
        <f>M97*$G$20</f>
        <v>0</v>
      </c>
      <c r="P102" s="4">
        <f>P97*$G$20</f>
        <v>0.23</v>
      </c>
      <c r="S102" s="4">
        <f>S97*$G$20</f>
        <v>1.3795400000000002</v>
      </c>
      <c r="V102" s="4">
        <f>V97*$G$20</f>
        <v>4.1367809199999996</v>
      </c>
      <c r="Y102" s="4">
        <f>Y97*$G$20</f>
        <v>6.8954000000000013</v>
      </c>
      <c r="Z102" s="37"/>
    </row>
    <row r="103" spans="1:26" ht="17" x14ac:dyDescent="0.2">
      <c r="A103" s="46"/>
      <c r="B103" s="47"/>
      <c r="D103" s="26"/>
      <c r="E103" s="14" t="s">
        <v>214</v>
      </c>
      <c r="G103" s="4">
        <f t="shared" si="9"/>
        <v>0</v>
      </c>
      <c r="J103" s="4">
        <f t="shared" si="10"/>
        <v>0</v>
      </c>
      <c r="M103" s="4">
        <f t="shared" si="11"/>
        <v>0</v>
      </c>
      <c r="P103" s="4">
        <f t="shared" si="12"/>
        <v>0</v>
      </c>
      <c r="S103" s="4">
        <f t="shared" si="13"/>
        <v>0.1075</v>
      </c>
      <c r="V103" s="4">
        <f t="shared" si="14"/>
        <v>0.64478499999999994</v>
      </c>
      <c r="Y103" s="4">
        <f t="shared" si="15"/>
        <v>1.93349543</v>
      </c>
      <c r="Z103" s="37"/>
    </row>
    <row r="104" spans="1:26" x14ac:dyDescent="0.2">
      <c r="A104" s="29"/>
      <c r="B104" s="35"/>
      <c r="D104" s="26"/>
      <c r="E104" s="14"/>
      <c r="Z104" s="29"/>
    </row>
    <row r="105" spans="1:26" x14ac:dyDescent="0.2">
      <c r="A105" s="29"/>
      <c r="B105" s="35"/>
      <c r="D105" s="26"/>
      <c r="E105" s="14"/>
      <c r="Z105" s="29"/>
    </row>
    <row r="106" spans="1:26" ht="17" x14ac:dyDescent="0.2">
      <c r="D106" s="26"/>
      <c r="E106" s="15" t="s">
        <v>140</v>
      </c>
      <c r="F106" s="8" t="s">
        <v>124</v>
      </c>
      <c r="G106" s="8"/>
    </row>
    <row r="107" spans="1:26" ht="17" x14ac:dyDescent="0.2">
      <c r="A107" s="38" t="s">
        <v>239</v>
      </c>
      <c r="B107" s="34" t="s">
        <v>182</v>
      </c>
      <c r="D107" s="26"/>
      <c r="E107" s="14" t="s">
        <v>90</v>
      </c>
      <c r="F107" s="4">
        <f>$F$28</f>
        <v>0.3</v>
      </c>
      <c r="G107" s="4">
        <f>$G$28</f>
        <v>0.92</v>
      </c>
      <c r="I107" s="4">
        <f>$F$28</f>
        <v>0.3</v>
      </c>
      <c r="J107" s="4">
        <f>$G$28</f>
        <v>0.92</v>
      </c>
      <c r="L107" s="4">
        <f>$F$28</f>
        <v>0.3</v>
      </c>
      <c r="M107" s="4">
        <f>$G$28</f>
        <v>0.92</v>
      </c>
      <c r="O107" s="4">
        <f>$F$28</f>
        <v>0.3</v>
      </c>
      <c r="P107" s="4">
        <f>$G$28</f>
        <v>0.92</v>
      </c>
      <c r="R107" s="4">
        <f>$F$28</f>
        <v>0.3</v>
      </c>
      <c r="S107" s="4">
        <f>$G$28</f>
        <v>0.92</v>
      </c>
      <c r="U107" s="4">
        <f>$F$28</f>
        <v>0.3</v>
      </c>
      <c r="V107" s="4">
        <f>$G$28</f>
        <v>0.92</v>
      </c>
      <c r="X107" s="4">
        <f>$F$28</f>
        <v>0.3</v>
      </c>
      <c r="Y107" s="4">
        <f>$G$28</f>
        <v>0.92</v>
      </c>
      <c r="Z107" s="38"/>
    </row>
    <row r="108" spans="1:26" ht="17" x14ac:dyDescent="0.2">
      <c r="A108" s="38" t="s">
        <v>240</v>
      </c>
      <c r="B108" s="28" t="s">
        <v>174</v>
      </c>
      <c r="E108" s="14" t="s">
        <v>141</v>
      </c>
      <c r="F108" s="4">
        <f>F7*$F$19</f>
        <v>1500000</v>
      </c>
      <c r="G108" s="4">
        <f>G7*$G$19</f>
        <v>25000000</v>
      </c>
      <c r="I108" s="4">
        <f>I7*$F$19</f>
        <v>1492500</v>
      </c>
      <c r="J108" s="4">
        <f>J7*$G$19</f>
        <v>24990000</v>
      </c>
      <c r="L108" s="4">
        <f>L7*$F$19</f>
        <v>1483200</v>
      </c>
      <c r="M108" s="4">
        <f>M7*$G$19</f>
        <v>24979000</v>
      </c>
      <c r="O108" s="4">
        <f>O7*$F$19</f>
        <v>1474500</v>
      </c>
      <c r="P108" s="4">
        <f>P7*$G$19</f>
        <v>24969600</v>
      </c>
      <c r="R108" s="4">
        <f>R7*$F$19</f>
        <v>1464000</v>
      </c>
      <c r="S108" s="4">
        <f>S7*$G$19</f>
        <v>24950400</v>
      </c>
      <c r="U108" s="4">
        <f>U7*$F$19</f>
        <v>1449000</v>
      </c>
      <c r="V108" s="4">
        <f>V7*$G$19</f>
        <v>24946500</v>
      </c>
      <c r="X108" s="4">
        <f>X7*$F$19</f>
        <v>1434300</v>
      </c>
      <c r="Y108" s="4">
        <f>Y7*$G$19</f>
        <v>24936000</v>
      </c>
      <c r="Z108" s="38"/>
    </row>
    <row r="109" spans="1:26" ht="17" x14ac:dyDescent="0.2">
      <c r="A109" s="38" t="s">
        <v>183</v>
      </c>
      <c r="B109" s="28" t="s">
        <v>174</v>
      </c>
      <c r="E109" s="14" t="s">
        <v>164</v>
      </c>
      <c r="F109" s="4">
        <v>1</v>
      </c>
      <c r="G109" s="4">
        <v>1</v>
      </c>
      <c r="I109" s="4">
        <f>IF(F111=0,0,MIN(MAX((F111/F108-$F$16)/($F$18-$F$16), 0), 1))</f>
        <v>1</v>
      </c>
      <c r="J109" s="4">
        <f>IF(G111=0,0,MIN(MAX((G111/G108-$G$16)/($F$18-$G$16), 0), 1))</f>
        <v>1</v>
      </c>
      <c r="L109" s="4">
        <f>IF(I111=0,0,MIN(MAX((I111/I108-$F$16)/($F$18-$F$16), 0), 1))</f>
        <v>1</v>
      </c>
      <c r="M109" s="4">
        <f>IF(J111=0,0,MIN(MAX((J111/J108-$G$16)/($F$18-$G$16), 0), 1))</f>
        <v>1</v>
      </c>
      <c r="O109" s="4">
        <f>IF(L111=0,0,MIN(MAX((L111/L108-$F$16)/($F$18-$F$16), 0), 1))</f>
        <v>1</v>
      </c>
      <c r="P109" s="4">
        <f>IF(M111=0,0,MIN(MAX((M111/M108-$G$16)/($F$18-$G$16), 0), 1))</f>
        <v>1</v>
      </c>
      <c r="R109" s="4">
        <f>IF(O111=0,0,MIN(MAX((O111/O108-$F$16)/($F$18-$F$16), 0), 1))</f>
        <v>1</v>
      </c>
      <c r="S109" s="4">
        <f>IF(P111=0,0,MIN(MAX((P111/P108-$G$16)/($F$18-$G$16), 0), 1))</f>
        <v>1</v>
      </c>
      <c r="U109" s="4">
        <f>IF(R111=0,0,MIN(MAX((R111/R108-$F$16)/($F$18-$F$16), 0), 1))</f>
        <v>1</v>
      </c>
      <c r="V109" s="4">
        <f>IF(S111=0,0,MIN(MAX((S111/S108-$G$16)/($F$18-$G$16), 0), 1))</f>
        <v>1</v>
      </c>
      <c r="X109" s="4">
        <f>IF(U111=0,0,MIN(MAX((U111/U108-$F$16)/($F$18-$F$16), 0), 1))</f>
        <v>1</v>
      </c>
      <c r="Y109" s="4">
        <f>IF(V111=0,0,MIN(MAX((V111/V108-$G$16)/($F$18-$G$16), 0), 1))</f>
        <v>0.89478919993714923</v>
      </c>
      <c r="Z109" s="38" t="s">
        <v>300</v>
      </c>
    </row>
    <row r="110" spans="1:26" ht="17" x14ac:dyDescent="0.2">
      <c r="A110" s="38" t="s">
        <v>184</v>
      </c>
      <c r="B110" s="33" t="s">
        <v>163</v>
      </c>
      <c r="E110" s="14" t="s">
        <v>131</v>
      </c>
      <c r="F110" s="4">
        <f>F107</f>
        <v>0.3</v>
      </c>
      <c r="G110" s="4">
        <f>G107</f>
        <v>0.92</v>
      </c>
      <c r="I110" s="4">
        <f xml:space="preserve"> I107*I109</f>
        <v>0.3</v>
      </c>
      <c r="J110" s="4">
        <f>J107*J109</f>
        <v>0.92</v>
      </c>
      <c r="L110" s="4">
        <f xml:space="preserve"> L107*L109</f>
        <v>0.3</v>
      </c>
      <c r="M110" s="4">
        <f>M107*M109</f>
        <v>0.92</v>
      </c>
      <c r="O110" s="4">
        <f xml:space="preserve"> O107*O109</f>
        <v>0.3</v>
      </c>
      <c r="P110" s="4">
        <f>P107*P109</f>
        <v>0.92</v>
      </c>
      <c r="R110" s="4">
        <f xml:space="preserve"> R107*R109</f>
        <v>0.3</v>
      </c>
      <c r="S110" s="4">
        <f>S107*S109</f>
        <v>0.92</v>
      </c>
      <c r="U110" s="4">
        <f xml:space="preserve"> U107*U109</f>
        <v>0.3</v>
      </c>
      <c r="V110" s="4">
        <f>V107*V109</f>
        <v>0.92</v>
      </c>
      <c r="X110" s="4">
        <f xml:space="preserve"> X107*X109</f>
        <v>0.3</v>
      </c>
      <c r="Y110" s="4">
        <f>Y107*Y109</f>
        <v>0.82320606394217732</v>
      </c>
      <c r="Z110" s="38"/>
    </row>
    <row r="111" spans="1:26" ht="17" x14ac:dyDescent="0.2">
      <c r="A111" s="38" t="s">
        <v>241</v>
      </c>
      <c r="B111" s="33" t="s">
        <v>163</v>
      </c>
      <c r="E111" s="14" t="s">
        <v>172</v>
      </c>
      <c r="F111" s="4">
        <f>F7*F19</f>
        <v>1500000</v>
      </c>
      <c r="G111" s="4">
        <f>G7*G19</f>
        <v>25000000</v>
      </c>
      <c r="I111" s="4">
        <f>F111 - F132 - F120 - F143+I110*I7</f>
        <v>1421423.1421982395</v>
      </c>
      <c r="J111" s="4">
        <f>G111 - G132 - G120 - G143 + J110*J7</f>
        <v>23256357.107801761</v>
      </c>
      <c r="L111" s="4">
        <f>I111 - I132 - I120 - I143+L110*L7</f>
        <v>1339098.0188325029</v>
      </c>
      <c r="M111" s="4">
        <f>J111 - J132 - J120 - J143 + M110*M7</f>
        <v>21469509.138674762</v>
      </c>
      <c r="O111" s="4">
        <f>L111 - L132 - L120 - L143+O110*O7</f>
        <v>1262299.2941418488</v>
      </c>
      <c r="P111" s="4">
        <f>M111 - M132 - M120 - M143 + P110*P7</f>
        <v>19621955.060604014</v>
      </c>
      <c r="R111" s="4">
        <f>O111 - O132 - O120 - O143+R110*R7</f>
        <v>1188284.3985157635</v>
      </c>
      <c r="S111" s="4">
        <f>P111 - P132 - P120 - P143 + S110*S7</f>
        <v>17672326.749100834</v>
      </c>
      <c r="U111" s="4">
        <f>R111 - R132 - R120 - R143+U110*U7</f>
        <v>1097914.9513435864</v>
      </c>
      <c r="V111" s="4">
        <f>S111 - S132 - S120 - S143 + V110*V7</f>
        <v>14958270.021299271</v>
      </c>
      <c r="X111" s="4">
        <f>U111 - U132 - U120 - U143+X110*X7</f>
        <v>819907.25085905532</v>
      </c>
      <c r="Y111" s="4">
        <f>V111 - V132 - V120 - V143 + Y110*Y7</f>
        <v>3187373.6439100648</v>
      </c>
      <c r="Z111" s="38"/>
    </row>
    <row r="112" spans="1:26" ht="17" x14ac:dyDescent="0.2">
      <c r="A112" s="38" t="s">
        <v>244</v>
      </c>
      <c r="B112" s="33" t="s">
        <v>163</v>
      </c>
      <c r="E112" s="14" t="s">
        <v>142</v>
      </c>
      <c r="F112" s="4">
        <f>F111/F7</f>
        <v>150</v>
      </c>
      <c r="G112" s="4">
        <f>G111/G7</f>
        <v>100</v>
      </c>
      <c r="I112" s="4">
        <f>I111/I7</f>
        <v>142.85659720585321</v>
      </c>
      <c r="J112" s="4">
        <f>J111/J7</f>
        <v>93.062653492604085</v>
      </c>
      <c r="L112" s="4">
        <f>L111/L7</f>
        <v>135.42657957448452</v>
      </c>
      <c r="M112" s="4">
        <f>M111/M7</f>
        <v>85.950234751890633</v>
      </c>
      <c r="O112" s="4">
        <f>O111/O7</f>
        <v>128.4129495566479</v>
      </c>
      <c r="P112" s="4">
        <f>P111/P7</f>
        <v>78.583377629613665</v>
      </c>
      <c r="R112" s="4">
        <f>R111/R7</f>
        <v>121.75045066759871</v>
      </c>
      <c r="S112" s="4">
        <f>S111/S7</f>
        <v>70.829833385840843</v>
      </c>
      <c r="U112" s="4">
        <f>U111/U7</f>
        <v>113.65579206455347</v>
      </c>
      <c r="V112" s="4">
        <f>V111/V7</f>
        <v>59.961397475795287</v>
      </c>
      <c r="X112" s="4">
        <f>X111/X7</f>
        <v>85.746418203205948</v>
      </c>
      <c r="Y112" s="4">
        <f>Y111/Y7</f>
        <v>12.782217051291566</v>
      </c>
      <c r="Z112" s="38"/>
    </row>
    <row r="113" spans="1:26" ht="34" x14ac:dyDescent="0.2">
      <c r="A113" s="38" t="s">
        <v>282</v>
      </c>
      <c r="B113" s="28" t="s">
        <v>174</v>
      </c>
      <c r="E113" s="10" t="s">
        <v>75</v>
      </c>
      <c r="F113" s="4">
        <f>MAX(F112-$F21,0)</f>
        <v>149.85</v>
      </c>
      <c r="G113" s="4">
        <f>MAX(G112-$G21,0)</f>
        <v>99.9</v>
      </c>
      <c r="I113" s="4">
        <f>MAX(I112-$F21,0)</f>
        <v>142.7065972058532</v>
      </c>
      <c r="J113" s="4">
        <f>MAX(J112-$G21,0)</f>
        <v>92.96265349260409</v>
      </c>
      <c r="L113" s="4">
        <f>MAX(L112-$F21,0)</f>
        <v>135.27657957448451</v>
      </c>
      <c r="M113" s="4">
        <f>MAX(M112-$G21,0)</f>
        <v>85.850234751890639</v>
      </c>
      <c r="O113" s="4">
        <f>MAX(O112-$F21,0)</f>
        <v>128.2629495566479</v>
      </c>
      <c r="P113" s="4">
        <f>MAX(P112-$G21,0)</f>
        <v>78.48337762961367</v>
      </c>
      <c r="R113" s="4">
        <f>MAX(R112-$F21,0)</f>
        <v>121.60045066759871</v>
      </c>
      <c r="S113" s="4">
        <f>MAX(S112-$G21,0)</f>
        <v>70.729833385840848</v>
      </c>
      <c r="U113" s="4">
        <f>MAX(U112-$F21,0)</f>
        <v>113.50579206455346</v>
      </c>
      <c r="V113" s="4">
        <f>MAX(V112-$G21,0)</f>
        <v>59.861397475795286</v>
      </c>
      <c r="X113" s="4">
        <f>MAX(X112-$F21,0)</f>
        <v>85.596418203205943</v>
      </c>
      <c r="Y113" s="4">
        <f>MAX(Y112-$G21,0)</f>
        <v>12.682217051291566</v>
      </c>
      <c r="Z113" s="38"/>
    </row>
    <row r="114" spans="1:26" x14ac:dyDescent="0.2">
      <c r="E114" s="13"/>
    </row>
    <row r="115" spans="1:26" ht="17" x14ac:dyDescent="0.2">
      <c r="E115" s="11" t="s">
        <v>58</v>
      </c>
      <c r="F115" s="12"/>
      <c r="G115" s="12"/>
      <c r="I115" s="12"/>
      <c r="J115" s="12"/>
      <c r="L115" s="12"/>
      <c r="M115" s="12"/>
      <c r="O115" s="12"/>
      <c r="P115" s="12"/>
      <c r="R115" s="12"/>
      <c r="S115" s="12"/>
      <c r="U115" s="12"/>
      <c r="V115" s="12"/>
      <c r="X115" s="12"/>
      <c r="Y115" s="12"/>
    </row>
    <row r="116" spans="1:26" ht="17" x14ac:dyDescent="0.2">
      <c r="A116" s="38" t="s">
        <v>246</v>
      </c>
      <c r="B116" s="34" t="s">
        <v>182</v>
      </c>
      <c r="E116" s="10" t="s">
        <v>219</v>
      </c>
      <c r="F116" s="4">
        <f>F112*F7</f>
        <v>1500000</v>
      </c>
      <c r="G116" s="4">
        <f>G112*G7</f>
        <v>25000000</v>
      </c>
      <c r="I116" s="4">
        <f>I112*I7</f>
        <v>1421423.1421982395</v>
      </c>
      <c r="J116" s="4">
        <f>J112*J7</f>
        <v>23256357.107801761</v>
      </c>
      <c r="L116" s="4">
        <f>L112*L7</f>
        <v>1339098.0188325029</v>
      </c>
      <c r="M116" s="4">
        <f>M112*M7</f>
        <v>21469509.138674762</v>
      </c>
      <c r="O116" s="4">
        <f>O112*O7</f>
        <v>1262299.2941418488</v>
      </c>
      <c r="P116" s="4">
        <f>P112*P7</f>
        <v>19621955.060604014</v>
      </c>
      <c r="R116" s="4">
        <f>R112*R7</f>
        <v>1188284.3985157635</v>
      </c>
      <c r="S116" s="4">
        <f>S112*S7</f>
        <v>17672326.749100834</v>
      </c>
      <c r="U116" s="4">
        <f>U112*U7</f>
        <v>1097914.9513435864</v>
      </c>
      <c r="V116" s="4">
        <f>V112*V7</f>
        <v>14958270.021299271</v>
      </c>
      <c r="X116" s="4">
        <f>X112*X7</f>
        <v>819907.25085905532</v>
      </c>
      <c r="Y116" s="4">
        <f>Y112*Y7</f>
        <v>3187373.6439100648</v>
      </c>
      <c r="Z116" s="38"/>
    </row>
    <row r="117" spans="1:26" ht="17" x14ac:dyDescent="0.2">
      <c r="A117" s="38" t="s">
        <v>245</v>
      </c>
      <c r="B117" s="33" t="s">
        <v>163</v>
      </c>
      <c r="E117" s="10" t="s">
        <v>218</v>
      </c>
      <c r="G117" s="4">
        <f>SUM(G95:G98)</f>
        <v>0</v>
      </c>
      <c r="J117" s="4">
        <f>SUM(J95:J98)</f>
        <v>0.85</v>
      </c>
      <c r="M117" s="4">
        <f>SUM(M95:M98)</f>
        <v>5.8982999999999999</v>
      </c>
      <c r="P117" s="4">
        <f>SUM(P95:P98)</f>
        <v>21.0065034</v>
      </c>
      <c r="S117" s="4">
        <f>SUM(S95:S98)</f>
        <v>52.594490393199997</v>
      </c>
      <c r="V117" s="4">
        <f>SUM(V95:V98)</f>
        <v>82.193263680000001</v>
      </c>
      <c r="Y117" s="4">
        <f>SUM(Y95:Y98)</f>
        <v>127.95464609634348</v>
      </c>
      <c r="Z117" s="38"/>
    </row>
    <row r="118" spans="1:26" ht="17" x14ac:dyDescent="0.2">
      <c r="A118" s="38" t="s">
        <v>242</v>
      </c>
      <c r="B118" s="33" t="s">
        <v>163</v>
      </c>
      <c r="E118" s="10" t="s">
        <v>217</v>
      </c>
      <c r="F118" s="4">
        <f>F116+F117</f>
        <v>1500000</v>
      </c>
      <c r="G118" s="4">
        <f>G116+G117</f>
        <v>25000000</v>
      </c>
      <c r="I118" s="4">
        <f>I116+I117</f>
        <v>1421423.1421982395</v>
      </c>
      <c r="J118" s="4">
        <f>J116+J117</f>
        <v>23256357.957801763</v>
      </c>
      <c r="L118" s="4">
        <f>L116+L117</f>
        <v>1339098.0188325029</v>
      </c>
      <c r="M118" s="4">
        <f>M116+M117</f>
        <v>21469515.036974762</v>
      </c>
      <c r="O118" s="4">
        <f>O116+O117</f>
        <v>1262299.2941418488</v>
      </c>
      <c r="P118" s="4">
        <f>P116+P117</f>
        <v>19621976.067107413</v>
      </c>
      <c r="R118" s="4">
        <f>R116+R117</f>
        <v>1188284.3985157635</v>
      </c>
      <c r="S118" s="4">
        <f>S116+S117</f>
        <v>17672379.343591228</v>
      </c>
      <c r="U118" s="4">
        <f>U116+U117</f>
        <v>1097914.9513435864</v>
      </c>
      <c r="V118" s="4">
        <f>V116+V117</f>
        <v>14958352.214562951</v>
      </c>
      <c r="X118" s="4">
        <f>X116+X117</f>
        <v>819907.25085905532</v>
      </c>
      <c r="Y118" s="4">
        <f>Y116+Y117</f>
        <v>3187501.5985561614</v>
      </c>
      <c r="Z118" s="38"/>
    </row>
    <row r="119" spans="1:26" ht="17" x14ac:dyDescent="0.2">
      <c r="A119" s="38" t="s">
        <v>243</v>
      </c>
      <c r="B119" s="33" t="s">
        <v>163</v>
      </c>
      <c r="E119" s="10" t="s">
        <v>220</v>
      </c>
      <c r="F119" s="4">
        <f>F111*$F$20</f>
        <v>450000</v>
      </c>
      <c r="G119" s="4">
        <f>G111*$G$20</f>
        <v>6250000</v>
      </c>
      <c r="I119" s="4">
        <f>I111*$F$20</f>
        <v>426426.94265947182</v>
      </c>
      <c r="J119" s="4">
        <f>J111*$G$20</f>
        <v>5814089.2769504404</v>
      </c>
      <c r="L119" s="4">
        <f>L111*$F$20</f>
        <v>401729.40564975084</v>
      </c>
      <c r="M119" s="4">
        <f>M111*$G$20</f>
        <v>5367377.2846686905</v>
      </c>
      <c r="O119" s="4">
        <f>O111*$F$20</f>
        <v>378689.78824255464</v>
      </c>
      <c r="P119" s="4">
        <f>P111*$G$20</f>
        <v>4905488.7651510034</v>
      </c>
      <c r="R119" s="4">
        <f>R111*$F$20</f>
        <v>356485.31955472904</v>
      </c>
      <c r="S119" s="4">
        <f>S111*$G$20</f>
        <v>4418081.6872752085</v>
      </c>
      <c r="U119" s="4">
        <f>U111*$F$20</f>
        <v>329374.48540307593</v>
      </c>
      <c r="V119" s="4">
        <f>V111*$G$20</f>
        <v>3739567.5053248177</v>
      </c>
      <c r="X119" s="4">
        <f>X111*$F$20</f>
        <v>245972.17525771659</v>
      </c>
      <c r="Y119" s="4">
        <f>Y111*$G$20</f>
        <v>796843.41097751621</v>
      </c>
      <c r="Z119" s="38"/>
    </row>
    <row r="120" spans="1:26" ht="17" x14ac:dyDescent="0.2">
      <c r="A120" s="38" t="s">
        <v>281</v>
      </c>
      <c r="B120" s="28" t="s">
        <v>174</v>
      </c>
      <c r="E120" s="10" t="s">
        <v>269</v>
      </c>
      <c r="F120" s="4">
        <f>F9*F112</f>
        <v>7500</v>
      </c>
      <c r="G120" s="4">
        <f>G9*G112</f>
        <v>10000</v>
      </c>
      <c r="I120" s="4">
        <f>I9*I112</f>
        <v>8857.1090267628988</v>
      </c>
      <c r="J120" s="4">
        <f>J9*J112</f>
        <v>10236.891884186449</v>
      </c>
      <c r="L120" s="4">
        <f>L9*L112</f>
        <v>7854.741615320102</v>
      </c>
      <c r="M120" s="4">
        <f>M9*M112</f>
        <v>8079.3220666777197</v>
      </c>
      <c r="O120" s="4">
        <f>O9*O112</f>
        <v>8988.9064689653533</v>
      </c>
      <c r="P120" s="4">
        <f>P9*P112</f>
        <v>15088.008504885824</v>
      </c>
      <c r="R120" s="4">
        <f>R9*R112</f>
        <v>12175.045066759871</v>
      </c>
      <c r="S120" s="4">
        <f>S9*S112</f>
        <v>2762.3635020477927</v>
      </c>
      <c r="U120" s="4">
        <f>U9*U112</f>
        <v>11138.267622326241</v>
      </c>
      <c r="V120" s="4">
        <f>V9*V112</f>
        <v>6295.9467349585047</v>
      </c>
      <c r="X120" s="4">
        <f>X9*X112</f>
        <v>8403.1489839141832</v>
      </c>
      <c r="Y120" s="4">
        <f>Y9*Y112</f>
        <v>1482.7371779498217</v>
      </c>
      <c r="Z120" s="38"/>
    </row>
    <row r="121" spans="1:26" ht="17" x14ac:dyDescent="0.2">
      <c r="A121" s="38" t="s">
        <v>265</v>
      </c>
      <c r="B121" s="28" t="s">
        <v>174</v>
      </c>
      <c r="E121" s="10" t="s">
        <v>270</v>
      </c>
      <c r="F121" s="4">
        <f>MIN(F120,F9*F15)</f>
        <v>250</v>
      </c>
      <c r="G121" s="4">
        <f>MIN(G120,G9*G15)</f>
        <v>1000</v>
      </c>
      <c r="I121" s="4">
        <f>MIN(I120,I9*I15)</f>
        <v>316.2</v>
      </c>
      <c r="J121" s="4">
        <f>MIN(J120,J9*J15)</f>
        <v>1078</v>
      </c>
      <c r="L121" s="4">
        <f>MIN(L120,L9*L15)</f>
        <v>301.60000000000002</v>
      </c>
      <c r="M121" s="4">
        <f>MIN(M120,M9*M15)</f>
        <v>921.2</v>
      </c>
      <c r="O121" s="4">
        <f>MIN(O120,O9*O15)</f>
        <v>329</v>
      </c>
      <c r="P121" s="4">
        <f>MIN(P120,P9*P15)</f>
        <v>1900.8000000000002</v>
      </c>
      <c r="R121" s="4">
        <f>MIN(R120,R9*R15)</f>
        <v>520</v>
      </c>
      <c r="S121" s="4">
        <f>MIN(S120,S9*S15)</f>
        <v>393.9</v>
      </c>
      <c r="U121" s="4">
        <f>MIN(U120,U9*U15)</f>
        <v>401.79999999999995</v>
      </c>
      <c r="V121" s="4">
        <f>MIN(V120,V9*V15)</f>
        <v>1155</v>
      </c>
      <c r="X121" s="4">
        <f>MIN(X120,X9*X15)</f>
        <v>499.79999999999995</v>
      </c>
      <c r="Y121" s="4">
        <f>MIN(Y120,Y9*Y15)</f>
        <v>1044</v>
      </c>
      <c r="Z121" s="38"/>
    </row>
    <row r="122" spans="1:26" ht="17" x14ac:dyDescent="0.2">
      <c r="A122" s="38" t="s">
        <v>283</v>
      </c>
      <c r="B122" s="28" t="s">
        <v>174</v>
      </c>
      <c r="E122" s="10" t="s">
        <v>257</v>
      </c>
      <c r="F122" s="4">
        <f>(F120-F121)*$F$14</f>
        <v>5075</v>
      </c>
      <c r="G122" s="4">
        <f>(G120-G121+G53)*$F$14</f>
        <v>6300</v>
      </c>
      <c r="I122" s="4">
        <f>(I120-I121)*$F$14</f>
        <v>5978.6363187340285</v>
      </c>
      <c r="J122" s="4">
        <f>(J120-J121+J53)*$F$14</f>
        <v>6411.2243189305136</v>
      </c>
      <c r="L122" s="4">
        <f>(L120-L121)*$F$14</f>
        <v>5287.1991307240705</v>
      </c>
      <c r="M122" s="4">
        <f>(M120-M121+M53)*$F$14</f>
        <v>5010.6854466744035</v>
      </c>
      <c r="O122" s="4">
        <f>(O120-O121)*$F$14</f>
        <v>6061.9345282757467</v>
      </c>
      <c r="P122" s="4">
        <f>(P120-P121+P53)*$F$14</f>
        <v>9231.0459534200763</v>
      </c>
      <c r="R122" s="4">
        <f>(R120-R121)*$F$14</f>
        <v>8158.5315467319087</v>
      </c>
      <c r="S122" s="4">
        <f>(S120-S121+S53)*$F$14</f>
        <v>1657.9244514334548</v>
      </c>
      <c r="U122" s="4">
        <f>(U120-U121)*$F$14</f>
        <v>7515.5273356283687</v>
      </c>
      <c r="V122" s="4">
        <f>(V120-V121+V53)*$F$14</f>
        <v>3598.6627144709532</v>
      </c>
      <c r="X122" s="4">
        <f>(X120-X121)*$F$14</f>
        <v>5532.3442887399278</v>
      </c>
      <c r="Y122" s="4">
        <f>(Y120-Y121+Y53)*$F$14</f>
        <v>307.11602456487515</v>
      </c>
      <c r="Z122" s="38"/>
    </row>
    <row r="123" spans="1:26" ht="17" x14ac:dyDescent="0.2">
      <c r="A123" s="38" t="s">
        <v>258</v>
      </c>
      <c r="B123" s="33" t="s">
        <v>163</v>
      </c>
      <c r="E123" s="14" t="s">
        <v>255</v>
      </c>
      <c r="F123" s="4">
        <f>MIN(F122+G122, F32)</f>
        <v>11375</v>
      </c>
      <c r="I123" s="4">
        <f>MIN(I122+J122, I32)</f>
        <v>12389.860637664542</v>
      </c>
      <c r="L123" s="4">
        <f>MIN(L122+M122, L32)</f>
        <v>10297.884577398474</v>
      </c>
      <c r="O123" s="4">
        <f>MIN(O122+P122, O32)</f>
        <v>15292.980481695824</v>
      </c>
      <c r="R123" s="4">
        <f>MIN(R122+S122, R32)</f>
        <v>9816.4559981653638</v>
      </c>
      <c r="U123" s="4">
        <f>MIN(U122+V122, U32)</f>
        <v>11114.190050099322</v>
      </c>
      <c r="X123" s="4">
        <f>MIN(X122+Y122, X32)</f>
        <v>5839.4603133048031</v>
      </c>
      <c r="Z123" s="38"/>
    </row>
    <row r="124" spans="1:26" ht="17" x14ac:dyDescent="0.2">
      <c r="A124" s="38" t="s">
        <v>259</v>
      </c>
      <c r="B124" s="28" t="s">
        <v>174</v>
      </c>
      <c r="E124" s="14" t="s">
        <v>271</v>
      </c>
      <c r="F124" s="4">
        <f>F122/(F122+G122)</f>
        <v>0.44615384615384618</v>
      </c>
      <c r="G124" s="4">
        <f>G122/(F122+G122)</f>
        <v>0.55384615384615388</v>
      </c>
      <c r="I124" s="4">
        <f>I122/(I122+J122)</f>
        <v>0.48254266077531816</v>
      </c>
      <c r="J124" s="4">
        <f>J122/(I122+J122)</f>
        <v>0.51745733922468184</v>
      </c>
      <c r="L124" s="4">
        <f>L122/(L122+M122)</f>
        <v>0.51342575176345207</v>
      </c>
      <c r="M124" s="4">
        <f>M122/(L122+M122)</f>
        <v>0.48657424823654793</v>
      </c>
      <c r="O124" s="4">
        <f>O122/(O122+P122)</f>
        <v>0.39638673020810294</v>
      </c>
      <c r="P124" s="4">
        <f>P122/(O122+P122)</f>
        <v>0.603613269791897</v>
      </c>
      <c r="R124" s="4">
        <f>R122/(R122+S122)</f>
        <v>0.83110763683519684</v>
      </c>
      <c r="S124" s="4">
        <f>S122/(R122+S122)</f>
        <v>0.16889236316480316</v>
      </c>
      <c r="U124" s="4">
        <f>U122/(U122+V122)</f>
        <v>0.67621007934457689</v>
      </c>
      <c r="V124" s="4">
        <f>V122/(U122+V122)</f>
        <v>0.32378992065542317</v>
      </c>
      <c r="X124" s="4">
        <f>X122/(X122+Y122)</f>
        <v>0.94740677937905793</v>
      </c>
      <c r="Y124" s="4">
        <f>Y122/(X122+Y122)</f>
        <v>5.2593220620942092E-2</v>
      </c>
      <c r="Z124" s="38"/>
    </row>
    <row r="125" spans="1:26" ht="34" x14ac:dyDescent="0.2">
      <c r="A125" s="38" t="s">
        <v>185</v>
      </c>
      <c r="B125" s="28" t="s">
        <v>174</v>
      </c>
      <c r="E125" s="10" t="s">
        <v>121</v>
      </c>
      <c r="F125" s="4">
        <f>MAX(F13-F26, 0)*F113</f>
        <v>741757.5</v>
      </c>
      <c r="G125" s="4">
        <f>MAX(G13-G26, 0)*G113</f>
        <v>19970010</v>
      </c>
      <c r="I125" s="4">
        <f>MAX(I13-I26, 0)*I113</f>
        <v>697549.84714221046</v>
      </c>
      <c r="J125" s="4">
        <f>MAX(J13-J26, 0)*J113</f>
        <v>18573008.54128737</v>
      </c>
      <c r="L125" s="4">
        <f>MAX(L13-L26, 0)*L113</f>
        <v>585747.5895575179</v>
      </c>
      <c r="M125" s="4">
        <f>MAX(M13-M26, 0)*M113</f>
        <v>17143948.479013555</v>
      </c>
      <c r="O125" s="4">
        <f>MAX(O13-O26, 0)*O113</f>
        <v>482268.69033299608</v>
      </c>
      <c r="P125" s="4">
        <f>MAX(P13-P26, 0)*P113</f>
        <v>15657747.770618446</v>
      </c>
      <c r="R125" s="4">
        <f>MAX(R13-R26, 0)*R113</f>
        <v>384257.42410961189</v>
      </c>
      <c r="S125" s="4">
        <f>MAX(S13-S26, 0)*S113</f>
        <v>14178856.049692586</v>
      </c>
      <c r="U125" s="4">
        <f>MAX(U13-U26, 0)*U113</f>
        <v>268100.68085647526</v>
      </c>
      <c r="V125" s="4">
        <f>MAX(V13-V26, 0)*V113</f>
        <v>11963898.899512446</v>
      </c>
      <c r="X125" s="4">
        <f>MAX(X13-X26, 0)*X113</f>
        <v>193790.29081205826</v>
      </c>
      <c r="Y125" s="4">
        <f>MAX(Y13-Y26, 0)*Y113</f>
        <v>2533196.7626931826</v>
      </c>
      <c r="Z125" s="38"/>
    </row>
    <row r="127" spans="1:26" ht="17" x14ac:dyDescent="0.2">
      <c r="E127" s="15" t="s">
        <v>73</v>
      </c>
      <c r="F127" s="8"/>
      <c r="G127" s="8"/>
      <c r="I127" s="8"/>
      <c r="J127" s="8"/>
      <c r="L127" s="8"/>
      <c r="M127" s="8"/>
      <c r="O127" s="8"/>
      <c r="P127" s="8"/>
      <c r="R127" s="8"/>
      <c r="S127" s="8"/>
      <c r="U127" s="8"/>
      <c r="V127" s="8"/>
      <c r="X127" s="8"/>
      <c r="Y127" s="8"/>
    </row>
    <row r="128" spans="1:26" ht="17" x14ac:dyDescent="0.2">
      <c r="A128" s="38" t="s">
        <v>260</v>
      </c>
      <c r="B128" s="28" t="s">
        <v>174</v>
      </c>
      <c r="E128" s="14" t="s">
        <v>262</v>
      </c>
      <c r="F128" s="4">
        <f>MAX(F32-F123,0)</f>
        <v>1988625</v>
      </c>
      <c r="I128" s="4">
        <f>MAX(I32-I123,0)</f>
        <v>2037610.1393623354</v>
      </c>
      <c r="L128" s="4">
        <f>MAX(L32-L123,0)</f>
        <v>2099702.1154226013</v>
      </c>
      <c r="O128" s="4">
        <f>MAX(O32-O123,0)</f>
        <v>2194707.0195183042</v>
      </c>
      <c r="R128" s="4">
        <f>MAX(R32-R123,0)</f>
        <v>2990183.5440018345</v>
      </c>
      <c r="U128" s="4">
        <f>MAX(U32-U123,0)</f>
        <v>24988885.809949901</v>
      </c>
      <c r="X128" s="4">
        <f>MAX(X32-X123,0)</f>
        <v>2514160.5396866952</v>
      </c>
      <c r="Z128" s="38"/>
    </row>
    <row r="129" spans="1:29" ht="17" x14ac:dyDescent="0.2">
      <c r="A129" s="38" t="s">
        <v>261</v>
      </c>
      <c r="B129" s="28" t="s">
        <v>174</v>
      </c>
      <c r="E129" s="10" t="s">
        <v>165</v>
      </c>
      <c r="F129" s="4">
        <f>MIN(F139,F128)</f>
        <v>1988625</v>
      </c>
      <c r="I129" s="4">
        <f>MIN(I139,I128)</f>
        <v>2037610.1393623354</v>
      </c>
      <c r="L129" s="4">
        <f>MIN(L139,L128)</f>
        <v>2099702.1154226013</v>
      </c>
      <c r="O129" s="4">
        <f>MIN(O139,O128)</f>
        <v>2194707.0195183042</v>
      </c>
      <c r="R129" s="4">
        <f>MIN(R139,R128)</f>
        <v>2990183.5440018345</v>
      </c>
      <c r="U129" s="4">
        <f>MIN(U139,U128)</f>
        <v>12231999.580368921</v>
      </c>
      <c r="X129" s="4">
        <f>MIN(X139,X128)</f>
        <v>1789059.8013981958</v>
      </c>
      <c r="Z129" s="38"/>
    </row>
    <row r="130" spans="1:29" ht="17" x14ac:dyDescent="0.2">
      <c r="A130" s="38" t="s">
        <v>272</v>
      </c>
      <c r="B130" s="28" t="s">
        <v>174</v>
      </c>
      <c r="E130" s="10" t="s">
        <v>123</v>
      </c>
      <c r="F130" s="4">
        <f>F128-F129</f>
        <v>0</v>
      </c>
      <c r="I130" s="4">
        <f>I128-I129</f>
        <v>0</v>
      </c>
      <c r="L130" s="4">
        <f>L128-L129</f>
        <v>0</v>
      </c>
      <c r="O130" s="4">
        <f>O128-O129</f>
        <v>0</v>
      </c>
      <c r="R130" s="4">
        <f>R128-R129</f>
        <v>0</v>
      </c>
      <c r="U130" s="4">
        <f>U128-U129</f>
        <v>12756886.22958098</v>
      </c>
      <c r="X130" s="4">
        <f>X128-X129</f>
        <v>725100.73828849941</v>
      </c>
      <c r="Z130" s="38"/>
    </row>
    <row r="131" spans="1:29" ht="17" x14ac:dyDescent="0.2">
      <c r="A131" s="38" t="s">
        <v>216</v>
      </c>
      <c r="B131" s="28" t="s">
        <v>174</v>
      </c>
      <c r="E131" s="10" t="s">
        <v>146</v>
      </c>
      <c r="F131" s="4">
        <f>MIN(F130,G76)</f>
        <v>0</v>
      </c>
      <c r="I131" s="4">
        <f>MIN(I130,J76)</f>
        <v>0</v>
      </c>
      <c r="L131" s="4">
        <f>MIN(L130,M76)</f>
        <v>0</v>
      </c>
      <c r="O131" s="4">
        <f>MIN(O130,P76)</f>
        <v>0</v>
      </c>
      <c r="R131" s="4">
        <f>MIN(R130,S76)</f>
        <v>0</v>
      </c>
      <c r="U131" s="4">
        <f>MIN(U130,V76)</f>
        <v>30.146330393199996</v>
      </c>
      <c r="X131" s="4">
        <f>MIN(X130,Y76)</f>
        <v>53.914123679999996</v>
      </c>
      <c r="Z131" s="38"/>
    </row>
    <row r="132" spans="1:29" ht="17" x14ac:dyDescent="0.2">
      <c r="A132" s="38" t="s">
        <v>268</v>
      </c>
      <c r="B132" s="28" t="s">
        <v>174</v>
      </c>
      <c r="E132" s="10" t="s">
        <v>120</v>
      </c>
      <c r="F132" s="4">
        <f>F140*F129</f>
        <v>71219.296394549616</v>
      </c>
      <c r="G132" s="4">
        <f>G140*F129</f>
        <v>1917405.7036054505</v>
      </c>
      <c r="I132" s="4">
        <f>I140*I129</f>
        <v>73756.795864359185</v>
      </c>
      <c r="J132" s="4">
        <f>J140*I129</f>
        <v>1963853.343497976</v>
      </c>
      <c r="L132" s="4">
        <f>L140*L129</f>
        <v>69369.234990881247</v>
      </c>
      <c r="M132" s="4">
        <f>M140*L129</f>
        <v>2030332.8804317201</v>
      </c>
      <c r="O132" s="4">
        <f>O140*O129</f>
        <v>65578.525432639595</v>
      </c>
      <c r="P132" s="4">
        <f>P140*O129</f>
        <v>2129128.4940856644</v>
      </c>
      <c r="R132" s="4">
        <f>R140*R129</f>
        <v>78897.979357233533</v>
      </c>
      <c r="S132" s="4">
        <f>S140*R129</f>
        <v>2911285.5646446007</v>
      </c>
      <c r="U132" s="4">
        <f>U140*U129</f>
        <v>268100.68085647526</v>
      </c>
      <c r="V132" s="4">
        <f>V140*U129</f>
        <v>11963898.899512446</v>
      </c>
      <c r="X132" s="4">
        <f>X140*X129</f>
        <v>193790.29081205826</v>
      </c>
      <c r="Y132" s="4">
        <f>Y140*X129</f>
        <v>1595269.5105861374</v>
      </c>
      <c r="Z132" s="38"/>
    </row>
    <row r="133" spans="1:29" ht="17" x14ac:dyDescent="0.2">
      <c r="A133" s="38" t="s">
        <v>273</v>
      </c>
      <c r="B133" s="33" t="s">
        <v>163</v>
      </c>
      <c r="E133" s="10" t="s">
        <v>165</v>
      </c>
      <c r="F133" s="4">
        <f>F132</f>
        <v>71219.296394549616</v>
      </c>
      <c r="G133" s="4">
        <f>G132+F131</f>
        <v>1917405.7036054505</v>
      </c>
      <c r="I133" s="4">
        <f>I132</f>
        <v>73756.795864359185</v>
      </c>
      <c r="J133" s="4">
        <f>J132+I131</f>
        <v>1963853.343497976</v>
      </c>
      <c r="L133" s="4">
        <f>L132</f>
        <v>69369.234990881247</v>
      </c>
      <c r="M133" s="4">
        <f>M132+L131</f>
        <v>2030332.8804317201</v>
      </c>
      <c r="O133" s="4">
        <f>O132</f>
        <v>65578.525432639595</v>
      </c>
      <c r="P133" s="4">
        <f>P132+O131</f>
        <v>2129128.4940856644</v>
      </c>
      <c r="R133" s="4">
        <f>R132</f>
        <v>78897.979357233533</v>
      </c>
      <c r="S133" s="4">
        <f>S132+R131</f>
        <v>2911285.5646446007</v>
      </c>
      <c r="U133" s="4">
        <f>U132</f>
        <v>268100.68085647526</v>
      </c>
      <c r="V133" s="4">
        <f>V132+U131</f>
        <v>11963929.045842839</v>
      </c>
      <c r="X133" s="4">
        <f>X132</f>
        <v>193790.29081205826</v>
      </c>
      <c r="Y133" s="4">
        <f>Y132+X131</f>
        <v>1595323.4247098174</v>
      </c>
      <c r="Z133" s="38"/>
    </row>
    <row r="134" spans="1:29" ht="17" x14ac:dyDescent="0.2">
      <c r="E134" s="15" t="s">
        <v>74</v>
      </c>
      <c r="F134" s="8"/>
      <c r="G134" s="8"/>
      <c r="I134" s="8"/>
      <c r="J134" s="8"/>
      <c r="L134" s="8"/>
      <c r="M134" s="8"/>
      <c r="O134" s="8"/>
      <c r="P134" s="8"/>
      <c r="R134" s="8"/>
      <c r="S134" s="8"/>
      <c r="U134" s="8"/>
      <c r="V134" s="8"/>
      <c r="X134" s="8"/>
      <c r="Y134" s="8"/>
    </row>
    <row r="135" spans="1:29" ht="34" x14ac:dyDescent="0.2">
      <c r="A135" s="38" t="s">
        <v>276</v>
      </c>
      <c r="B135" s="28" t="s">
        <v>174</v>
      </c>
      <c r="E135" s="10" t="s">
        <v>137</v>
      </c>
      <c r="F135" s="4">
        <f>F113/$F$22</f>
        <v>1</v>
      </c>
      <c r="G135" s="4">
        <f>G113/$G$22</f>
        <v>1</v>
      </c>
      <c r="I135" s="4">
        <f>I113/$F$22</f>
        <v>0.95232964435003808</v>
      </c>
      <c r="J135" s="4">
        <f>J113/$G$22</f>
        <v>0.93055709201805892</v>
      </c>
      <c r="L135" s="4">
        <f>L113/$F$22</f>
        <v>0.9027466104403371</v>
      </c>
      <c r="M135" s="4">
        <f>M113/$G$22</f>
        <v>0.85936170922813448</v>
      </c>
      <c r="O135" s="4">
        <f>O113/$F$22</f>
        <v>0.85594227265030298</v>
      </c>
      <c r="P135" s="4">
        <f>P113/$G$22</f>
        <v>0.78561939569182848</v>
      </c>
      <c r="R135" s="4">
        <f>R113/$F$22</f>
        <v>0.81148115226959439</v>
      </c>
      <c r="S135" s="4">
        <f>S113/$G$22</f>
        <v>0.70800634019860709</v>
      </c>
      <c r="U135" s="4">
        <f>U113/$F$22</f>
        <v>0.75746274317353002</v>
      </c>
      <c r="V135" s="4">
        <f>V113/$G$22</f>
        <v>0.59921318794589873</v>
      </c>
      <c r="X135" s="4">
        <f>X113/$F$22</f>
        <v>0.57121400202339634</v>
      </c>
      <c r="Y135" s="4">
        <f>Y113/$G$22</f>
        <v>0.12694911963254821</v>
      </c>
      <c r="Z135" s="38"/>
      <c r="AA135">
        <v>0.5</v>
      </c>
      <c r="AB135">
        <f>SUM(AA$6:AA135)</f>
        <v>0.5</v>
      </c>
      <c r="AC135">
        <v>20</v>
      </c>
    </row>
    <row r="136" spans="1:29" ht="17" x14ac:dyDescent="0.2">
      <c r="A136" s="38" t="s">
        <v>186</v>
      </c>
      <c r="B136" s="28" t="s">
        <v>174</v>
      </c>
      <c r="E136" s="10" t="s">
        <v>187</v>
      </c>
      <c r="F136" s="4">
        <f>MAX(MIN((F135-$F$16)/$F$17, 1), 0)</f>
        <v>1</v>
      </c>
      <c r="G136" s="4">
        <f>MAX(MIN((G135-$G$16)/$G$17, 1), 0)</f>
        <v>1</v>
      </c>
      <c r="I136" s="4">
        <f>MAX(MIN((I135-$F$16)/$F$17, 1), 0)</f>
        <v>1</v>
      </c>
      <c r="J136" s="4">
        <f>MAX(MIN((J135-$G$16)/$G$17, 1), 0)</f>
        <v>1</v>
      </c>
      <c r="L136" s="4">
        <f>MAX(MIN((L135-$F$16)/$F$17, 1), 0)</f>
        <v>1</v>
      </c>
      <c r="M136" s="4">
        <f>MAX(MIN((M135-$G$16)/$G$17, 1), 0)</f>
        <v>1</v>
      </c>
      <c r="O136" s="4">
        <f>MAX(MIN((O135-$F$16)/$F$17, 1), 0)</f>
        <v>1</v>
      </c>
      <c r="P136" s="4">
        <f>MAX(MIN((P135-$G$16)/$G$17, 1), 0)</f>
        <v>1</v>
      </c>
      <c r="R136" s="4">
        <f>MAX(MIN((R135-$F$16)/$F$17, 1), 0)</f>
        <v>1</v>
      </c>
      <c r="S136" s="4">
        <f>MAX(MIN((S135-$G$16)/$G$17, 1), 0)</f>
        <v>1</v>
      </c>
      <c r="U136" s="4">
        <f>MAX(MIN((U135-$F$16)/$F$17, 1), 0)</f>
        <v>1</v>
      </c>
      <c r="V136" s="4">
        <f>MAX(MIN((V135-$G$16)/$G$17, 1), 0)</f>
        <v>1</v>
      </c>
      <c r="X136" s="4">
        <f>MAX(MIN((X135-$F$16)/$F$17, 1), 0)</f>
        <v>1</v>
      </c>
      <c r="Y136" s="4">
        <f>MAX(MIN((Y135-$G$16)/$G$17, 1), 0)</f>
        <v>0.629745598162741</v>
      </c>
      <c r="Z136" s="38"/>
      <c r="AA136">
        <v>0.3</v>
      </c>
      <c r="AB136">
        <f>SUM(AA$6:AA136)</f>
        <v>0.8</v>
      </c>
      <c r="AC136">
        <v>20</v>
      </c>
    </row>
    <row r="137" spans="1:29" x14ac:dyDescent="0.2">
      <c r="A137" s="38"/>
      <c r="Z137" s="38"/>
      <c r="AA137">
        <v>0.2</v>
      </c>
      <c r="AB137">
        <f>SUM(AA$6:AA137)</f>
        <v>1</v>
      </c>
      <c r="AC137">
        <v>20</v>
      </c>
    </row>
    <row r="138" spans="1:29" ht="17" x14ac:dyDescent="0.2">
      <c r="A138" s="38" t="s">
        <v>188</v>
      </c>
      <c r="B138" s="28" t="s">
        <v>174</v>
      </c>
      <c r="E138" s="10" t="s">
        <v>76</v>
      </c>
      <c r="F138" s="4">
        <f>F125*F136</f>
        <v>741757.5</v>
      </c>
      <c r="G138" s="4">
        <f>G125*G136</f>
        <v>19970010</v>
      </c>
      <c r="I138" s="4">
        <f>I125*I136</f>
        <v>697549.84714221046</v>
      </c>
      <c r="J138" s="4">
        <f>J125*J136</f>
        <v>18573008.54128737</v>
      </c>
      <c r="L138" s="4">
        <f>L125*L136</f>
        <v>585747.5895575179</v>
      </c>
      <c r="M138" s="4">
        <f>M125*M136</f>
        <v>17143948.479013555</v>
      </c>
      <c r="O138" s="4">
        <f>O125*O136</f>
        <v>482268.69033299608</v>
      </c>
      <c r="P138" s="4">
        <f>P125*P136</f>
        <v>15657747.770618446</v>
      </c>
      <c r="R138" s="4">
        <f>R125*R136</f>
        <v>384257.42410961189</v>
      </c>
      <c r="S138" s="4">
        <f>S125*S136</f>
        <v>14178856.049692586</v>
      </c>
      <c r="U138" s="4">
        <f>U125*U136</f>
        <v>268100.68085647526</v>
      </c>
      <c r="V138" s="4">
        <f>V125*V136</f>
        <v>11963898.899512446</v>
      </c>
      <c r="X138" s="4">
        <f>X125*X136</f>
        <v>193790.29081205826</v>
      </c>
      <c r="Y138" s="4">
        <f>Y125*Y136</f>
        <v>1595269.5105861374</v>
      </c>
      <c r="Z138" s="38"/>
      <c r="AA138">
        <v>0.125</v>
      </c>
      <c r="AB138">
        <f>SUM(AA$6:AA156)</f>
        <v>1.125</v>
      </c>
      <c r="AC138">
        <v>20</v>
      </c>
    </row>
    <row r="139" spans="1:29" ht="17" x14ac:dyDescent="0.2">
      <c r="A139" s="38" t="s">
        <v>189</v>
      </c>
      <c r="B139" s="28" t="s">
        <v>174</v>
      </c>
      <c r="E139" s="10" t="s">
        <v>122</v>
      </c>
      <c r="F139" s="4">
        <f>F138+G138</f>
        <v>20711767.5</v>
      </c>
      <c r="G139" s="4">
        <f>F139</f>
        <v>20711767.5</v>
      </c>
      <c r="I139" s="4">
        <f>I138+J138</f>
        <v>19270558.388429582</v>
      </c>
      <c r="J139" s="4">
        <f>I139</f>
        <v>19270558.388429582</v>
      </c>
      <c r="L139" s="4">
        <f>L138+M138</f>
        <v>17729696.068571072</v>
      </c>
      <c r="M139" s="4">
        <f>L139</f>
        <v>17729696.068571072</v>
      </c>
      <c r="O139" s="4">
        <f>O138+P138</f>
        <v>16140016.460951442</v>
      </c>
      <c r="P139" s="4">
        <f>O139</f>
        <v>16140016.460951442</v>
      </c>
      <c r="R139" s="4">
        <f>R138+S138</f>
        <v>14563113.473802198</v>
      </c>
      <c r="S139" s="4">
        <f>R139</f>
        <v>14563113.473802198</v>
      </c>
      <c r="U139" s="4">
        <f>U138+V138</f>
        <v>12231999.580368921</v>
      </c>
      <c r="V139" s="4">
        <f>U139</f>
        <v>12231999.580368921</v>
      </c>
      <c r="X139" s="4">
        <f>X138+Y138</f>
        <v>1789059.8013981958</v>
      </c>
      <c r="Y139" s="4">
        <f>X139</f>
        <v>1789059.8013981958</v>
      </c>
      <c r="Z139" s="38"/>
    </row>
    <row r="140" spans="1:29" ht="17" x14ac:dyDescent="0.2">
      <c r="A140" s="38" t="s">
        <v>190</v>
      </c>
      <c r="B140" s="28" t="s">
        <v>174</v>
      </c>
      <c r="E140" s="10" t="s">
        <v>119</v>
      </c>
      <c r="F140" s="4">
        <f>F138/F139</f>
        <v>3.5813336548896658E-2</v>
      </c>
      <c r="G140" s="4">
        <f>G138/G139</f>
        <v>0.96418666345110338</v>
      </c>
      <c r="I140" s="4">
        <f>I138/I139</f>
        <v>3.6197697704547727E-2</v>
      </c>
      <c r="J140" s="4">
        <f>J138/J139</f>
        <v>0.96380230229545216</v>
      </c>
      <c r="L140" s="4">
        <f>L138/L139</f>
        <v>3.3037655428050795E-2</v>
      </c>
      <c r="M140" s="4">
        <f>M138/M139</f>
        <v>0.96696234457194918</v>
      </c>
      <c r="O140" s="4">
        <f>O138/O139</f>
        <v>2.9880309694836998E-2</v>
      </c>
      <c r="P140" s="4">
        <f>P138/P139</f>
        <v>0.97011969030516298</v>
      </c>
      <c r="R140" s="4">
        <f>R138/R139</f>
        <v>2.6385664356791447E-2</v>
      </c>
      <c r="S140" s="4">
        <f>S138/S139</f>
        <v>0.97361433564320854</v>
      </c>
      <c r="U140" s="4">
        <f>U138/U139</f>
        <v>2.1917976623114736E-2</v>
      </c>
      <c r="V140" s="4">
        <f>V138/V139</f>
        <v>0.97808202337688521</v>
      </c>
      <c r="X140" s="4">
        <f>X138/X139</f>
        <v>0.10831962724812565</v>
      </c>
      <c r="Y140" s="4">
        <f>Y138/Y139</f>
        <v>0.89168037275187428</v>
      </c>
      <c r="Z140" s="38"/>
    </row>
    <row r="142" spans="1:29" ht="17" x14ac:dyDescent="0.2">
      <c r="E142" s="15" t="s">
        <v>256</v>
      </c>
      <c r="F142" s="8"/>
      <c r="G142" s="8"/>
      <c r="I142" s="8"/>
      <c r="J142" s="8"/>
      <c r="L142" s="8"/>
      <c r="M142" s="8"/>
      <c r="O142" s="8"/>
      <c r="P142" s="8"/>
      <c r="R142" s="8"/>
      <c r="S142" s="8"/>
      <c r="U142" s="8"/>
      <c r="V142" s="8"/>
      <c r="X142" s="8"/>
      <c r="Y142" s="8"/>
    </row>
    <row r="143" spans="1:29" ht="17" x14ac:dyDescent="0.2">
      <c r="A143" s="38" t="s">
        <v>274</v>
      </c>
      <c r="B143" s="33" t="s">
        <v>163</v>
      </c>
      <c r="E143" s="10" t="s">
        <v>203</v>
      </c>
      <c r="F143" s="4">
        <f>(F111 - F132 - F120)*$F$29</f>
        <v>2842.5614072109011</v>
      </c>
      <c r="G143" s="4">
        <f>(G111 - G132 - G120)*$G$29+SUM(G90:G93)</f>
        <v>46145.188592789098</v>
      </c>
      <c r="I143" s="4">
        <f>(I111 - I132 - I120)*$F$29</f>
        <v>2677.6184746142349</v>
      </c>
      <c r="J143" s="4">
        <f>(J111 - J132 - J120)*$G$29+SUM(J90:J93)</f>
        <v>42564.533744839202</v>
      </c>
      <c r="L143" s="4">
        <f>(L111 - L132 - L120)*$F$29</f>
        <v>2523.7480844526031</v>
      </c>
      <c r="M143" s="4">
        <f>(M111 - M132 - M120)*$G$29+SUM(M90:M93)</f>
        <v>38862.195572352735</v>
      </c>
      <c r="O143" s="4">
        <f>(O111 - O132 - O120)*$F$29</f>
        <v>2375.4637244804881</v>
      </c>
      <c r="P143" s="4">
        <f>(P111 - P132 - P120)*$G$29+SUM(P90:P93)</f>
        <v>34955.488912626926</v>
      </c>
      <c r="R143" s="4">
        <f>(R111 - R132 - R120)*$F$29</f>
        <v>2194.4227481835401</v>
      </c>
      <c r="S143" s="4">
        <f>(S111 - S132 - S120)*$G$29+SUM(S90:S93)</f>
        <v>29516.599654915171</v>
      </c>
      <c r="U143" s="4">
        <f>(U111 - U132 - U120)*$F$29</f>
        <v>1637.3520057295698</v>
      </c>
      <c r="V143" s="4">
        <f>(V111 - V132 - V120)*$G$29+SUM(V90:V93)</f>
        <v>5976.1952464237338</v>
      </c>
      <c r="X143" s="4">
        <f>(X111 - X132 - X120)*$F$29</f>
        <v>1235.4276221261657</v>
      </c>
      <c r="Y143" s="4">
        <f>(Y111 - Y132 - Y120)*$G$29+SUM(Y90:Y93)</f>
        <v>3181.2993505719551</v>
      </c>
      <c r="Z143" s="38"/>
    </row>
    <row r="144" spans="1:29" ht="17" x14ac:dyDescent="0.2">
      <c r="A144" s="38" t="s">
        <v>275</v>
      </c>
      <c r="B144" s="33" t="s">
        <v>163</v>
      </c>
      <c r="E144" s="14" t="s">
        <v>215</v>
      </c>
      <c r="F144" s="4">
        <f>F132*$F20</f>
        <v>21365.788918364884</v>
      </c>
      <c r="G144" s="4">
        <f>(G132+F131)*$G20</f>
        <v>479351.42590136261</v>
      </c>
      <c r="I144" s="4">
        <f>I132*$F20</f>
        <v>22127.038759307754</v>
      </c>
      <c r="J144" s="4">
        <f>(J132+I131)*$G20</f>
        <v>490963.33587449399</v>
      </c>
      <c r="L144" s="4">
        <f>L132*$F20</f>
        <v>20810.770497264373</v>
      </c>
      <c r="M144" s="4">
        <f>(M132+L131)*$G20</f>
        <v>507583.22010793001</v>
      </c>
      <c r="O144" s="4">
        <f>O132*$F20</f>
        <v>19673.557629791878</v>
      </c>
      <c r="P144" s="4">
        <f>(P132+O131)*$G20</f>
        <v>532282.1235214161</v>
      </c>
      <c r="R144" s="4">
        <f>R132*$F20</f>
        <v>23669.393807170058</v>
      </c>
      <c r="S144" s="4">
        <f>(S132+R131)*$G20</f>
        <v>727821.39116115018</v>
      </c>
      <c r="U144" s="4">
        <f>U132*$F20</f>
        <v>80430.204256942568</v>
      </c>
      <c r="V144" s="4">
        <f>(V132+U131)*$G20</f>
        <v>2990982.2614607099</v>
      </c>
      <c r="X144" s="4">
        <f>X132*$F20</f>
        <v>58137.087243617476</v>
      </c>
      <c r="Y144" s="4">
        <f>(Y132+X131)*$G20</f>
        <v>398830.85617745435</v>
      </c>
      <c r="Z144" s="38"/>
    </row>
    <row r="145" spans="1:29" ht="17" x14ac:dyDescent="0.2">
      <c r="A145" s="38" t="s">
        <v>176</v>
      </c>
      <c r="B145" s="33" t="s">
        <v>163</v>
      </c>
      <c r="E145" s="10" t="s">
        <v>166</v>
      </c>
      <c r="F145" s="4">
        <f>F120-F123*F124-F121</f>
        <v>2175</v>
      </c>
      <c r="G145" s="4">
        <f>G120-F123*G124-G121+G53</f>
        <v>2700</v>
      </c>
      <c r="I145" s="4">
        <f>I120-I123*I124-I121</f>
        <v>2562.2727080288705</v>
      </c>
      <c r="J145" s="4">
        <f>J120-I123*J124-J121+J53</f>
        <v>2747.6675652559352</v>
      </c>
      <c r="L145" s="4">
        <f>L120-L123*L124-L121</f>
        <v>2265.9424845960316</v>
      </c>
      <c r="M145" s="4">
        <f>M120-L123*M124-M121+M53</f>
        <v>2147.4366200033164</v>
      </c>
      <c r="O145" s="4">
        <f>O120-O123*O124-O121</f>
        <v>2597.9719406896065</v>
      </c>
      <c r="P145" s="4">
        <f>P120-O123*P124-P121+P53</f>
        <v>3956.1625514657471</v>
      </c>
      <c r="R145" s="4">
        <f>R120-R123*R124-R121</f>
        <v>3496.5135200279619</v>
      </c>
      <c r="S145" s="4">
        <f>S120-R123*S124-S121+S53</f>
        <v>710.53905061433773</v>
      </c>
      <c r="U145" s="4">
        <f>U120-U123*U124-U121</f>
        <v>3220.9402866978717</v>
      </c>
      <c r="V145" s="4">
        <f>V120-U123*V124-V121+V53</f>
        <v>1542.284020487552</v>
      </c>
      <c r="X145" s="4">
        <f>X120-X123*X124-X121</f>
        <v>2371.0046951742552</v>
      </c>
      <c r="Y145" s="4">
        <f>Y120-X123*Y124-Y121+Y53</f>
        <v>131.62115338494641</v>
      </c>
      <c r="Z145" s="38"/>
    </row>
    <row r="146" spans="1:29" ht="17" x14ac:dyDescent="0.2">
      <c r="A146" s="38" t="s">
        <v>177</v>
      </c>
      <c r="B146" s="33" t="s">
        <v>163</v>
      </c>
      <c r="E146" s="10" t="s">
        <v>167</v>
      </c>
      <c r="F146" s="4">
        <f>F120*$F20</f>
        <v>2250</v>
      </c>
      <c r="G146" s="4">
        <f>(G120+G53)*$G20</f>
        <v>2500</v>
      </c>
      <c r="I146" s="4">
        <f>I120*$F20</f>
        <v>2657.1327080288697</v>
      </c>
      <c r="J146" s="4">
        <f>(J120+J53)*$G20</f>
        <v>2559.2229710466122</v>
      </c>
      <c r="L146" s="4">
        <f>L120*$F20</f>
        <v>2356.4224845960307</v>
      </c>
      <c r="M146" s="4">
        <f>(M120+M53)*$G20</f>
        <v>2019.8305166694299</v>
      </c>
      <c r="O146" s="4">
        <f>O120*$F20</f>
        <v>2696.6719406896059</v>
      </c>
      <c r="P146" s="4">
        <f>(P120+P53)*$G20</f>
        <v>3772.0021262214559</v>
      </c>
      <c r="R146" s="4">
        <f>R120*$F20</f>
        <v>3652.513520027961</v>
      </c>
      <c r="S146" s="4">
        <f>(S120+S53)*$G20</f>
        <v>690.59087551194818</v>
      </c>
      <c r="U146" s="4">
        <f>U120*$F20</f>
        <v>3341.4802866978721</v>
      </c>
      <c r="V146" s="4">
        <f>(V120+V53)*$G20</f>
        <v>1573.9866837396262</v>
      </c>
      <c r="X146" s="4">
        <f>X120*$F20</f>
        <v>2520.9446951742548</v>
      </c>
      <c r="Y146" s="4">
        <f>(Y120+Y53)*$G20</f>
        <v>370.68429448745542</v>
      </c>
      <c r="Z146" s="38"/>
    </row>
    <row r="149" spans="1:29" x14ac:dyDescent="0.2">
      <c r="A149" s="24" t="s">
        <v>267</v>
      </c>
      <c r="F149" s="4">
        <f>F145+F121</f>
        <v>2425</v>
      </c>
      <c r="G149" s="4">
        <f>G145+G121</f>
        <v>3700</v>
      </c>
      <c r="I149" s="4">
        <f>I145+I121</f>
        <v>2878.4727080288703</v>
      </c>
      <c r="J149" s="4">
        <f>J145+J121</f>
        <v>3825.6675652559352</v>
      </c>
      <c r="L149" s="4">
        <f>L145+L121</f>
        <v>2567.5424845960315</v>
      </c>
      <c r="M149" s="4">
        <f>M145+M121</f>
        <v>3068.6366200033162</v>
      </c>
      <c r="O149" s="4">
        <f>O145+O121</f>
        <v>2926.9719406896065</v>
      </c>
      <c r="P149" s="4">
        <f>P145+P121</f>
        <v>5856.9625514657473</v>
      </c>
      <c r="R149" s="4">
        <f>R145+R121</f>
        <v>4016.5135200279619</v>
      </c>
      <c r="S149" s="4">
        <f>S145+S121</f>
        <v>1104.4390506143377</v>
      </c>
      <c r="U149" s="4">
        <f>U145+U121</f>
        <v>3622.7402866978719</v>
      </c>
      <c r="V149" s="4">
        <f>V145+V121</f>
        <v>2697.284020487552</v>
      </c>
      <c r="X149" s="4">
        <f>X145+X121</f>
        <v>2870.8046951742554</v>
      </c>
      <c r="Y149" s="4">
        <f>Y145+Y121</f>
        <v>1175.6211533849464</v>
      </c>
    </row>
    <row r="151" spans="1:29" x14ac:dyDescent="0.2">
      <c r="A151" s="38" t="s">
        <v>277</v>
      </c>
      <c r="B151" s="33" t="s">
        <v>163</v>
      </c>
      <c r="F151" s="4">
        <f>F123+F132+G132+F131</f>
        <v>2000000</v>
      </c>
      <c r="I151" s="4">
        <f>I123+I132+J132</f>
        <v>2049999.9999999998</v>
      </c>
      <c r="L151" s="4">
        <f>L123+L132+M132</f>
        <v>2110000</v>
      </c>
      <c r="O151" s="4">
        <f>O123+O132+P132</f>
        <v>2210000</v>
      </c>
      <c r="R151" s="4">
        <f>R123+R132+S132</f>
        <v>2999999.9999999995</v>
      </c>
      <c r="U151" s="4">
        <f>U123+U132+V132</f>
        <v>12243113.77041902</v>
      </c>
      <c r="X151" s="4">
        <f>X123+X132+Y132</f>
        <v>1794899.2617115006</v>
      </c>
      <c r="Z151" s="38"/>
    </row>
    <row r="152" spans="1:29" x14ac:dyDescent="0.2">
      <c r="F152" s="4">
        <f>F151/F32</f>
        <v>1</v>
      </c>
      <c r="I152" s="4">
        <f>I151/I32</f>
        <v>0.99999999999999989</v>
      </c>
      <c r="L152" s="4">
        <f>L151/L32</f>
        <v>1</v>
      </c>
      <c r="O152" s="4">
        <f>O151/O32</f>
        <v>1</v>
      </c>
      <c r="R152" s="4">
        <f>R151/R32</f>
        <v>0.99999999999999989</v>
      </c>
      <c r="U152" s="4">
        <f>U151/U32</f>
        <v>0.48972455081676081</v>
      </c>
      <c r="X152" s="4">
        <f>X151/X32</f>
        <v>0.71226161179027803</v>
      </c>
    </row>
    <row r="157" spans="1:29" x14ac:dyDescent="0.2">
      <c r="AA157">
        <v>0.1225</v>
      </c>
      <c r="AB157">
        <f>SUM(AA$6:AA157)</f>
        <v>1.2475000000000001</v>
      </c>
      <c r="AC157">
        <v>20</v>
      </c>
    </row>
    <row r="158" spans="1:29" x14ac:dyDescent="0.2">
      <c r="AA158">
        <v>0.12239999999999999</v>
      </c>
      <c r="AB158">
        <f>SUM(AA$6:AA158)</f>
        <v>1.3699000000000001</v>
      </c>
      <c r="AC158">
        <v>20</v>
      </c>
    </row>
    <row r="159" spans="1:29" x14ac:dyDescent="0.2">
      <c r="AA159">
        <v>0.12230000000000001</v>
      </c>
      <c r="AB159">
        <f>SUM(AA$6:AA159)</f>
        <v>1.4922000000000002</v>
      </c>
      <c r="AC159">
        <v>20</v>
      </c>
    </row>
  </sheetData>
  <mergeCells count="39">
    <mergeCell ref="D17:D18"/>
    <mergeCell ref="D69:D71"/>
    <mergeCell ref="D74:D77"/>
    <mergeCell ref="X5:Y5"/>
    <mergeCell ref="O5:P5"/>
    <mergeCell ref="R5:S5"/>
    <mergeCell ref="U5:V5"/>
    <mergeCell ref="F5:G5"/>
    <mergeCell ref="AD4:AF4"/>
    <mergeCell ref="H2:I2"/>
    <mergeCell ref="H3:I3"/>
    <mergeCell ref="I5:J5"/>
    <mergeCell ref="L5:M5"/>
    <mergeCell ref="D28:D29"/>
    <mergeCell ref="B37:B40"/>
    <mergeCell ref="A37:A40"/>
    <mergeCell ref="B61:B64"/>
    <mergeCell ref="A67:A70"/>
    <mergeCell ref="B67:B70"/>
    <mergeCell ref="B42:B45"/>
    <mergeCell ref="A42:A45"/>
    <mergeCell ref="A61:A64"/>
    <mergeCell ref="A55:A58"/>
    <mergeCell ref="B55:B58"/>
    <mergeCell ref="A100:A103"/>
    <mergeCell ref="B100:B103"/>
    <mergeCell ref="A48:A51"/>
    <mergeCell ref="B48:B51"/>
    <mergeCell ref="D48:D51"/>
    <mergeCell ref="A78:A82"/>
    <mergeCell ref="B78:B82"/>
    <mergeCell ref="B85:B88"/>
    <mergeCell ref="A95:A98"/>
    <mergeCell ref="B95:B98"/>
    <mergeCell ref="A90:A93"/>
    <mergeCell ref="B90:B93"/>
    <mergeCell ref="A72:A75"/>
    <mergeCell ref="B72:B75"/>
    <mergeCell ref="A85:A88"/>
  </mergeCells>
  <phoneticPr fontId="5" type="noConversion"/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cl_1</vt:lpstr>
      <vt:lpstr>cl_2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Coburn Syme</dc:creator>
  <cp:lastModifiedBy>James Coburn Syme</cp:lastModifiedBy>
  <dcterms:created xsi:type="dcterms:W3CDTF">2025-10-11T19:34:45Z</dcterms:created>
  <dcterms:modified xsi:type="dcterms:W3CDTF">2026-01-31T00:27:54Z</dcterms:modified>
</cp:coreProperties>
</file>