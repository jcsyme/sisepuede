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5BE6D6BB-3EDE-CB43-8A49-46D25A5A8C58}" xr6:coauthVersionLast="47" xr6:coauthVersionMax="47" xr10:uidLastSave="{00000000-0000-0000-0000-000000000000}"/>
  <bookViews>
    <workbookView xWindow="7100" yWindow="760" windowWidth="26440" windowHeight="1988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6" i="3" l="1"/>
  <c r="J66" i="3"/>
  <c r="M66" i="3"/>
  <c r="M67" i="3"/>
  <c r="G94" i="3"/>
  <c r="G99" i="3"/>
  <c r="J42" i="3"/>
  <c r="J49" i="3"/>
  <c r="J44" i="3"/>
  <c r="J43" i="3"/>
  <c r="G11" i="3"/>
  <c r="I38" i="3"/>
  <c r="I37" i="3"/>
  <c r="H37" i="3"/>
  <c r="I40" i="3"/>
  <c r="I39" i="3"/>
  <c r="M39" i="3"/>
  <c r="J38" i="3"/>
  <c r="G37" i="3"/>
  <c r="H38" i="3"/>
  <c r="H39" i="3"/>
  <c r="G10" i="3"/>
  <c r="F21" i="3"/>
  <c r="F22" i="3"/>
  <c r="J134" i="3"/>
  <c r="G134" i="3"/>
  <c r="G21" i="3"/>
  <c r="G26" i="3"/>
  <c r="G25" i="3"/>
  <c r="Y26" i="3"/>
  <c r="V26" i="3"/>
  <c r="S26" i="3"/>
  <c r="P26" i="3"/>
  <c r="M26" i="3"/>
  <c r="J26" i="3"/>
  <c r="J25" i="3"/>
  <c r="J11" i="3"/>
  <c r="M45" i="3"/>
  <c r="M57" i="3" s="1"/>
  <c r="M85" i="3"/>
  <c r="M86" i="3"/>
  <c r="J56" i="3"/>
  <c r="F26" i="3"/>
  <c r="G13" i="3"/>
  <c r="J8" i="3"/>
  <c r="I7" i="3"/>
  <c r="I8" i="3"/>
  <c r="F133" i="3"/>
  <c r="G145" i="3"/>
  <c r="G144" i="3"/>
  <c r="G122" i="3"/>
  <c r="F121" i="3"/>
  <c r="G120" i="3"/>
  <c r="F122" i="3"/>
  <c r="G101" i="3"/>
  <c r="G48" i="3"/>
  <c r="G46" i="3"/>
  <c r="G51" i="3"/>
  <c r="G50" i="3"/>
  <c r="G49" i="3"/>
  <c r="J60" i="3"/>
  <c r="J55" i="3"/>
  <c r="J45" i="3"/>
  <c r="J57" i="3" s="1"/>
  <c r="M44" i="3"/>
  <c r="M56" i="3" s="1"/>
  <c r="G110" i="3"/>
  <c r="G117" i="3" s="1"/>
  <c r="G55" i="3"/>
  <c r="G89" i="3" s="1"/>
  <c r="G56" i="3"/>
  <c r="G90" i="3" s="1"/>
  <c r="G57" i="3"/>
  <c r="G91" i="3" s="1"/>
  <c r="G54" i="3"/>
  <c r="P45" i="3"/>
  <c r="P57" i="3" s="1"/>
  <c r="H36" i="3"/>
  <c r="G107" i="3"/>
  <c r="F107" i="3"/>
  <c r="K36" i="3"/>
  <c r="J67" i="3"/>
  <c r="F79" i="3"/>
  <c r="F78" i="3"/>
  <c r="F110" i="3"/>
  <c r="F111" i="3" s="1"/>
  <c r="F118" i="3" s="1"/>
  <c r="F29" i="3"/>
  <c r="G29" i="3" s="1"/>
  <c r="I106" i="3"/>
  <c r="F106" i="3"/>
  <c r="F109" i="3" s="1"/>
  <c r="F81" i="3"/>
  <c r="F80" i="3"/>
  <c r="M68" i="3"/>
  <c r="AD10" i="3"/>
  <c r="F13" i="3"/>
  <c r="I13" i="3" s="1"/>
  <c r="L7" i="3" s="1"/>
  <c r="L13" i="3" s="1"/>
  <c r="O7" i="3" s="1"/>
  <c r="O13" i="3" s="1"/>
  <c r="R7" i="3" s="1"/>
  <c r="R13" i="3" s="1"/>
  <c r="U7" i="3" s="1"/>
  <c r="U13" i="3" s="1"/>
  <c r="U26" i="3" s="1"/>
  <c r="Y106" i="3"/>
  <c r="X106" i="3"/>
  <c r="V106" i="3"/>
  <c r="U106" i="3"/>
  <c r="S106" i="3"/>
  <c r="R106" i="3"/>
  <c r="P106" i="3"/>
  <c r="O106" i="3"/>
  <c r="M106" i="3"/>
  <c r="L106" i="3"/>
  <c r="J106" i="3"/>
  <c r="G106" i="3"/>
  <c r="G109" i="3" s="1"/>
  <c r="G60" i="3"/>
  <c r="G84" i="3" s="1"/>
  <c r="P87" i="3"/>
  <c r="M87" i="3"/>
  <c r="Y63" i="3"/>
  <c r="Y87" i="3" s="1"/>
  <c r="Y62" i="3"/>
  <c r="Y86" i="3" s="1"/>
  <c r="Y61" i="3"/>
  <c r="Y85" i="3" s="1"/>
  <c r="Y60" i="3"/>
  <c r="V60" i="3"/>
  <c r="W36" i="3"/>
  <c r="M69" i="3"/>
  <c r="J87" i="3"/>
  <c r="J86" i="3"/>
  <c r="J85" i="3"/>
  <c r="G86" i="3"/>
  <c r="G85" i="3"/>
  <c r="G87" i="3"/>
  <c r="G95" i="3"/>
  <c r="I85" i="3" s="1"/>
  <c r="G96" i="3"/>
  <c r="I86" i="3" s="1"/>
  <c r="G97" i="3"/>
  <c r="I87" i="3" s="1"/>
  <c r="P40" i="3"/>
  <c r="T36" i="3"/>
  <c r="Q36" i="3"/>
  <c r="N36" i="3"/>
  <c r="P62" i="3"/>
  <c r="P86" i="3" s="1"/>
  <c r="M61" i="3"/>
  <c r="S60" i="3"/>
  <c r="P60" i="3"/>
  <c r="G8" i="3"/>
  <c r="F8" i="3"/>
  <c r="J37" i="3" l="1"/>
  <c r="K38" i="3"/>
  <c r="J73" i="3"/>
  <c r="J72" i="3"/>
  <c r="F145" i="3"/>
  <c r="F117" i="3"/>
  <c r="G102" i="3"/>
  <c r="G100" i="3"/>
  <c r="F119" i="3"/>
  <c r="F120" i="3" s="1"/>
  <c r="G58" i="3"/>
  <c r="G92" i="3" s="1"/>
  <c r="G52" i="3"/>
  <c r="G111" i="3"/>
  <c r="G118" i="3" s="1"/>
  <c r="J74" i="3"/>
  <c r="F114" i="3"/>
  <c r="F116" i="3" s="1"/>
  <c r="I108" i="3"/>
  <c r="I109" i="3" s="1"/>
  <c r="U107" i="3"/>
  <c r="I107" i="3"/>
  <c r="L107" i="3"/>
  <c r="O107" i="3"/>
  <c r="R107" i="3"/>
  <c r="L26" i="3"/>
  <c r="O26" i="3"/>
  <c r="I26" i="3"/>
  <c r="R26" i="3"/>
  <c r="G123" i="3"/>
  <c r="G137" i="3" s="1"/>
  <c r="J108" i="3"/>
  <c r="J109" i="3" s="1"/>
  <c r="J7" i="3"/>
  <c r="P69" i="3"/>
  <c r="H40" i="3"/>
  <c r="G22" i="3"/>
  <c r="F123" i="3" l="1"/>
  <c r="G133" i="3"/>
  <c r="G114" i="3"/>
  <c r="J10" i="3"/>
  <c r="J107" i="3"/>
  <c r="G115" i="3"/>
  <c r="I84" i="3"/>
  <c r="J84" i="3" s="1"/>
  <c r="J13" i="3"/>
  <c r="M8" i="3"/>
  <c r="G119" i="3" l="1"/>
  <c r="G116" i="3"/>
  <c r="F134" i="3"/>
  <c r="F135" i="3" s="1"/>
  <c r="G135" i="3"/>
  <c r="M7" i="3"/>
  <c r="P8" i="3"/>
  <c r="K39" i="3" l="1"/>
  <c r="J50" i="3"/>
  <c r="F137" i="3"/>
  <c r="M10" i="3"/>
  <c r="M107" i="3"/>
  <c r="M13" i="3"/>
  <c r="S8" i="3"/>
  <c r="V61" i="3"/>
  <c r="V85" i="3" s="1"/>
  <c r="V62" i="3"/>
  <c r="V86" i="3" s="1"/>
  <c r="S61" i="3"/>
  <c r="S85" i="3" s="1"/>
  <c r="M60" i="3"/>
  <c r="S63" i="3"/>
  <c r="S87" i="3" s="1"/>
  <c r="V63" i="3"/>
  <c r="V87" i="3" s="1"/>
  <c r="S62" i="3"/>
  <c r="S86" i="3" s="1"/>
  <c r="P61" i="3"/>
  <c r="P85" i="3" s="1"/>
  <c r="AD14" i="3"/>
  <c r="AD16" i="3"/>
  <c r="AD17" i="3"/>
  <c r="AD18" i="3"/>
  <c r="AD19" i="3"/>
  <c r="AD21" i="3"/>
  <c r="AD22" i="3"/>
  <c r="AD23" i="3"/>
  <c r="AD24" i="3"/>
  <c r="AD25" i="3"/>
  <c r="AD26" i="3"/>
  <c r="AD27" i="3"/>
  <c r="AD12" i="3"/>
  <c r="AD9" i="3"/>
  <c r="AD11" i="3"/>
  <c r="AD8" i="3"/>
  <c r="AA158" i="3"/>
  <c r="AA157" i="3"/>
  <c r="AA156" i="3"/>
  <c r="AA137" i="3"/>
  <c r="AA136" i="3"/>
  <c r="AA135" i="3"/>
  <c r="AA134" i="3"/>
  <c r="AD7" i="3"/>
  <c r="AD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44" i="3" l="1"/>
  <c r="M25" i="3"/>
  <c r="F126" i="3"/>
  <c r="F148" i="3"/>
  <c r="G148" i="3"/>
  <c r="F138" i="3"/>
  <c r="G138" i="3" s="1"/>
  <c r="G139" i="3" s="1"/>
  <c r="J46" i="3"/>
  <c r="P7" i="3"/>
  <c r="P107" i="3" s="1"/>
  <c r="P13" i="3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4" i="3" l="1"/>
  <c r="J58" i="3" s="1"/>
  <c r="J48" i="3"/>
  <c r="J71" i="3"/>
  <c r="I78" i="3" s="1"/>
  <c r="F127" i="3"/>
  <c r="F128" i="3" s="1"/>
  <c r="F129" i="3" s="1"/>
  <c r="M11" i="3"/>
  <c r="P25" i="3"/>
  <c r="S7" i="3"/>
  <c r="S13" i="3" s="1"/>
  <c r="S10" i="3"/>
  <c r="S107" i="3"/>
  <c r="Y8" i="3"/>
  <c r="K37" i="3"/>
  <c r="J51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J52" i="3" l="1"/>
  <c r="L37" i="3"/>
  <c r="M37" i="3" s="1"/>
  <c r="L38" i="3"/>
  <c r="M38" i="3" s="1"/>
  <c r="I79" i="3"/>
  <c r="G130" i="3"/>
  <c r="S25" i="3"/>
  <c r="V7" i="3"/>
  <c r="P11" i="3"/>
  <c r="I80" i="3"/>
  <c r="J75" i="3"/>
  <c r="I81" i="3"/>
  <c r="V10" i="3"/>
  <c r="V107" i="3"/>
  <c r="Y7" i="3"/>
  <c r="Y13" i="3" s="1"/>
  <c r="V13" i="3"/>
  <c r="F139" i="3"/>
  <c r="K40" i="3"/>
  <c r="O8" i="3"/>
  <c r="Q3" i="2"/>
  <c r="AA4" i="2" s="1"/>
  <c r="F130" i="3" l="1"/>
  <c r="G143" i="3"/>
  <c r="G142" i="3"/>
  <c r="G131" i="3"/>
  <c r="Y25" i="3"/>
  <c r="V25" i="3"/>
  <c r="S11" i="3"/>
  <c r="V11" i="3"/>
  <c r="Y10" i="3"/>
  <c r="Y11" i="3" s="1"/>
  <c r="Y107" i="3"/>
  <c r="G78" i="3"/>
  <c r="N37" i="3"/>
  <c r="O37" i="3" s="1"/>
  <c r="P37" i="3" s="1"/>
  <c r="L39" i="3"/>
  <c r="M50" i="3" s="1"/>
  <c r="L40" i="3"/>
  <c r="M51" i="3" s="1"/>
  <c r="R8" i="3"/>
  <c r="F4" i="2"/>
  <c r="R7" i="2"/>
  <c r="G4" i="2"/>
  <c r="K4" i="2"/>
  <c r="J4" i="2"/>
  <c r="F150" i="3" l="1"/>
  <c r="N38" i="3"/>
  <c r="O38" i="3" s="1"/>
  <c r="P38" i="3" s="1"/>
  <c r="F142" i="3"/>
  <c r="I110" i="3" s="1"/>
  <c r="F131" i="3"/>
  <c r="F151" i="3"/>
  <c r="F143" i="3"/>
  <c r="P66" i="3"/>
  <c r="G79" i="3"/>
  <c r="G80" i="3"/>
  <c r="G81" i="3"/>
  <c r="U8" i="3"/>
  <c r="X7" i="3"/>
  <c r="X107" i="3" s="1"/>
  <c r="Q37" i="3"/>
  <c r="R37" i="3" s="1"/>
  <c r="S37" i="3" s="1"/>
  <c r="U4" i="2"/>
  <c r="R8" i="2"/>
  <c r="I117" i="3" l="1"/>
  <c r="N39" i="3"/>
  <c r="N40" i="3"/>
  <c r="O39" i="3"/>
  <c r="P39" i="3" s="1"/>
  <c r="Q40" i="3" s="1"/>
  <c r="J110" i="3"/>
  <c r="Q38" i="3"/>
  <c r="R38" i="3" s="1"/>
  <c r="S38" i="3" s="1"/>
  <c r="S66" i="3"/>
  <c r="O40" i="3"/>
  <c r="P51" i="3" s="1"/>
  <c r="P67" i="3"/>
  <c r="P68" i="3"/>
  <c r="Q39" i="3"/>
  <c r="X8" i="3"/>
  <c r="X13" i="3"/>
  <c r="T37" i="3"/>
  <c r="U37" i="3" s="1"/>
  <c r="V37" i="3" s="1"/>
  <c r="O4" i="2"/>
  <c r="P4" i="2" s="1"/>
  <c r="X5" i="2" s="1"/>
  <c r="Z5" i="2" s="1"/>
  <c r="J5" i="2" s="1"/>
  <c r="R9" i="2"/>
  <c r="J117" i="3" l="1"/>
  <c r="X26" i="3"/>
  <c r="M108" i="3"/>
  <c r="M109" i="3" s="1"/>
  <c r="J111" i="3"/>
  <c r="I111" i="3"/>
  <c r="L108" i="3"/>
  <c r="L109" i="3" s="1"/>
  <c r="V66" i="3"/>
  <c r="R40" i="3"/>
  <c r="S40" i="3" s="1"/>
  <c r="S67" i="3"/>
  <c r="R39" i="3"/>
  <c r="S39" i="3" s="1"/>
  <c r="T38" i="3"/>
  <c r="U38" i="3" s="1"/>
  <c r="V38" i="3" s="1"/>
  <c r="W37" i="3"/>
  <c r="X37" i="3" s="1"/>
  <c r="Y37" i="3" s="1"/>
  <c r="Q4" i="2"/>
  <c r="Y5" i="2" s="1"/>
  <c r="AA5" i="2" s="1"/>
  <c r="F5" i="2"/>
  <c r="R10" i="2"/>
  <c r="I114" i="3" l="1"/>
  <c r="I116" i="3" s="1"/>
  <c r="I133" i="3"/>
  <c r="I123" i="3" s="1"/>
  <c r="I118" i="3"/>
  <c r="J118" i="3"/>
  <c r="J114" i="3"/>
  <c r="J133" i="3"/>
  <c r="J123" i="3" s="1"/>
  <c r="S69" i="3"/>
  <c r="V67" i="3"/>
  <c r="Y66" i="3"/>
  <c r="T40" i="3"/>
  <c r="S68" i="3"/>
  <c r="T39" i="3"/>
  <c r="U39" i="3" s="1"/>
  <c r="V39" i="3" s="1"/>
  <c r="W38" i="3"/>
  <c r="X38" i="3" s="1"/>
  <c r="Y38" i="3" s="1"/>
  <c r="R11" i="2"/>
  <c r="G5" i="2"/>
  <c r="U5" i="2" s="1"/>
  <c r="O5" i="2" s="1"/>
  <c r="Q5" i="2" s="1"/>
  <c r="K5" i="2"/>
  <c r="I145" i="3" l="1"/>
  <c r="I119" i="3"/>
  <c r="I120" i="3" s="1"/>
  <c r="J119" i="3"/>
  <c r="J120" i="3" s="1"/>
  <c r="J145" i="3"/>
  <c r="J135" i="3"/>
  <c r="I134" i="3"/>
  <c r="I135" i="3" s="1"/>
  <c r="I137" i="3" s="1"/>
  <c r="V68" i="3"/>
  <c r="Y67" i="3"/>
  <c r="U40" i="3"/>
  <c r="V40" i="3" s="1"/>
  <c r="W40" i="3" s="1"/>
  <c r="W39" i="3"/>
  <c r="X39" i="3" s="1"/>
  <c r="Y39" i="3" s="1"/>
  <c r="Y6" i="2"/>
  <c r="AA6" i="2" s="1"/>
  <c r="K6" i="2" s="1"/>
  <c r="R12" i="2"/>
  <c r="P5" i="2"/>
  <c r="X6" i="2" s="1"/>
  <c r="Z6" i="2" s="1"/>
  <c r="J6" i="2" s="1"/>
  <c r="J122" i="3" l="1"/>
  <c r="I122" i="3"/>
  <c r="I121" i="3"/>
  <c r="J137" i="3"/>
  <c r="I138" i="3" s="1"/>
  <c r="V69" i="3"/>
  <c r="Y68" i="3"/>
  <c r="X40" i="3"/>
  <c r="Y40" i="3" s="1"/>
  <c r="G6" i="2"/>
  <c r="R13" i="2"/>
  <c r="F6" i="2"/>
  <c r="U6" i="2" s="1"/>
  <c r="W6" i="2" s="1"/>
  <c r="O6" i="2" s="1"/>
  <c r="I144" i="3" l="1"/>
  <c r="I148" i="3" s="1"/>
  <c r="J144" i="3"/>
  <c r="J148" i="3" s="1"/>
  <c r="I126" i="3"/>
  <c r="I139" i="3"/>
  <c r="Y69" i="3"/>
  <c r="R14" i="2"/>
  <c r="Y7" i="2"/>
  <c r="AA7" i="2" s="1"/>
  <c r="J138" i="3" l="1"/>
  <c r="J139" i="3" s="1"/>
  <c r="I127" i="3"/>
  <c r="I130" i="3" s="1"/>
  <c r="I131" i="3" s="1"/>
  <c r="X7" i="2"/>
  <c r="Z7" i="2" s="1"/>
  <c r="R15" i="2"/>
  <c r="G7" i="2"/>
  <c r="K7" i="2"/>
  <c r="I143" i="3" l="1"/>
  <c r="I142" i="3"/>
  <c r="I128" i="3"/>
  <c r="I129" i="3" s="1"/>
  <c r="J78" i="3" s="1"/>
  <c r="J130" i="3"/>
  <c r="J7" i="2"/>
  <c r="F7" i="2"/>
  <c r="U7" i="2" s="1"/>
  <c r="O7" i="2" s="1"/>
  <c r="R16" i="2"/>
  <c r="J131" i="3" l="1"/>
  <c r="J89" i="3"/>
  <c r="J94" i="3" s="1"/>
  <c r="J99" i="3" s="1"/>
  <c r="J143" i="3"/>
  <c r="J142" i="3"/>
  <c r="M110" i="3" s="1"/>
  <c r="I150" i="3"/>
  <c r="I151" i="3" s="1"/>
  <c r="J79" i="3"/>
  <c r="J90" i="3" s="1"/>
  <c r="J80" i="3"/>
  <c r="J81" i="3"/>
  <c r="P7" i="2"/>
  <c r="X8" i="2" s="1"/>
  <c r="Z8" i="2" s="1"/>
  <c r="Q7" i="2"/>
  <c r="Y8" i="2" s="1"/>
  <c r="AA8" i="2" s="1"/>
  <c r="G8" i="2" s="1"/>
  <c r="J8" i="2"/>
  <c r="R17" i="2"/>
  <c r="F8" i="2"/>
  <c r="M117" i="3" l="1"/>
  <c r="M42" i="3"/>
  <c r="M48" i="3" s="1"/>
  <c r="L84" i="3"/>
  <c r="M84" i="3" s="1"/>
  <c r="J91" i="3"/>
  <c r="J96" i="3" s="1"/>
  <c r="J101" i="3" s="1"/>
  <c r="J92" i="3"/>
  <c r="J97" i="3" s="1"/>
  <c r="M111" i="3"/>
  <c r="P108" i="3"/>
  <c r="P109" i="3" s="1"/>
  <c r="L110" i="3"/>
  <c r="M71" i="3"/>
  <c r="L78" i="3" s="1"/>
  <c r="K8" i="2"/>
  <c r="W8" i="2"/>
  <c r="R18" i="2"/>
  <c r="L117" i="3" l="1"/>
  <c r="M114" i="3"/>
  <c r="M118" i="3"/>
  <c r="M74" i="3"/>
  <c r="J102" i="3"/>
  <c r="M133" i="3"/>
  <c r="M123" i="3" s="1"/>
  <c r="M54" i="3"/>
  <c r="L87" i="3"/>
  <c r="J95" i="3"/>
  <c r="M73" i="3"/>
  <c r="L86" i="3"/>
  <c r="L111" i="3"/>
  <c r="O108" i="3"/>
  <c r="O109" i="3" s="1"/>
  <c r="O8" i="2"/>
  <c r="Q8" i="2" s="1"/>
  <c r="Y9" i="2" s="1"/>
  <c r="AA9" i="2" s="1"/>
  <c r="R19" i="2"/>
  <c r="J115" i="3" l="1"/>
  <c r="J116" i="3" s="1"/>
  <c r="L85" i="3"/>
  <c r="M119" i="3"/>
  <c r="L118" i="3"/>
  <c r="L114" i="3"/>
  <c r="L116" i="3" s="1"/>
  <c r="J100" i="3"/>
  <c r="M134" i="3"/>
  <c r="M135" i="3" s="1"/>
  <c r="L133" i="3"/>
  <c r="L123" i="3" s="1"/>
  <c r="M43" i="3"/>
  <c r="M49" i="3" s="1"/>
  <c r="M52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72" i="3" l="1"/>
  <c r="L80" i="3" s="1"/>
  <c r="L145" i="3"/>
  <c r="L119" i="3"/>
  <c r="L120" i="3" s="1"/>
  <c r="M137" i="3"/>
  <c r="L134" i="3"/>
  <c r="L135" i="3" s="1"/>
  <c r="L137" i="3" s="1"/>
  <c r="M46" i="3"/>
  <c r="M55" i="3"/>
  <c r="M58" i="3" s="1"/>
  <c r="Q9" i="2"/>
  <c r="Y10" i="2" s="1"/>
  <c r="AA10" i="2" s="1"/>
  <c r="G10" i="2" s="1"/>
  <c r="R21" i="2"/>
  <c r="F10" i="2"/>
  <c r="M120" i="3" l="1"/>
  <c r="M122" i="3" s="1"/>
  <c r="M145" i="3"/>
  <c r="L138" i="3"/>
  <c r="L139" i="3" s="1"/>
  <c r="L79" i="3"/>
  <c r="L81" i="3"/>
  <c r="M75" i="3"/>
  <c r="U10" i="2"/>
  <c r="W10" i="2" s="1"/>
  <c r="O10" i="2" s="1"/>
  <c r="Q10" i="2" s="1"/>
  <c r="K10" i="2"/>
  <c r="R22" i="2"/>
  <c r="L122" i="3" l="1"/>
  <c r="L121" i="3"/>
  <c r="M144" i="3" s="1"/>
  <c r="M148" i="3" s="1"/>
  <c r="M138" i="3"/>
  <c r="M139" i="3" s="1"/>
  <c r="Y11" i="2"/>
  <c r="P10" i="2"/>
  <c r="X11" i="2" s="1"/>
  <c r="Z11" i="2" s="1"/>
  <c r="J11" i="2" s="1"/>
  <c r="R23" i="2"/>
  <c r="L144" i="3" l="1"/>
  <c r="L148" i="3" s="1"/>
  <c r="L126" i="3"/>
  <c r="L127" i="3" s="1"/>
  <c r="L130" i="3" s="1"/>
  <c r="L131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8" i="3" l="1"/>
  <c r="L129" i="3" s="1"/>
  <c r="M130" i="3"/>
  <c r="L143" i="3"/>
  <c r="L142" i="3"/>
  <c r="O110" i="3" s="1"/>
  <c r="M142" i="3"/>
  <c r="P110" i="3" s="1"/>
  <c r="K11" i="2"/>
  <c r="Q11" i="2"/>
  <c r="R25" i="2"/>
  <c r="F12" i="2"/>
  <c r="M78" i="3" l="1"/>
  <c r="M89" i="3" s="1"/>
  <c r="M94" i="3" s="1"/>
  <c r="O84" i="3" s="1"/>
  <c r="P84" i="3" s="1"/>
  <c r="M79" i="3"/>
  <c r="M90" i="3" s="1"/>
  <c r="M95" i="3" s="1"/>
  <c r="O85" i="3" s="1"/>
  <c r="M80" i="3"/>
  <c r="M91" i="3" s="1"/>
  <c r="M96" i="3" s="1"/>
  <c r="M101" i="3" s="1"/>
  <c r="M81" i="3"/>
  <c r="M92" i="3" s="1"/>
  <c r="M97" i="3" s="1"/>
  <c r="M102" i="3" s="1"/>
  <c r="M143" i="3"/>
  <c r="L150" i="3"/>
  <c r="L151" i="3" s="1"/>
  <c r="M131" i="3"/>
  <c r="O117" i="3"/>
  <c r="P117" i="3"/>
  <c r="O111" i="3"/>
  <c r="S108" i="3"/>
  <c r="S109" i="3" s="1"/>
  <c r="P111" i="3"/>
  <c r="R108" i="3"/>
  <c r="R109" i="3" s="1"/>
  <c r="Y12" i="2"/>
  <c r="AA12" i="2" s="1"/>
  <c r="R26" i="2"/>
  <c r="P42" i="3" l="1"/>
  <c r="P48" i="3" s="1"/>
  <c r="M99" i="3"/>
  <c r="P43" i="3"/>
  <c r="P49" i="3" s="1"/>
  <c r="M100" i="3"/>
  <c r="O86" i="3"/>
  <c r="O87" i="3"/>
  <c r="M115" i="3"/>
  <c r="M116" i="3" s="1"/>
  <c r="P74" i="3"/>
  <c r="P44" i="3"/>
  <c r="P50" i="3" s="1"/>
  <c r="P55" i="3"/>
  <c r="P72" i="3"/>
  <c r="P118" i="3"/>
  <c r="P114" i="3"/>
  <c r="O118" i="3"/>
  <c r="O114" i="3"/>
  <c r="O116" i="3" s="1"/>
  <c r="O133" i="3"/>
  <c r="O123" i="3" s="1"/>
  <c r="P133" i="3"/>
  <c r="P123" i="3" s="1"/>
  <c r="G12" i="2"/>
  <c r="U12" i="2" s="1"/>
  <c r="W12" i="2" s="1"/>
  <c r="O12" i="2" s="1"/>
  <c r="Q12" i="2" s="1"/>
  <c r="K12" i="2"/>
  <c r="R27" i="2"/>
  <c r="P52" i="3" l="1"/>
  <c r="P54" i="3"/>
  <c r="P71" i="3"/>
  <c r="O78" i="3" s="1"/>
  <c r="P46" i="3"/>
  <c r="P145" i="3" s="1"/>
  <c r="P56" i="3"/>
  <c r="P58" i="3" s="1"/>
  <c r="P73" i="3"/>
  <c r="O81" i="3" s="1"/>
  <c r="O119" i="3"/>
  <c r="O120" i="3" s="1"/>
  <c r="O145" i="3"/>
  <c r="O79" i="3"/>
  <c r="P119" i="3"/>
  <c r="P134" i="3"/>
  <c r="P135" i="3" s="1"/>
  <c r="O134" i="3"/>
  <c r="O135" i="3" s="1"/>
  <c r="Y13" i="2"/>
  <c r="AA13" i="2" s="1"/>
  <c r="G13" i="2" s="1"/>
  <c r="P12" i="2"/>
  <c r="X13" i="2" s="1"/>
  <c r="Z13" i="2" s="1"/>
  <c r="J13" i="2" s="1"/>
  <c r="R28" i="2"/>
  <c r="P75" i="3" l="1"/>
  <c r="P120" i="3"/>
  <c r="P122" i="3" s="1"/>
  <c r="O80" i="3"/>
  <c r="O137" i="3"/>
  <c r="P137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121" i="3" l="1"/>
  <c r="O126" i="3" s="1"/>
  <c r="O122" i="3"/>
  <c r="O138" i="3"/>
  <c r="O139" i="3" s="1"/>
  <c r="K14" i="2"/>
  <c r="P13" i="2"/>
  <c r="X14" i="2" s="1"/>
  <c r="Z14" i="2" s="1"/>
  <c r="J14" i="2" s="1"/>
  <c r="P144" i="3" l="1"/>
  <c r="P148" i="3" s="1"/>
  <c r="O144" i="3"/>
  <c r="O148" i="3" s="1"/>
  <c r="P138" i="3"/>
  <c r="P139" i="3" s="1"/>
  <c r="O127" i="3"/>
  <c r="O130" i="3" s="1"/>
  <c r="O131" i="3" s="1"/>
  <c r="F14" i="2"/>
  <c r="U14" i="2" s="1"/>
  <c r="W14" i="2" s="1"/>
  <c r="O14" i="2" s="1"/>
  <c r="P14" i="2" s="1"/>
  <c r="X15" i="2" s="1"/>
  <c r="Z15" i="2" s="1"/>
  <c r="J15" i="2" s="1"/>
  <c r="O128" i="3" l="1"/>
  <c r="O129" i="3" s="1"/>
  <c r="P130" i="3"/>
  <c r="O142" i="3"/>
  <c r="O143" i="3"/>
  <c r="O150" i="3"/>
  <c r="O151" i="3" s="1"/>
  <c r="P131" i="3"/>
  <c r="P143" i="3"/>
  <c r="P142" i="3"/>
  <c r="P79" i="3"/>
  <c r="F15" i="2"/>
  <c r="Q14" i="2"/>
  <c r="Y15" i="2" s="1"/>
  <c r="AA15" i="2" s="1"/>
  <c r="G15" i="2" s="1"/>
  <c r="U15" i="2" s="1"/>
  <c r="W15" i="2" s="1"/>
  <c r="O15" i="2" s="1"/>
  <c r="Q15" i="2" s="1"/>
  <c r="P80" i="3" l="1"/>
  <c r="P91" i="3" s="1"/>
  <c r="P96" i="3" s="1"/>
  <c r="P101" i="3" s="1"/>
  <c r="P78" i="3"/>
  <c r="P89" i="3" s="1"/>
  <c r="P94" i="3" s="1"/>
  <c r="P81" i="3"/>
  <c r="P92" i="3" s="1"/>
  <c r="P97" i="3" s="1"/>
  <c r="P102" i="3" s="1"/>
  <c r="P90" i="3"/>
  <c r="P95" i="3" s="1"/>
  <c r="S110" i="3"/>
  <c r="R110" i="3"/>
  <c r="K15" i="2"/>
  <c r="Y16" i="2" s="1"/>
  <c r="AA16" i="2" s="1"/>
  <c r="G16" i="2" s="1"/>
  <c r="P15" i="2"/>
  <c r="X16" i="2" s="1"/>
  <c r="Z16" i="2" s="1"/>
  <c r="J16" i="2" s="1"/>
  <c r="S117" i="3" l="1"/>
  <c r="R117" i="3"/>
  <c r="P99" i="3"/>
  <c r="P115" i="3"/>
  <c r="P116" i="3" s="1"/>
  <c r="R85" i="3"/>
  <c r="P100" i="3"/>
  <c r="R84" i="3"/>
  <c r="S84" i="3" s="1"/>
  <c r="S42" i="3"/>
  <c r="S48" i="3" s="1"/>
  <c r="S44" i="3"/>
  <c r="S50" i="3" s="1"/>
  <c r="S45" i="3"/>
  <c r="S51" i="3" s="1"/>
  <c r="S43" i="3"/>
  <c r="S49" i="3" s="1"/>
  <c r="R87" i="3"/>
  <c r="R86" i="3"/>
  <c r="R111" i="3"/>
  <c r="U108" i="3"/>
  <c r="U109" i="3" s="1"/>
  <c r="S111" i="3"/>
  <c r="V108" i="3"/>
  <c r="V109" i="3" s="1"/>
  <c r="K16" i="2"/>
  <c r="F16" i="2"/>
  <c r="U16" i="2" s="1"/>
  <c r="W16" i="2" s="1"/>
  <c r="O16" i="2" s="1"/>
  <c r="P16" i="2" s="1"/>
  <c r="X17" i="2" s="1"/>
  <c r="Z17" i="2" s="1"/>
  <c r="J17" i="2" s="1"/>
  <c r="S118" i="3" l="1"/>
  <c r="S114" i="3"/>
  <c r="R118" i="3"/>
  <c r="R114" i="3"/>
  <c r="R116" i="3" s="1"/>
  <c r="R133" i="3"/>
  <c r="R123" i="3" s="1"/>
  <c r="S73" i="3"/>
  <c r="S133" i="3"/>
  <c r="S123" i="3" s="1"/>
  <c r="S52" i="3"/>
  <c r="S57" i="3"/>
  <c r="S56" i="3"/>
  <c r="S74" i="3"/>
  <c r="S55" i="3"/>
  <c r="S72" i="3"/>
  <c r="S54" i="3"/>
  <c r="S46" i="3"/>
  <c r="S71" i="3"/>
  <c r="Q16" i="2"/>
  <c r="Y17" i="2" s="1"/>
  <c r="AA17" i="2" s="1"/>
  <c r="K17" i="2" s="1"/>
  <c r="F17" i="2"/>
  <c r="S58" i="3" l="1"/>
  <c r="R119" i="3"/>
  <c r="R120" i="3" s="1"/>
  <c r="R145" i="3"/>
  <c r="S119" i="3"/>
  <c r="S120" i="3" s="1"/>
  <c r="S145" i="3"/>
  <c r="S134" i="3"/>
  <c r="S135" i="3" s="1"/>
  <c r="R134" i="3"/>
  <c r="R135" i="3" s="1"/>
  <c r="R78" i="3"/>
  <c r="R80" i="3"/>
  <c r="R79" i="3"/>
  <c r="S75" i="3"/>
  <c r="R81" i="3"/>
  <c r="G17" i="2"/>
  <c r="U17" i="2" s="1"/>
  <c r="W17" i="2" s="1"/>
  <c r="O17" i="2" s="1"/>
  <c r="P17" i="2" s="1"/>
  <c r="X18" i="2" s="1"/>
  <c r="Z18" i="2" s="1"/>
  <c r="J18" i="2" s="1"/>
  <c r="S122" i="3" l="1"/>
  <c r="R122" i="3"/>
  <c r="R121" i="3"/>
  <c r="S137" i="3"/>
  <c r="R137" i="3"/>
  <c r="Q17" i="2"/>
  <c r="Y18" i="2" s="1"/>
  <c r="AA18" i="2" s="1"/>
  <c r="G18" i="2" s="1"/>
  <c r="F18" i="2"/>
  <c r="R138" i="3" l="1"/>
  <c r="S138" i="3" s="1"/>
  <c r="S139" i="3" s="1"/>
  <c r="R144" i="3"/>
  <c r="R148" i="3" s="1"/>
  <c r="S144" i="3"/>
  <c r="S148" i="3" s="1"/>
  <c r="R126" i="3"/>
  <c r="K18" i="2"/>
  <c r="U18" i="2"/>
  <c r="W18" i="2" s="1"/>
  <c r="O18" i="2" s="1"/>
  <c r="Q18" i="2" s="1"/>
  <c r="R139" i="3" l="1"/>
  <c r="R127" i="3"/>
  <c r="Y19" i="2"/>
  <c r="AA19" i="2" s="1"/>
  <c r="G19" i="2" s="1"/>
  <c r="P18" i="2"/>
  <c r="X19" i="2" s="1"/>
  <c r="Z19" i="2" s="1"/>
  <c r="J19" i="2" s="1"/>
  <c r="S130" i="3" l="1"/>
  <c r="R130" i="3"/>
  <c r="R131" i="3" s="1"/>
  <c r="R128" i="3"/>
  <c r="R129" i="3" s="1"/>
  <c r="S79" i="3" s="1"/>
  <c r="S90" i="3" s="1"/>
  <c r="K19" i="2"/>
  <c r="F19" i="2"/>
  <c r="U19" i="2" s="1"/>
  <c r="W19" i="2" s="1"/>
  <c r="O19" i="2" s="1"/>
  <c r="P19" i="2" s="1"/>
  <c r="X20" i="2" s="1"/>
  <c r="Z20" i="2" s="1"/>
  <c r="S131" i="3" l="1"/>
  <c r="R143" i="3"/>
  <c r="R142" i="3"/>
  <c r="R150" i="3"/>
  <c r="R151" i="3" s="1"/>
  <c r="S143" i="3"/>
  <c r="S142" i="3"/>
  <c r="S81" i="3"/>
  <c r="S92" i="3" s="1"/>
  <c r="S80" i="3"/>
  <c r="S91" i="3" s="1"/>
  <c r="S96" i="3" s="1"/>
  <c r="S101" i="3" s="1"/>
  <c r="S78" i="3"/>
  <c r="S89" i="3" s="1"/>
  <c r="S94" i="3" s="1"/>
  <c r="S95" i="3"/>
  <c r="S100" i="3" s="1"/>
  <c r="V110" i="3"/>
  <c r="U110" i="3"/>
  <c r="Q19" i="2"/>
  <c r="Y20" i="2" s="1"/>
  <c r="AA20" i="2" s="1"/>
  <c r="G20" i="2" s="1"/>
  <c r="J20" i="2"/>
  <c r="F20" i="2"/>
  <c r="S97" i="3" l="1"/>
  <c r="U87" i="3" s="1"/>
  <c r="V117" i="3"/>
  <c r="U117" i="3"/>
  <c r="S99" i="3"/>
  <c r="S115" i="3"/>
  <c r="S116" i="3" s="1"/>
  <c r="V43" i="3"/>
  <c r="V49" i="3" s="1"/>
  <c r="V42" i="3"/>
  <c r="V48" i="3" s="1"/>
  <c r="V44" i="3"/>
  <c r="V50" i="3" s="1"/>
  <c r="V73" i="3"/>
  <c r="U85" i="3"/>
  <c r="U86" i="3"/>
  <c r="U84" i="3"/>
  <c r="V84" i="3" s="1"/>
  <c r="V111" i="3"/>
  <c r="Y108" i="3"/>
  <c r="Y109" i="3" s="1"/>
  <c r="U111" i="3"/>
  <c r="X108" i="3"/>
  <c r="X109" i="3" s="1"/>
  <c r="K20" i="2"/>
  <c r="U20" i="2"/>
  <c r="W20" i="2" s="1"/>
  <c r="S102" i="3" l="1"/>
  <c r="V45" i="3"/>
  <c r="V114" i="3"/>
  <c r="V118" i="3"/>
  <c r="V72" i="3"/>
  <c r="U114" i="3"/>
  <c r="U116" i="3" s="1"/>
  <c r="U118" i="3"/>
  <c r="U133" i="3"/>
  <c r="U123" i="3" s="1"/>
  <c r="V133" i="3"/>
  <c r="V123" i="3" s="1"/>
  <c r="V54" i="3"/>
  <c r="V56" i="3"/>
  <c r="V55" i="3"/>
  <c r="V71" i="3"/>
  <c r="U78" i="3" s="1"/>
  <c r="O20" i="2"/>
  <c r="P20" i="2" s="1"/>
  <c r="X21" i="2" s="1"/>
  <c r="Z21" i="2" s="1"/>
  <c r="V51" i="3" l="1"/>
  <c r="V52" i="3" s="1"/>
  <c r="V74" i="3"/>
  <c r="U81" i="3" s="1"/>
  <c r="V57" i="3"/>
  <c r="V46" i="3"/>
  <c r="U145" i="3"/>
  <c r="V119" i="3"/>
  <c r="U119" i="3"/>
  <c r="U120" i="3" s="1"/>
  <c r="V134" i="3"/>
  <c r="V135" i="3" s="1"/>
  <c r="U134" i="3"/>
  <c r="U135" i="3" s="1"/>
  <c r="V58" i="3"/>
  <c r="V75" i="3"/>
  <c r="U79" i="3"/>
  <c r="U80" i="3"/>
  <c r="J21" i="2"/>
  <c r="F21" i="2"/>
  <c r="Q20" i="2"/>
  <c r="Y21" i="2" s="1"/>
  <c r="AA21" i="2" s="1"/>
  <c r="G21" i="2" s="1"/>
  <c r="V120" i="3" l="1"/>
  <c r="V122" i="3" s="1"/>
  <c r="V145" i="3"/>
  <c r="U137" i="3"/>
  <c r="V137" i="3"/>
  <c r="U138" i="3" s="1"/>
  <c r="U139" i="3" s="1"/>
  <c r="U21" i="2"/>
  <c r="W21" i="2" s="1"/>
  <c r="O21" i="2" s="1"/>
  <c r="Q21" i="2" s="1"/>
  <c r="K21" i="2"/>
  <c r="U121" i="3" l="1"/>
  <c r="V144" i="3" s="1"/>
  <c r="V148" i="3" s="1"/>
  <c r="U122" i="3"/>
  <c r="V138" i="3"/>
  <c r="V139" i="3" s="1"/>
  <c r="U126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U144" i="3" l="1"/>
  <c r="U148" i="3" s="1"/>
  <c r="U127" i="3"/>
  <c r="U130" i="3" s="1"/>
  <c r="U131" i="3" s="1"/>
  <c r="K22" i="2"/>
  <c r="Y23" i="2" s="1"/>
  <c r="AA23" i="2" s="1"/>
  <c r="P22" i="2"/>
  <c r="X23" i="2" s="1"/>
  <c r="Z23" i="2" s="1"/>
  <c r="J23" i="2" s="1"/>
  <c r="U143" i="3" l="1"/>
  <c r="U142" i="3"/>
  <c r="X110" i="3" s="1"/>
  <c r="V130" i="3"/>
  <c r="U128" i="3"/>
  <c r="U129" i="3" s="1"/>
  <c r="V78" i="3" s="1"/>
  <c r="V89" i="3" s="1"/>
  <c r="G23" i="2"/>
  <c r="K23" i="2"/>
  <c r="F23" i="2"/>
  <c r="U23" i="2" s="1"/>
  <c r="W23" i="2" s="1"/>
  <c r="O23" i="2" s="1"/>
  <c r="Q23" i="2" s="1"/>
  <c r="Y24" i="2" s="1"/>
  <c r="AA24" i="2" s="1"/>
  <c r="V131" i="3" l="1"/>
  <c r="X117" i="3"/>
  <c r="V143" i="3"/>
  <c r="V142" i="3"/>
  <c r="Y110" i="3" s="1"/>
  <c r="U150" i="3"/>
  <c r="U151" i="3" s="1"/>
  <c r="V79" i="3"/>
  <c r="V90" i="3" s="1"/>
  <c r="V80" i="3"/>
  <c r="V91" i="3" s="1"/>
  <c r="V96" i="3" s="1"/>
  <c r="V101" i="3" s="1"/>
  <c r="V94" i="3"/>
  <c r="Y42" i="3" s="1"/>
  <c r="Y48" i="3" s="1"/>
  <c r="V81" i="3"/>
  <c r="V92" i="3" s="1"/>
  <c r="V97" i="3" s="1"/>
  <c r="V102" i="3" s="1"/>
  <c r="X111" i="3"/>
  <c r="P23" i="2"/>
  <c r="X24" i="2" s="1"/>
  <c r="Z24" i="2" s="1"/>
  <c r="J24" i="2" s="1"/>
  <c r="G24" i="2"/>
  <c r="K24" i="2"/>
  <c r="X84" i="3" l="1"/>
  <c r="Y84" i="3" s="1"/>
  <c r="X86" i="3"/>
  <c r="V95" i="3"/>
  <c r="Y43" i="3" s="1"/>
  <c r="Y72" i="3" s="1"/>
  <c r="Y44" i="3"/>
  <c r="Y50" i="3" s="1"/>
  <c r="Y117" i="3"/>
  <c r="X114" i="3"/>
  <c r="X116" i="3" s="1"/>
  <c r="X118" i="3"/>
  <c r="V99" i="3"/>
  <c r="V115" i="3"/>
  <c r="V116" i="3" s="1"/>
  <c r="X85" i="3"/>
  <c r="V100" i="3"/>
  <c r="Y45" i="3"/>
  <c r="Y51" i="3" s="1"/>
  <c r="X87" i="3"/>
  <c r="X133" i="3"/>
  <c r="X123" i="3" s="1"/>
  <c r="Y54" i="3"/>
  <c r="Y71" i="3"/>
  <c r="X78" i="3" s="1"/>
  <c r="Y111" i="3"/>
  <c r="F24" i="2"/>
  <c r="U24" i="2" s="1"/>
  <c r="W24" i="2" s="1"/>
  <c r="O24" i="2" s="1"/>
  <c r="P24" i="2" s="1"/>
  <c r="X25" i="2" s="1"/>
  <c r="Z25" i="2" s="1"/>
  <c r="J25" i="2" s="1"/>
  <c r="Y73" i="3" l="1"/>
  <c r="X80" i="3" s="1"/>
  <c r="Y56" i="3"/>
  <c r="Y74" i="3"/>
  <c r="Y57" i="3"/>
  <c r="X119" i="3"/>
  <c r="X120" i="3" s="1"/>
  <c r="X145" i="3"/>
  <c r="Y114" i="3"/>
  <c r="Y118" i="3"/>
  <c r="Y133" i="3"/>
  <c r="Y123" i="3" s="1"/>
  <c r="X134" i="3"/>
  <c r="X135" i="3" s="1"/>
  <c r="X79" i="3"/>
  <c r="Y46" i="3"/>
  <c r="Y49" i="3"/>
  <c r="Y52" i="3" s="1"/>
  <c r="Y55" i="3"/>
  <c r="Q24" i="2"/>
  <c r="Y25" i="2" s="1"/>
  <c r="AA25" i="2" s="1"/>
  <c r="G25" i="2" s="1"/>
  <c r="F25" i="2"/>
  <c r="X81" i="3" l="1"/>
  <c r="Y75" i="3"/>
  <c r="Y58" i="3"/>
  <c r="Y119" i="3"/>
  <c r="Y120" i="3" s="1"/>
  <c r="Y145" i="3"/>
  <c r="X137" i="3"/>
  <c r="Y134" i="3"/>
  <c r="Y135" i="3" s="1"/>
  <c r="Y137" i="3" s="1"/>
  <c r="X138" i="3" s="1"/>
  <c r="K25" i="2"/>
  <c r="U25" i="2"/>
  <c r="W25" i="2" s="1"/>
  <c r="O25" i="2" s="1"/>
  <c r="Q25" i="2" s="1"/>
  <c r="Y26" i="2" s="1"/>
  <c r="AA26" i="2" s="1"/>
  <c r="G26" i="2" s="1"/>
  <c r="Y122" i="3" l="1"/>
  <c r="X121" i="3"/>
  <c r="X122" i="3"/>
  <c r="Y138" i="3"/>
  <c r="Y139" i="3" s="1"/>
  <c r="X139" i="3"/>
  <c r="P25" i="2"/>
  <c r="X26" i="2" s="1"/>
  <c r="Z26" i="2" s="1"/>
  <c r="J26" i="2" s="1"/>
  <c r="K26" i="2"/>
  <c r="X144" i="3" l="1"/>
  <c r="X148" i="3" s="1"/>
  <c r="Y144" i="3"/>
  <c r="Y148" i="3" s="1"/>
  <c r="X126" i="3"/>
  <c r="F26" i="2"/>
  <c r="U26" i="2" s="1"/>
  <c r="W26" i="2" s="1"/>
  <c r="O26" i="2" s="1"/>
  <c r="Q26" i="2" s="1"/>
  <c r="Y27" i="2" s="1"/>
  <c r="AA27" i="2" s="1"/>
  <c r="X127" i="3" l="1"/>
  <c r="P26" i="2"/>
  <c r="X27" i="2" s="1"/>
  <c r="Z27" i="2" s="1"/>
  <c r="J27" i="2" s="1"/>
  <c r="G27" i="2"/>
  <c r="K27" i="2"/>
  <c r="X130" i="3" l="1"/>
  <c r="X131" i="3" s="1"/>
  <c r="Y130" i="3"/>
  <c r="X128" i="3"/>
  <c r="X129" i="3" s="1"/>
  <c r="F27" i="2"/>
  <c r="U27" i="2" s="1"/>
  <c r="W27" i="2" s="1"/>
  <c r="O27" i="2" s="1"/>
  <c r="P27" i="2" s="1"/>
  <c r="X28" i="2" s="1"/>
  <c r="Z28" i="2" s="1"/>
  <c r="J28" i="2" s="1"/>
  <c r="Y131" i="3" l="1"/>
  <c r="Y143" i="3"/>
  <c r="Y142" i="3"/>
  <c r="X143" i="3"/>
  <c r="X142" i="3"/>
  <c r="X150" i="3"/>
  <c r="X151" i="3" s="1"/>
  <c r="Y80" i="3"/>
  <c r="Y91" i="3" s="1"/>
  <c r="Y96" i="3" s="1"/>
  <c r="Y101" i="3" s="1"/>
  <c r="Y81" i="3"/>
  <c r="Y92" i="3" s="1"/>
  <c r="Y97" i="3" s="1"/>
  <c r="Y102" i="3" s="1"/>
  <c r="Y79" i="3"/>
  <c r="Y90" i="3" s="1"/>
  <c r="Y95" i="3" s="1"/>
  <c r="Y100" i="3" s="1"/>
  <c r="Y78" i="3"/>
  <c r="Y89" i="3" s="1"/>
  <c r="Y94" i="3" s="1"/>
  <c r="Q27" i="2"/>
  <c r="Y28" i="2" s="1"/>
  <c r="AA28" i="2" s="1"/>
  <c r="G28" i="2" s="1"/>
  <c r="F28" i="2"/>
  <c r="Y115" i="3" l="1"/>
  <c r="Y116" i="3" s="1"/>
  <c r="Y99" i="3"/>
  <c r="U28" i="2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<sst xmlns="http://schemas.openxmlformats.org/spreadsheetml/2006/main" count="417" uniqueCount="284">
  <si>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</si>
  <si>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</si>
  <si>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</si>
  <si>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</si>
  <si>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</si>
  <si>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</si>
  <si>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</si>
  <si>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</si>
  <si>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</si>
  <si>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</si>
  <si>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</si>
  <si>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</si>
  <si>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</si>
  <si>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</si>
  <si>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</si>
  <si>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</si>
  <si>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</si>
  <si>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</si>
  <si>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</si>
  <si>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</si>
  <si>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</si>
  <si>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</si>
  <si>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</si>
  <si>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</si>
  <si>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</si>
  <si>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</si>
  <si>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</si>
  <si>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</si>
  <si>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</si>
  <si>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</si>
  <si>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</si>
  <si>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</si>
  <si>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</si>
  <si>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</si>
  <si>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</si>
  <si>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</si>
  <si>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</si>
  <si>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</si>
  <si>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</si>
  <si>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</si>
  <si>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</si>
  <si>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</si>
  <si>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</si>
  <si>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</si>
  <si>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</si>
  <si>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</si>
  <si>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</si>
  <si>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</si>
  <si>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</si>
  <si>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</si>
  <si>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</si>
  <si>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</si>
  <si>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</si>
  <si>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</si>
  <si>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</si>
  <si>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</si>
  <si>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</si>
  <si>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</si>
  <si>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</si>
  <si>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</si>
  <si>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</si>
  <si>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</si>
  <si>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</si>
  <si>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</si>
  <si>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</si>
  <si>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</si>
  <si>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</si>
  <si>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</si>
  <si>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</si>
  <si>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</si>
  <si>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</si>
  <si>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</si>
  <si>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</si>
  <si>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</si>
  <si>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</si>
  <si>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</si>
  <si>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</si>
  <si>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</si>
  <si>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</si>
  <si>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</si>
  <si>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</si>
  <si>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</si>
  <si>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</si>
  <si>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</si>
  <si>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</si>
  <si>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</si>
  <si>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</si>
  <si>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</si>
  <si>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</si>
  <si>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</si>
  <si>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</si>
  <si>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</si>
  <si>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</si>
  <si>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</si>
  <si>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</si>
  <si>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</si>
  <si>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</si>
  <si>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</si>
  <si>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</si>
  <si>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</si>
  <si>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</si>
  <si>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</si>
  <si>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</si>
  <si>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</si>
  <si>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</si>
  <si>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</si>
  <si>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</si>
  <si>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</si>
  <si>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</si>
  <si>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</si>
  <si>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</si>
  <si>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</si>
  <si>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</si>
  <si>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</si>
  <si>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</si>
  <si>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</si>
  <si>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</si>
  <si>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</si>
  <si>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</si>
  <si>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</si>
  <si>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</si>
  <si>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</si>
  <si>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</si>
  <si>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</si>
  <si>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</si>
  <si>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</si>
  <si>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</si>
  <si>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</si>
  <si>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</si>
  <si>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</si>
  <si>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</si>
  <si>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</si>
  <si>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</si>
  <si>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</si>
  <si>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</si>
  <si>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</si>
  <si>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</si>
  <si>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</si>
  <si>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</si>
  <si>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</si>
  <si>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</si>
  <si>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</si>
  <si>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</si>
  <si>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</si>
  <si>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</si>
  <si>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</si>
  <si>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</si>
  <si>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</si>
  <si>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</si>
  <si>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</si>
  <si>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</si>
  <si>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</si>
  <si>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</si>
  <si>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</si>
  <si>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</si>
  <si>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</si>
  <si>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</si>
  <si>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</si>
  <si>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</si>
  <si>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</si>
  <si>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</si>
  <si>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</si>
  <si>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</si>
  <si>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input/output (starting condition input)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</si>
  <si>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</si>
  <si>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</si>
  <si>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</si>
  <si>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</si>
  <si>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</si>
  <si>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</si>
  <si>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</si>
  <si>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</si>
  <si>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</si>
  <si>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</si>
  <si>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</si>
  <si>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</si>
  <si>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</si>
  <si>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</si>
  <si>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</si>
  <si>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</si>
  <si>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</si>
  <si>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</si>
  <si>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</si>
  <si>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</si>
  <si>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</si>
  <si>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</si>
  <si>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</si>
  <si>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</si>
  <si>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</si>
  <si>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</si>
  <si>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</si>
  <si>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</si>
  <si>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</si>
  <si>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</si>
  <si>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</si>
  <si>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</si>
  <si>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</si>
  <si>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</si>
  <si>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</si>
  <si>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</si>
  <si>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</si>
  <si>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</si>
  <si>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</si>
  <si>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</si>
  <si>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</si>
  <si>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</si>
  <si>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</si>
  <si>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</si>
  <si>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</si>
  <si>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</si>
  <si>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</si>
  <si>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</si>
  <si>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</si>
  <si>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</si>
  <si>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</si>
  <si>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</si>
  <si>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</si>
  <si>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</si>
  <si>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</si>
  <si>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</si>
  <si>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</si>
  <si>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</si>
  <si>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</si>
  <si>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</si>
  <si>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</si>
  <si>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</si>
  <si>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</si>
  <si>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</si>
  <si>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</si>
  <si>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</si>
  <si>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</si>
  <si>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</si>
  <si>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</si>
  <si>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</si>
  <si>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</si>
  <si>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</si>
  <si>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</si>
  <si>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</si>
  <si>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</si>
  <si>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</si>
  <si>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</si>
  <si>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</si>
  <si>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</si>
  <si>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</si>
  <si>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</si>
  <si>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</si>
  <si>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</si>
  <si>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</si>
  <si>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arr_biomass_c_ag_converted_away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</si>
  <si>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</si>
  <si>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</si>
  <si>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</si>
  <si>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</si>
  <si>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</si>
  <si>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</si>
  <si>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</si>
  <si>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</si>
  <si>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</si>
  <si>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</si>
  <si>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</si>
  <si>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</si>
  <si>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</si>
  <si>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</si>
  <si>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</si>
  <si>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</si>
  <si>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</si>
  <si>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</si>
  <si>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</si>
  <si>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arr_orig_biomass_c_ag_available_from_conversion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</si>
  <si>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</si>
  <si>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</si>
  <si>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</si>
  <si>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</si>
  <si>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</si>
  <si>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</si>
  <si>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</si>
  <si>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</si>
  <si>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</si>
  <si>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</si>
  <si>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arr_orig_biomass_c_average_per_area_no_ds</t>
  </si>
  <si>
    <t>vec_total_removals_met</t>
  </si>
  <si>
    <t>vec_sf_nominal_initial</t>
  </si>
  <si>
    <t>vec_area_protected_young</t>
  </si>
  <si>
    <t>vec_biomass_c_ag_min_reqd_per_area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</si>
</sst>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2" borderId="0" xfId="0" applyFont="1" applyFill="1"/>
    <xf numFmtId="0" fontId="3" fillId="1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M158"/>
  <sheetViews>
    <sheetView tabSelected="1" topLeftCell="A31" zoomScaleNormal="95" workbookViewId="0">
      <selection activeCell="G66" sqref="G66"/>
    </sheetView>
  </sheetViews>
  <sheetFormatPr baseColWidth="10" defaultRowHeight="16" x14ac:dyDescent="0.2"/>
  <cols>
    <col min="1" max="1" width="62.1640625" style="33" customWidth="1"/>
    <col min="2" max="2" width="14" style="36" customWidth="1"/>
    <col min="3" max="3" width="4.1640625" style="32" customWidth="1"/>
    <col min="4" max="4" width="27" style="22" customWidth="1"/>
    <col min="5" max="5" width="44" style="10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8" width="14.6640625" customWidth="1"/>
    <col min="29" max="31" width="14.1640625" customWidth="1"/>
    <col min="32" max="32" width="4.1640625" customWidth="1"/>
    <col min="33" max="33" width="3.33203125" customWidth="1"/>
  </cols>
  <sheetData>
    <row r="1" spans="1:39" s="7" customFormat="1" x14ac:dyDescent="0.2">
      <c r="A1" s="33"/>
      <c r="B1" s="36"/>
      <c r="C1" s="32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9" s="7" customFormat="1" x14ac:dyDescent="0.2">
      <c r="A2" s="33"/>
      <c r="B2" s="36"/>
      <c r="C2" s="32"/>
      <c r="D2" s="22"/>
      <c r="E2" s="10"/>
      <c r="F2" s="5" t="s">
        <v>60</v>
      </c>
      <c r="G2" s="5" t="s">
        <v>62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</row>
    <row r="3" spans="1:39" s="7" customFormat="1" x14ac:dyDescent="0.2">
      <c r="A3" s="33"/>
      <c r="B3" s="36"/>
      <c r="C3" s="32"/>
      <c r="D3" s="22"/>
      <c r="E3" s="10"/>
      <c r="F3" s="5"/>
      <c r="G3" s="5" t="s">
        <v>63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9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C4" s="30" t="s">
        <v>89</v>
      </c>
      <c r="AD4" s="30"/>
      <c r="AE4" s="30"/>
      <c r="AJ4" t="s">
        <v>94</v>
      </c>
      <c r="AK4" t="s">
        <v>96</v>
      </c>
      <c r="AL4" t="s">
        <v>98</v>
      </c>
      <c r="AM4" t="s">
        <v>100</v>
      </c>
    </row>
    <row r="5" spans="1:39" ht="36" customHeight="1" x14ac:dyDescent="0.2">
      <c r="A5" s="33" t="s">
        <v>155</v>
      </c>
      <c r="B5" s="36" t="s">
        <v>161</v>
      </c>
      <c r="D5" s="31" t="s">
        <v>153</v>
      </c>
      <c r="E5" s="31" t="s">
        <v>154</v>
      </c>
      <c r="F5" s="29" t="s">
        <v>51</v>
      </c>
      <c r="G5" s="29"/>
      <c r="H5" s="17"/>
      <c r="I5" s="29" t="s">
        <v>64</v>
      </c>
      <c r="J5" s="29"/>
      <c r="L5" s="29" t="s">
        <v>65</v>
      </c>
      <c r="M5" s="29"/>
      <c r="O5" s="29" t="s">
        <v>78</v>
      </c>
      <c r="P5" s="29"/>
      <c r="R5" s="29" t="s">
        <v>83</v>
      </c>
      <c r="S5" s="29"/>
      <c r="U5" s="29" t="s">
        <v>84</v>
      </c>
      <c r="V5" s="29"/>
      <c r="X5" s="29" t="s">
        <v>135</v>
      </c>
      <c r="Y5" s="29"/>
      <c r="AB5" s="49" t="s">
        <v>235</v>
      </c>
      <c r="AC5" s="21" t="s">
        <v>33</v>
      </c>
      <c r="AD5" s="21" t="s">
        <v>38</v>
      </c>
      <c r="AE5" s="21" t="s">
        <v>41</v>
      </c>
      <c r="AJ5" t="s">
        <v>94</v>
      </c>
      <c r="AK5" t="s">
        <v>96</v>
      </c>
      <c r="AL5" t="s">
        <v>99</v>
      </c>
      <c r="AM5" t="s">
        <v>101</v>
      </c>
    </row>
    <row r="6" spans="1:39" ht="51" x14ac:dyDescent="0.2">
      <c r="B6" s="39" t="s">
        <v>163</v>
      </c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C6" s="19">
        <v>0</v>
      </c>
      <c r="AD6" s="19">
        <f>SUM(AC$6:AC6)</f>
        <v>0</v>
      </c>
      <c r="AE6" s="19">
        <v>2</v>
      </c>
      <c r="AJ6" t="s">
        <v>94</v>
      </c>
      <c r="AK6" t="s">
        <v>97</v>
      </c>
      <c r="AL6" t="s">
        <v>98</v>
      </c>
      <c r="AM6" t="s">
        <v>102</v>
      </c>
    </row>
    <row r="7" spans="1:39" ht="17" x14ac:dyDescent="0.2">
      <c r="A7" s="46" t="s">
        <v>156</v>
      </c>
      <c r="B7" s="40" t="s">
        <v>175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AC7" s="19">
        <v>0.01</v>
      </c>
      <c r="AD7" s="19">
        <f>SUM(AC$6:AC7)</f>
        <v>0.01</v>
      </c>
      <c r="AE7" s="19">
        <v>2</v>
      </c>
      <c r="AJ7" t="s">
        <v>94</v>
      </c>
      <c r="AK7" t="s">
        <v>97</v>
      </c>
      <c r="AL7" t="s">
        <v>99</v>
      </c>
      <c r="AM7" t="s">
        <v>103</v>
      </c>
    </row>
    <row r="8" spans="1:39" ht="17" x14ac:dyDescent="0.2">
      <c r="A8" s="46" t="s">
        <v>157</v>
      </c>
      <c r="B8" s="4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249795</v>
      </c>
      <c r="AC8" s="19">
        <v>0.05</v>
      </c>
      <c r="AD8" s="19">
        <f>SUM(AC$6:AC8)</f>
        <v>6.0000000000000005E-2</v>
      </c>
      <c r="AE8" s="19">
        <v>2</v>
      </c>
      <c r="AJ8" t="s">
        <v>95</v>
      </c>
      <c r="AK8" t="s">
        <v>96</v>
      </c>
      <c r="AL8" t="s">
        <v>99</v>
      </c>
      <c r="AM8" t="s">
        <v>104</v>
      </c>
    </row>
    <row r="9" spans="1:39" ht="17" x14ac:dyDescent="0.2">
      <c r="A9" s="46" t="s">
        <v>225</v>
      </c>
      <c r="B9" s="4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105</v>
      </c>
      <c r="AC9" s="19">
        <v>0.12</v>
      </c>
      <c r="AD9" s="19">
        <f>SUM(AC$6:AC9)</f>
        <v>0.18</v>
      </c>
      <c r="AE9" s="19">
        <v>2</v>
      </c>
      <c r="AJ9" t="s">
        <v>95</v>
      </c>
      <c r="AK9" t="s">
        <v>97</v>
      </c>
      <c r="AL9" t="s">
        <v>99</v>
      </c>
      <c r="AM9" t="s">
        <v>105</v>
      </c>
    </row>
    <row r="10" spans="1:39" ht="34" x14ac:dyDescent="0.2">
      <c r="A10" s="46" t="s">
        <v>224</v>
      </c>
      <c r="B10" s="40" t="s">
        <v>175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AC10" s="19">
        <v>0.2</v>
      </c>
      <c r="AD10" s="19">
        <f>SUM(AC$6:AC10)</f>
        <v>0.38</v>
      </c>
      <c r="AE10" s="19">
        <v>20</v>
      </c>
    </row>
    <row r="11" spans="1:39" ht="17" x14ac:dyDescent="0.2">
      <c r="A11" s="46" t="s">
        <v>222</v>
      </c>
      <c r="B11" s="40" t="s">
        <v>175</v>
      </c>
      <c r="E11" s="10" t="s">
        <v>113</v>
      </c>
      <c r="G11" s="4">
        <f>MAX(G10-G25,0)</f>
        <v>0</v>
      </c>
      <c r="J11" s="4">
        <f>MAX(J10-J25,0)</f>
        <v>0</v>
      </c>
      <c r="M11" s="4">
        <f>MAX(M10-M25,0)</f>
        <v>0</v>
      </c>
      <c r="P11" s="4">
        <f>MAX(P10-P25,0)</f>
        <v>0</v>
      </c>
      <c r="S11" s="4">
        <f>MAX(S10-S25,0)</f>
        <v>0</v>
      </c>
      <c r="V11" s="4">
        <f>MAX(V10-V25,0)</f>
        <v>0</v>
      </c>
      <c r="Y11" s="4">
        <f>MAX(Y10-Y25,0)</f>
        <v>0</v>
      </c>
      <c r="AC11" s="19">
        <v>0.2</v>
      </c>
      <c r="AD11" s="19">
        <f>SUM(AC$6:AC11)</f>
        <v>0.58000000000000007</v>
      </c>
      <c r="AE11" s="19">
        <v>20</v>
      </c>
    </row>
    <row r="12" spans="1:39" ht="17" x14ac:dyDescent="0.2">
      <c r="A12" s="46" t="s">
        <v>223</v>
      </c>
      <c r="B12" s="4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43</v>
      </c>
      <c r="Y12" s="4">
        <v>43</v>
      </c>
      <c r="AC12" s="19">
        <v>0.36</v>
      </c>
      <c r="AD12" s="19">
        <f>SUM(AC$6:AC12)</f>
        <v>0.94000000000000006</v>
      </c>
      <c r="AE12" s="19">
        <v>20</v>
      </c>
    </row>
    <row r="13" spans="1:39" ht="17" customHeight="1" x14ac:dyDescent="0.2">
      <c r="A13" s="46" t="s">
        <v>158</v>
      </c>
      <c r="B13" s="40" t="s">
        <v>175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249255</v>
      </c>
      <c r="AC13" s="19"/>
      <c r="AD13" s="19"/>
      <c r="AE13" s="19"/>
    </row>
    <row r="14" spans="1:39" ht="32" customHeight="1" x14ac:dyDescent="0.2">
      <c r="A14" s="46" t="s">
        <v>226</v>
      </c>
      <c r="B14" s="4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AC14" s="19">
        <v>0.6</v>
      </c>
      <c r="AD14" s="19">
        <f>SUM(AC$6:AC14)</f>
        <v>1.54</v>
      </c>
      <c r="AE14" s="19">
        <v>20</v>
      </c>
    </row>
    <row r="15" spans="1:39" ht="32" customHeight="1" x14ac:dyDescent="0.2">
      <c r="A15" s="46" t="s">
        <v>251</v>
      </c>
      <c r="B15" s="41" t="s">
        <v>162</v>
      </c>
      <c r="D15" s="22" t="s">
        <v>250</v>
      </c>
      <c r="E15" s="10" t="s">
        <v>249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AC15" s="19"/>
      <c r="AD15" s="19"/>
      <c r="AE15" s="19"/>
    </row>
    <row r="16" spans="1:39" ht="51" x14ac:dyDescent="0.2">
      <c r="A16" s="46" t="s">
        <v>227</v>
      </c>
      <c r="B16" s="41" t="s">
        <v>162</v>
      </c>
      <c r="E16" s="10" t="s">
        <v>230</v>
      </c>
      <c r="F16" s="4">
        <v>1E-3</v>
      </c>
      <c r="I16" s="4">
        <v>0.3</v>
      </c>
      <c r="L16" s="4">
        <v>0.3</v>
      </c>
      <c r="O16" s="4">
        <v>0.3</v>
      </c>
      <c r="R16" s="4">
        <v>0.3</v>
      </c>
      <c r="U16" s="4">
        <v>0.3</v>
      </c>
      <c r="X16" s="4">
        <v>0.3</v>
      </c>
      <c r="AC16" s="19">
        <v>1.8</v>
      </c>
      <c r="AD16" s="19">
        <f>SUM(AC$6:AC16)</f>
        <v>3.34</v>
      </c>
      <c r="AE16" s="19">
        <v>20</v>
      </c>
    </row>
    <row r="17" spans="1:31" ht="34" x14ac:dyDescent="0.2">
      <c r="A17" s="46" t="s">
        <v>228</v>
      </c>
      <c r="B17" s="41" t="s">
        <v>162</v>
      </c>
      <c r="D17" s="28" t="s">
        <v>118</v>
      </c>
      <c r="E17" s="10" t="s">
        <v>117</v>
      </c>
      <c r="F17" s="4">
        <v>0.2</v>
      </c>
      <c r="AC17" s="19">
        <v>3</v>
      </c>
      <c r="AD17" s="19">
        <f>SUM(AC$6:AC17)</f>
        <v>6.34</v>
      </c>
      <c r="AE17" s="19">
        <v>20</v>
      </c>
    </row>
    <row r="18" spans="1:31" ht="51" x14ac:dyDescent="0.2">
      <c r="A18" s="46" t="s">
        <v>229</v>
      </c>
      <c r="B18" s="41" t="s">
        <v>162</v>
      </c>
      <c r="D18" s="28"/>
      <c r="E18" s="10" t="s">
        <v>138</v>
      </c>
      <c r="F18" s="4">
        <v>0.67</v>
      </c>
      <c r="AC18" s="19">
        <v>6</v>
      </c>
      <c r="AD18" s="19">
        <f>SUM(AC$6:AC18)</f>
        <v>12.34</v>
      </c>
      <c r="AE18" s="19">
        <v>20</v>
      </c>
    </row>
    <row r="19" spans="1:31" ht="17" x14ac:dyDescent="0.2">
      <c r="A19" s="46" t="s">
        <v>231</v>
      </c>
      <c r="B19" s="41" t="s">
        <v>162</v>
      </c>
      <c r="E19" s="10" t="s">
        <v>116</v>
      </c>
      <c r="F19" s="4">
        <v>150</v>
      </c>
      <c r="G19" s="4">
        <v>100</v>
      </c>
      <c r="AC19" s="19">
        <v>10</v>
      </c>
      <c r="AD19" s="19">
        <f>SUM(AC$6:AC19)</f>
        <v>22.34</v>
      </c>
      <c r="AE19" s="19">
        <v>20</v>
      </c>
    </row>
    <row r="20" spans="1:31" ht="17" x14ac:dyDescent="0.2">
      <c r="A20" s="46" t="s">
        <v>233</v>
      </c>
      <c r="B20" s="41" t="s">
        <v>162</v>
      </c>
      <c r="E20" s="10" t="s">
        <v>174</v>
      </c>
      <c r="F20" s="4">
        <v>0.3</v>
      </c>
      <c r="G20" s="4">
        <v>0.25</v>
      </c>
      <c r="AC20" s="19"/>
      <c r="AD20" s="19"/>
      <c r="AE20" s="19"/>
    </row>
    <row r="21" spans="1:31" ht="17" x14ac:dyDescent="0.2">
      <c r="A21" s="46" t="s">
        <v>283</v>
      </c>
      <c r="B21" s="42" t="s">
        <v>175</v>
      </c>
      <c r="E21" s="10" t="s">
        <v>115</v>
      </c>
      <c r="F21" s="4">
        <f>F$19*$F$16</f>
        <v>0.15</v>
      </c>
      <c r="G21" s="4">
        <f>G$19*$F$16</f>
        <v>0.1</v>
      </c>
      <c r="AC21" s="19">
        <v>12</v>
      </c>
      <c r="AD21" s="19">
        <f>SUM(AC$6:AC21)</f>
        <v>34.340000000000003</v>
      </c>
      <c r="AE21" s="19">
        <v>20</v>
      </c>
    </row>
    <row r="22" spans="1:31" ht="17" x14ac:dyDescent="0.2">
      <c r="A22" s="46" t="s">
        <v>232</v>
      </c>
      <c r="B22" s="42" t="s">
        <v>175</v>
      </c>
      <c r="E22" s="10" t="s">
        <v>176</v>
      </c>
      <c r="F22" s="4">
        <f>F19-F21</f>
        <v>149.85</v>
      </c>
      <c r="G22" s="4">
        <f>G19-G21</f>
        <v>99.9</v>
      </c>
      <c r="AC22" s="19">
        <v>13.5</v>
      </c>
      <c r="AD22" s="19">
        <f>SUM(AC$6:AC22)</f>
        <v>47.84</v>
      </c>
      <c r="AE22" s="19">
        <v>20</v>
      </c>
    </row>
    <row r="23" spans="1:31" x14ac:dyDescent="0.2">
      <c r="AC23" s="19">
        <v>12</v>
      </c>
      <c r="AD23" s="19">
        <f>SUM(AC$6:AC23)</f>
        <v>59.84</v>
      </c>
      <c r="AE23" s="19">
        <v>20</v>
      </c>
    </row>
    <row r="24" spans="1:31" ht="17" x14ac:dyDescent="0.2">
      <c r="A24" s="46" t="s">
        <v>159</v>
      </c>
      <c r="B24" s="41" t="s">
        <v>162</v>
      </c>
      <c r="E24" s="10" t="s">
        <v>52</v>
      </c>
      <c r="F24" s="4">
        <v>5000</v>
      </c>
      <c r="G24" s="4">
        <v>50000</v>
      </c>
      <c r="I24" s="4">
        <v>5000</v>
      </c>
      <c r="J24" s="4">
        <v>50000</v>
      </c>
      <c r="L24" s="4">
        <v>5500</v>
      </c>
      <c r="M24" s="4">
        <v>50000</v>
      </c>
      <c r="O24" s="4">
        <v>6000</v>
      </c>
      <c r="P24" s="4">
        <v>50000</v>
      </c>
      <c r="R24" s="4">
        <v>6500</v>
      </c>
      <c r="S24" s="4">
        <v>49000</v>
      </c>
      <c r="U24" s="4">
        <v>7200</v>
      </c>
      <c r="V24" s="4">
        <v>49500</v>
      </c>
      <c r="X24" s="4">
        <v>7200</v>
      </c>
      <c r="Y24" s="4">
        <v>49500</v>
      </c>
      <c r="AC24" s="19">
        <v>10</v>
      </c>
      <c r="AD24" s="19">
        <f>SUM(AC$6:AC24)</f>
        <v>69.84</v>
      </c>
      <c r="AE24" s="19">
        <v>20</v>
      </c>
    </row>
    <row r="25" spans="1:31" ht="17" x14ac:dyDescent="0.2">
      <c r="A25" s="46" t="s">
        <v>282</v>
      </c>
      <c r="B25" s="43" t="s">
        <v>164</v>
      </c>
      <c r="E25" s="14" t="s">
        <v>108</v>
      </c>
      <c r="G25" s="4">
        <f>MAX(G$24-G$13, 0)</f>
        <v>0</v>
      </c>
      <c r="J25" s="4">
        <f>MAX(J$24-J$13, 0)</f>
        <v>0</v>
      </c>
      <c r="M25" s="4">
        <f>MAX(M$24-M$13, 0)</f>
        <v>0</v>
      </c>
      <c r="P25" s="4">
        <f>MAX(P$24-P$13, 0)</f>
        <v>0</v>
      </c>
      <c r="S25" s="4">
        <f>MAX(S$24-S$13, 0)</f>
        <v>0</v>
      </c>
      <c r="V25" s="4">
        <f>MAX(V$24-V$13, 0)</f>
        <v>0</v>
      </c>
      <c r="Y25" s="4">
        <f>MAX(Y$24-Y$13, 0)</f>
        <v>0</v>
      </c>
      <c r="AC25" s="19">
        <v>6</v>
      </c>
      <c r="AD25" s="19">
        <f>SUM(AC$6:AC25)</f>
        <v>75.84</v>
      </c>
      <c r="AE25" s="19">
        <v>20</v>
      </c>
    </row>
    <row r="26" spans="1:31" ht="17" x14ac:dyDescent="0.2">
      <c r="A26" s="46" t="s">
        <v>160</v>
      </c>
      <c r="B26" s="43" t="s">
        <v>164</v>
      </c>
      <c r="E26" s="14" t="s">
        <v>144</v>
      </c>
      <c r="F26" s="4">
        <f>MIN(F13,F24)</f>
        <v>5000</v>
      </c>
      <c r="G26" s="4">
        <f>MIN(G13,G24)</f>
        <v>50000</v>
      </c>
      <c r="I26" s="4">
        <f>MIN(I13,I24)</f>
        <v>5000</v>
      </c>
      <c r="J26" s="4">
        <f>MIN(J13,J24)</f>
        <v>50000</v>
      </c>
      <c r="L26" s="4">
        <f>MIN(L13,L24)</f>
        <v>5500</v>
      </c>
      <c r="M26" s="4">
        <f>MIN(M13,M24)</f>
        <v>50000</v>
      </c>
      <c r="O26" s="4">
        <f>MIN(O13,O24)</f>
        <v>6000</v>
      </c>
      <c r="P26" s="4">
        <f>MIN(P13,P24)</f>
        <v>50000</v>
      </c>
      <c r="R26" s="4">
        <f>MIN(R13,R24)</f>
        <v>6500</v>
      </c>
      <c r="S26" s="4">
        <f>MIN(S13,S24)</f>
        <v>49000</v>
      </c>
      <c r="U26" s="4">
        <f>MIN(U13,U24)</f>
        <v>7200</v>
      </c>
      <c r="V26" s="4">
        <f>MIN(V13,V24)</f>
        <v>49500</v>
      </c>
      <c r="X26" s="4">
        <f>MIN(X13,X24)</f>
        <v>7200</v>
      </c>
      <c r="Y26" s="4">
        <f>MIN(Y13,Y24)</f>
        <v>49500</v>
      </c>
      <c r="AC26" s="19">
        <v>3</v>
      </c>
      <c r="AD26" s="19">
        <f>SUM(AC$6:AC26)</f>
        <v>78.84</v>
      </c>
      <c r="AE26" s="19">
        <v>20</v>
      </c>
    </row>
    <row r="27" spans="1:31" ht="17" x14ac:dyDescent="0.2">
      <c r="E27" s="15" t="s">
        <v>170</v>
      </c>
      <c r="F27" s="8"/>
      <c r="G27" s="8"/>
      <c r="I27" s="8"/>
      <c r="J27" s="8"/>
      <c r="L27" s="8"/>
      <c r="M27" s="8"/>
      <c r="O27" s="8"/>
      <c r="P27" s="8"/>
      <c r="R27" s="8"/>
      <c r="S27" s="8"/>
      <c r="U27" s="8"/>
      <c r="V27" s="8"/>
      <c r="X27" s="8"/>
      <c r="Y27" s="8"/>
      <c r="AC27" s="19">
        <v>1.8</v>
      </c>
      <c r="AD27" s="19">
        <f>SUM(AC$6:AC27)</f>
        <v>80.64</v>
      </c>
      <c r="AE27" s="19">
        <v>20</v>
      </c>
    </row>
    <row r="28" spans="1:31" ht="73" customHeight="1" x14ac:dyDescent="0.2">
      <c r="A28" s="46" t="s">
        <v>281</v>
      </c>
      <c r="B28" s="41" t="s">
        <v>162</v>
      </c>
      <c r="D28" s="28" t="s">
        <v>171</v>
      </c>
      <c r="E28" s="34" t="s">
        <v>68</v>
      </c>
      <c r="F28" s="4">
        <v>0.3</v>
      </c>
      <c r="G28" s="4">
        <v>0.92</v>
      </c>
    </row>
    <row r="29" spans="1:31" ht="73" customHeight="1" x14ac:dyDescent="0.2">
      <c r="A29" s="46" t="s">
        <v>234</v>
      </c>
      <c r="B29" s="42" t="s">
        <v>175</v>
      </c>
      <c r="D29" s="28"/>
      <c r="E29" s="34" t="s">
        <v>172</v>
      </c>
      <c r="F29" s="4">
        <f>F28/F19</f>
        <v>2E-3</v>
      </c>
      <c r="G29" s="4">
        <f>F29</f>
        <v>2E-3</v>
      </c>
    </row>
    <row r="30" spans="1:31" ht="18" customHeight="1" x14ac:dyDescent="0.2">
      <c r="D30" s="35"/>
    </row>
    <row r="31" spans="1:31" ht="17" x14ac:dyDescent="0.2">
      <c r="E31" s="15" t="s">
        <v>56</v>
      </c>
      <c r="F31" s="8"/>
      <c r="G31" s="8"/>
      <c r="I31" s="8"/>
      <c r="J31" s="8"/>
      <c r="L31" s="8"/>
      <c r="M31" s="8"/>
      <c r="O31" s="8"/>
      <c r="P31" s="8"/>
      <c r="R31" s="8"/>
      <c r="S31" s="8"/>
      <c r="U31" s="8"/>
      <c r="V31" s="8"/>
      <c r="X31" s="8"/>
      <c r="Y31" s="8"/>
    </row>
    <row r="32" spans="1:31" ht="17" x14ac:dyDescent="0.2">
      <c r="A32" s="46" t="s">
        <v>169</v>
      </c>
      <c r="B32" s="41" t="s">
        <v>162</v>
      </c>
      <c r="E32" s="10" t="s">
        <v>53</v>
      </c>
      <c r="F32" s="4">
        <v>2000000</v>
      </c>
      <c r="I32" s="4">
        <v>2050000</v>
      </c>
      <c r="L32" s="4">
        <v>2110000</v>
      </c>
      <c r="O32" s="4">
        <v>2210000</v>
      </c>
      <c r="R32" s="4">
        <v>3000000</v>
      </c>
      <c r="U32" s="4">
        <v>25000000</v>
      </c>
      <c r="X32" s="4">
        <v>2520000</v>
      </c>
    </row>
    <row r="34" spans="1:26" ht="17" x14ac:dyDescent="0.2">
      <c r="E34" s="11" t="s">
        <v>57</v>
      </c>
      <c r="F34" s="12"/>
      <c r="G34" s="12"/>
      <c r="I34" s="12"/>
      <c r="J34" s="12"/>
      <c r="L34" s="12"/>
      <c r="M34" s="12"/>
      <c r="O34" s="12"/>
      <c r="P34" s="12"/>
      <c r="R34" s="12"/>
      <c r="S34" s="12"/>
      <c r="U34" s="12"/>
      <c r="V34" s="12"/>
      <c r="X34" s="12"/>
      <c r="Y34" s="12"/>
    </row>
    <row r="35" spans="1:26" ht="17" x14ac:dyDescent="0.2">
      <c r="E35" s="15" t="s">
        <v>139</v>
      </c>
      <c r="F35" s="8" t="s">
        <v>124</v>
      </c>
      <c r="G35" s="8"/>
      <c r="I35" s="4" t="s">
        <v>126</v>
      </c>
      <c r="L35" s="4" t="s">
        <v>126</v>
      </c>
      <c r="N35" s="5" t="s">
        <v>125</v>
      </c>
      <c r="O35" s="4" t="s">
        <v>126</v>
      </c>
    </row>
    <row r="36" spans="1:26" ht="17" x14ac:dyDescent="0.2">
      <c r="A36" s="33" t="s">
        <v>180</v>
      </c>
      <c r="E36" s="14" t="s">
        <v>88</v>
      </c>
      <c r="G36" s="4">
        <v>0</v>
      </c>
      <c r="H36" s="5">
        <f>SUM(J$36:J36)</f>
        <v>0</v>
      </c>
      <c r="J36" s="4">
        <v>0</v>
      </c>
      <c r="K36" s="5">
        <f>SUM(M$36:M36)</f>
        <v>0</v>
      </c>
      <c r="M36" s="4">
        <v>0</v>
      </c>
      <c r="N36" s="5">
        <f>SUM(P$36:P36)</f>
        <v>0</v>
      </c>
      <c r="P36" s="4">
        <v>0</v>
      </c>
      <c r="Q36" s="5">
        <f>SUM(S$36:S36)</f>
        <v>0</v>
      </c>
      <c r="S36" s="4">
        <v>0</v>
      </c>
      <c r="T36" s="5">
        <f>SUM(V$36:V36)</f>
        <v>0</v>
      </c>
      <c r="V36" s="4">
        <v>0</v>
      </c>
      <c r="W36" s="5">
        <f>SUM(Y$36:Y36)</f>
        <v>0</v>
      </c>
      <c r="Y36" s="4">
        <v>0</v>
      </c>
    </row>
    <row r="37" spans="1:26" ht="17" x14ac:dyDescent="0.2">
      <c r="A37" s="47" t="s">
        <v>181</v>
      </c>
      <c r="B37" s="37" t="s">
        <v>175</v>
      </c>
      <c r="E37" s="14" t="s">
        <v>87</v>
      </c>
      <c r="F37" s="4">
        <v>0</v>
      </c>
      <c r="G37" s="4">
        <f>G12</f>
        <v>85</v>
      </c>
      <c r="H37" s="5">
        <f>SUM(G$36:G37)</f>
        <v>85</v>
      </c>
      <c r="I37" s="4">
        <f>IF(H37&gt;=J$11, IF(H36&lt;J$11, J$11-H36, 0),G37)</f>
        <v>0</v>
      </c>
      <c r="J37" s="4">
        <f>G37-I37</f>
        <v>85</v>
      </c>
      <c r="K37" s="5">
        <f>SUM(J$36:J37)</f>
        <v>85</v>
      </c>
      <c r="L37" s="4">
        <f>IF(K37&gt;=M$11, IF(K36&lt;M$11, M$11-K36, 0),J37)</f>
        <v>0</v>
      </c>
      <c r="M37" s="4">
        <f>J37-L37</f>
        <v>85</v>
      </c>
      <c r="N37" s="5">
        <f>SUM(M$36:M37)</f>
        <v>85</v>
      </c>
      <c r="O37" s="4">
        <f>IF(N37&gt;=P$11, IF(N36&lt;P$11, P$11-N36, 0),M37)</f>
        <v>0</v>
      </c>
      <c r="P37" s="4">
        <f>M37-O37</f>
        <v>85</v>
      </c>
      <c r="Q37" s="5">
        <f>SUM(P$36:P37)</f>
        <v>85</v>
      </c>
      <c r="R37" s="4">
        <f>IF(Q37&gt;=S$11, IF(Q36&lt;S$11, S$11-Q36, 0),P37)</f>
        <v>0</v>
      </c>
      <c r="S37" s="4">
        <f>P37-R37</f>
        <v>85</v>
      </c>
      <c r="T37" s="5">
        <f>SUM(S$36:S37)</f>
        <v>85</v>
      </c>
      <c r="U37" s="4">
        <f>IF(T37&gt;=V$11, IF(T36&lt;V$11, V$11-T36, 0),S37)</f>
        <v>0</v>
      </c>
      <c r="V37" s="4">
        <f>S37-U37</f>
        <v>85</v>
      </c>
      <c r="W37" s="5">
        <f>SUM(V$36:V37)</f>
        <v>85</v>
      </c>
      <c r="X37" s="4">
        <f>IF(W37&gt;=Y$11, IF(W36&lt;Y$11, Y$11-W36, 0),V37)</f>
        <v>0</v>
      </c>
      <c r="Y37" s="4">
        <f>V37-X37</f>
        <v>85</v>
      </c>
    </row>
    <row r="38" spans="1:26" ht="17" x14ac:dyDescent="0.2">
      <c r="A38" s="48"/>
      <c r="B38" s="37"/>
      <c r="E38" s="14" t="s">
        <v>69</v>
      </c>
      <c r="F38" s="4">
        <v>0</v>
      </c>
      <c r="G38" s="4">
        <v>0</v>
      </c>
      <c r="H38" s="5">
        <f>SUM(G$36:G38)</f>
        <v>85</v>
      </c>
      <c r="I38" s="4">
        <f>IF(H38&gt;=J$11, IF(H37&lt;J$11, J$11-H37, 0),G38)</f>
        <v>0</v>
      </c>
      <c r="J38" s="4">
        <f>J12</f>
        <v>80</v>
      </c>
      <c r="K38" s="5">
        <f>SUM(J$36:J38)</f>
        <v>165</v>
      </c>
      <c r="L38" s="4">
        <f>IF(K38&gt;=M$11, IF(K37&lt;M$11, M$11-K37, 0),J38)</f>
        <v>0</v>
      </c>
      <c r="M38" s="4">
        <f>J38-L38</f>
        <v>80</v>
      </c>
      <c r="N38" s="5">
        <f>SUM(M$36:M38)</f>
        <v>165</v>
      </c>
      <c r="O38" s="4">
        <f t="shared" ref="O38:O40" si="0">IF(N38&gt;=P$11, IF(N37&lt;P$11, P$11-N37, 0),M38)</f>
        <v>0</v>
      </c>
      <c r="P38" s="4">
        <f>M38-O38</f>
        <v>80</v>
      </c>
      <c r="Q38" s="5">
        <f>SUM(P$36:P38)</f>
        <v>165</v>
      </c>
      <c r="R38" s="4">
        <f t="shared" ref="R38:R40" si="1">IF(Q38&gt;=S$11, IF(Q37&lt;S$11, S$11-Q37, 0),P38)</f>
        <v>0</v>
      </c>
      <c r="S38" s="4">
        <f>P38-R38</f>
        <v>80</v>
      </c>
      <c r="T38" s="5">
        <f>SUM(S$36:S38)</f>
        <v>165</v>
      </c>
      <c r="U38" s="4">
        <f t="shared" ref="U38:U40" si="2">IF(T38&gt;=V$11, IF(T37&lt;V$11, V$11-T37, 0),S38)</f>
        <v>0</v>
      </c>
      <c r="V38" s="4">
        <f>S38-U38</f>
        <v>80</v>
      </c>
      <c r="W38" s="5">
        <f>SUM(V$36:V38)</f>
        <v>165</v>
      </c>
      <c r="X38" s="4">
        <f t="shared" ref="X38:X40" si="3">IF(W38&gt;=Y$11, IF(W37&lt;Y$11, Y$11-W37, 0),V38)</f>
        <v>0</v>
      </c>
      <c r="Y38" s="4">
        <f>V38-X38</f>
        <v>80</v>
      </c>
    </row>
    <row r="39" spans="1:26" ht="17" x14ac:dyDescent="0.2">
      <c r="A39" s="48"/>
      <c r="B39" s="37"/>
      <c r="E39" s="14" t="s">
        <v>79</v>
      </c>
      <c r="F39" s="4">
        <v>0</v>
      </c>
      <c r="G39" s="4">
        <v>0</v>
      </c>
      <c r="H39" s="5">
        <f>SUM(G$36:G39)</f>
        <v>85</v>
      </c>
      <c r="I39" s="4">
        <f>IF(H39&gt;=J$11, IF(H38&lt;J$11, J$11-H38, 0),G39)</f>
        <v>0</v>
      </c>
      <c r="J39" s="4">
        <v>0</v>
      </c>
      <c r="K39" s="5">
        <f>SUM(J$36:J39)</f>
        <v>165</v>
      </c>
      <c r="L39" s="4">
        <f t="shared" ref="L38:L40" si="4">IF(K39&gt;=M$11, IF(K38&lt;M$11, M$11-K38, 0),J39)</f>
        <v>0</v>
      </c>
      <c r="M39" s="4">
        <f>M12</f>
        <v>92</v>
      </c>
      <c r="N39" s="5">
        <f>SUM(M$36:M39)</f>
        <v>257</v>
      </c>
      <c r="O39" s="4">
        <f t="shared" si="0"/>
        <v>0</v>
      </c>
      <c r="P39" s="4">
        <f>M39-O39</f>
        <v>92</v>
      </c>
      <c r="Q39" s="5">
        <f>SUM(P$36:P39)</f>
        <v>257</v>
      </c>
      <c r="R39" s="4">
        <f t="shared" si="1"/>
        <v>0</v>
      </c>
      <c r="S39" s="4">
        <f>P39-R39</f>
        <v>92</v>
      </c>
      <c r="T39" s="5">
        <f>SUM(S$36:S39)</f>
        <v>257</v>
      </c>
      <c r="U39" s="4">
        <f t="shared" si="2"/>
        <v>0</v>
      </c>
      <c r="V39" s="4">
        <f>S39-U39</f>
        <v>92</v>
      </c>
      <c r="W39" s="5">
        <f>SUM(V$36:V39)</f>
        <v>257</v>
      </c>
      <c r="X39" s="4">
        <f t="shared" si="3"/>
        <v>0</v>
      </c>
      <c r="Y39" s="4">
        <f>V39-X39</f>
        <v>92</v>
      </c>
    </row>
    <row r="40" spans="1:26" ht="17" x14ac:dyDescent="0.2">
      <c r="A40" s="48"/>
      <c r="B40" s="37"/>
      <c r="E40" s="14" t="s">
        <v>80</v>
      </c>
      <c r="F40" s="4">
        <v>0</v>
      </c>
      <c r="G40" s="4">
        <v>0</v>
      </c>
      <c r="H40" s="5">
        <f>SUM(G$36:G40)</f>
        <v>85</v>
      </c>
      <c r="I40" s="4">
        <f>IF(H40&gt;=J$11, IF(H39&lt;J$11, J$11-H39, 0),G40)</f>
        <v>0</v>
      </c>
      <c r="J40" s="4">
        <v>0</v>
      </c>
      <c r="K40" s="5">
        <f>SUM(J$36:J40)</f>
        <v>165</v>
      </c>
      <c r="L40" s="4">
        <f t="shared" si="4"/>
        <v>0</v>
      </c>
      <c r="M40" s="4">
        <v>0</v>
      </c>
      <c r="N40" s="5">
        <f>SUM(M$36:M40)</f>
        <v>257</v>
      </c>
      <c r="O40" s="4">
        <f t="shared" si="0"/>
        <v>0</v>
      </c>
      <c r="P40" s="4">
        <f>P12</f>
        <v>43</v>
      </c>
      <c r="Q40" s="5">
        <f>SUM(P$36:P40)</f>
        <v>300</v>
      </c>
      <c r="R40" s="4">
        <f t="shared" si="1"/>
        <v>0</v>
      </c>
      <c r="S40" s="4">
        <f>P40-R40</f>
        <v>43</v>
      </c>
      <c r="T40" s="5">
        <f>SUM(S$36:S40)</f>
        <v>300</v>
      </c>
      <c r="U40" s="4">
        <f t="shared" si="2"/>
        <v>0</v>
      </c>
      <c r="V40" s="4">
        <f>S40-U40</f>
        <v>43</v>
      </c>
      <c r="W40" s="5">
        <f>SUM(V$36:V40)</f>
        <v>300</v>
      </c>
      <c r="X40" s="4">
        <f t="shared" si="3"/>
        <v>0</v>
      </c>
      <c r="Y40" s="4">
        <f>V40-X40</f>
        <v>43</v>
      </c>
    </row>
    <row r="41" spans="1:26" ht="17" x14ac:dyDescent="0.2">
      <c r="E41" s="14" t="s">
        <v>82</v>
      </c>
      <c r="Z41" t="s">
        <v>77</v>
      </c>
    </row>
    <row r="42" spans="1:26" ht="17" x14ac:dyDescent="0.2">
      <c r="A42" s="48" t="s">
        <v>192</v>
      </c>
      <c r="B42" s="37" t="s">
        <v>175</v>
      </c>
      <c r="E42" s="14" t="s">
        <v>196</v>
      </c>
      <c r="G42" s="4">
        <v>0</v>
      </c>
      <c r="J42" s="4">
        <f>IF(G37=0, 0, G94*I37/G37)</f>
        <v>0</v>
      </c>
      <c r="M42" s="4">
        <f>IF(J37=0, 0, J94*L37/J37)</f>
        <v>0</v>
      </c>
      <c r="P42" s="4">
        <f>IF(M37=0, 0, M94*O37/M37)</f>
        <v>0</v>
      </c>
      <c r="S42" s="4">
        <f>IF(P37=0, 0, P94*R37/P37)</f>
        <v>0</v>
      </c>
      <c r="V42" s="4">
        <f>IF(S37=0, 0, S94*U37/S37)</f>
        <v>0</v>
      </c>
      <c r="Y42" s="4">
        <f>IF(V37=0, 0, V94*X37/V37)</f>
        <v>0</v>
      </c>
    </row>
    <row r="43" spans="1:26" ht="17" x14ac:dyDescent="0.2">
      <c r="A43" s="48"/>
      <c r="B43" s="37"/>
      <c r="E43" s="14" t="s">
        <v>197</v>
      </c>
      <c r="G43" s="4">
        <v>0</v>
      </c>
      <c r="J43" s="4">
        <f>IF(G38=0, 0, G95*I38/G38)</f>
        <v>0</v>
      </c>
      <c r="M43" s="4">
        <f>IF(J38=0, 0, J95*L38/J38)</f>
        <v>0</v>
      </c>
      <c r="P43" s="4">
        <f>IF(M38=0, 0, M95*O38/M38)</f>
        <v>0</v>
      </c>
      <c r="S43" s="4">
        <f>IF(P38=0, 0, P95*R38/P38)</f>
        <v>0</v>
      </c>
      <c r="V43" s="4">
        <f>IF(S38=0, 0, S95*U38/S38)</f>
        <v>0</v>
      </c>
      <c r="Y43" s="4">
        <f>IF(V38=0, 0, V95*X38/V38)</f>
        <v>0</v>
      </c>
    </row>
    <row r="44" spans="1:26" ht="17" x14ac:dyDescent="0.2">
      <c r="A44" s="48"/>
      <c r="B44" s="37"/>
      <c r="E44" s="14" t="s">
        <v>198</v>
      </c>
      <c r="G44" s="4">
        <v>0</v>
      </c>
      <c r="J44" s="4">
        <f>IF(G39=0, 0, G96*I39/G39)</f>
        <v>0</v>
      </c>
      <c r="M44" s="4">
        <f>IF(J39=0, 0, J96*L39/J39)</f>
        <v>0</v>
      </c>
      <c r="P44" s="4">
        <f>IF(M39=0, 0, M96*O39/M39)</f>
        <v>0</v>
      </c>
      <c r="S44" s="4">
        <f>IF(P39=0, 0, P96*R39/P39)</f>
        <v>0</v>
      </c>
      <c r="V44" s="4">
        <f>IF(S39=0, 0, S96*U39/S39)</f>
        <v>0</v>
      </c>
      <c r="Y44" s="4">
        <f>IF(V39=0, 0, V96*X39/V39)</f>
        <v>0</v>
      </c>
    </row>
    <row r="45" spans="1:26" ht="17" x14ac:dyDescent="0.2">
      <c r="A45" s="48"/>
      <c r="B45" s="37"/>
      <c r="E45" s="14" t="s">
        <v>199</v>
      </c>
      <c r="G45" s="4">
        <v>0</v>
      </c>
      <c r="J45" s="4">
        <f>IF(G40=0, 0, G97*I40/G40)</f>
        <v>0</v>
      </c>
      <c r="M45" s="4">
        <f>IF(J40=0, 0, J97*L40/J40)</f>
        <v>0</v>
      </c>
      <c r="P45" s="4">
        <f>IF(M40=0, 0, M97*O40/M40)</f>
        <v>0</v>
      </c>
      <c r="S45" s="4">
        <f>IF(P40=0, 0, P97*R40/P40)</f>
        <v>0</v>
      </c>
      <c r="V45" s="4">
        <f>IF(S40=0, 0, S97*U40/S40)</f>
        <v>0</v>
      </c>
      <c r="Y45" s="4">
        <f>IF(V40=0, 0, V97*X40/V40)</f>
        <v>0</v>
      </c>
    </row>
    <row r="46" spans="1:26" x14ac:dyDescent="0.2">
      <c r="A46" s="46" t="s">
        <v>193</v>
      </c>
      <c r="B46" s="40" t="s">
        <v>175</v>
      </c>
      <c r="E46" s="14"/>
      <c r="G46" s="4">
        <f>SUM(G42:G45)</f>
        <v>0</v>
      </c>
      <c r="J46" s="4">
        <f>SUM(J42:J45)</f>
        <v>0</v>
      </c>
      <c r="M46" s="4">
        <f>SUM(M42:M45)</f>
        <v>0</v>
      </c>
      <c r="P46" s="4">
        <f>SUM(P42:P45)</f>
        <v>0</v>
      </c>
      <c r="S46" s="4">
        <f>SUM(S42:S45)</f>
        <v>0</v>
      </c>
      <c r="V46" s="4">
        <f>SUM(V42:V45)</f>
        <v>0</v>
      </c>
      <c r="Y46" s="4">
        <f>SUM(Y42:Y45)</f>
        <v>0</v>
      </c>
    </row>
    <row r="47" spans="1:26" ht="17" x14ac:dyDescent="0.2">
      <c r="E47" s="14" t="s">
        <v>82</v>
      </c>
      <c r="Z47" t="s">
        <v>77</v>
      </c>
    </row>
    <row r="48" spans="1:26" ht="17" x14ac:dyDescent="0.2">
      <c r="A48" s="48" t="s">
        <v>265</v>
      </c>
      <c r="B48" s="37" t="s">
        <v>175</v>
      </c>
      <c r="D48" s="28" t="s">
        <v>253</v>
      </c>
      <c r="E48" s="14" t="s">
        <v>252</v>
      </c>
      <c r="G48" s="4">
        <f>MIN(G42,G$15*F37)</f>
        <v>0</v>
      </c>
      <c r="J48" s="4">
        <f>MIN(J42,J$15*I37)</f>
        <v>0</v>
      </c>
      <c r="M48" s="4">
        <f>MIN(M42,M$15*L37)</f>
        <v>0</v>
      </c>
      <c r="P48" s="4">
        <f>MIN(P42,P$15*O37)</f>
        <v>0</v>
      </c>
      <c r="S48" s="4">
        <f>MIN(S42,S$15*R37)</f>
        <v>0</v>
      </c>
      <c r="V48" s="4">
        <f>MIN(V42,V$15*U37)</f>
        <v>0</v>
      </c>
      <c r="Y48" s="4">
        <f>MIN(Y42,Y$15*X37)</f>
        <v>0</v>
      </c>
    </row>
    <row r="49" spans="1:25" ht="17" x14ac:dyDescent="0.2">
      <c r="A49" s="48"/>
      <c r="B49" s="37"/>
      <c r="D49" s="28"/>
      <c r="E49" s="14" t="s">
        <v>254</v>
      </c>
      <c r="G49" s="4">
        <f t="shared" ref="G49" si="5">MIN(G43,G$15*F38)</f>
        <v>0</v>
      </c>
      <c r="J49" s="4">
        <f>MIN(J43,J$15*I38)</f>
        <v>0</v>
      </c>
      <c r="M49" s="4">
        <f t="shared" ref="M49" si="6">MIN(M43,M$15*L38)</f>
        <v>0</v>
      </c>
      <c r="P49" s="4">
        <f t="shared" ref="P49" si="7">MIN(P43,P$15*O38)</f>
        <v>0</v>
      </c>
      <c r="S49" s="4">
        <f t="shared" ref="S49" si="8">MIN(S43,S$15*R38)</f>
        <v>0</v>
      </c>
      <c r="V49" s="4">
        <f t="shared" ref="V49" si="9">MIN(V43,V$15*U38)</f>
        <v>0</v>
      </c>
      <c r="Y49" s="4">
        <f t="shared" ref="Y49" si="10">MIN(Y43,Y$15*X38)</f>
        <v>0</v>
      </c>
    </row>
    <row r="50" spans="1:25" ht="17" x14ac:dyDescent="0.2">
      <c r="A50" s="48"/>
      <c r="B50" s="37"/>
      <c r="D50" s="28"/>
      <c r="E50" s="14" t="s">
        <v>255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>MIN(P44,P$15*O39)</f>
        <v>0</v>
      </c>
      <c r="S50" s="4">
        <f>MIN(S44,S$15*R39)</f>
        <v>0</v>
      </c>
      <c r="V50" s="4">
        <f>MIN(V44,V$15*U39)</f>
        <v>0</v>
      </c>
      <c r="Y50" s="4">
        <f>MIN(Y44,Y$15*X39)</f>
        <v>0</v>
      </c>
    </row>
    <row r="51" spans="1:25" ht="17" x14ac:dyDescent="0.2">
      <c r="A51" s="48"/>
      <c r="B51" s="37"/>
      <c r="D51" s="28"/>
      <c r="E51" s="14" t="s">
        <v>256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</row>
    <row r="52" spans="1:25" x14ac:dyDescent="0.2">
      <c r="A52" s="46" t="s">
        <v>266</v>
      </c>
      <c r="B52" s="40" t="s">
        <v>175</v>
      </c>
      <c r="E52" s="14"/>
      <c r="G52" s="4">
        <f>SUM(G48:G51)</f>
        <v>0</v>
      </c>
      <c r="J52" s="4">
        <f>SUM(J48:J51)</f>
        <v>0</v>
      </c>
      <c r="M52" s="4">
        <f>SUM(M48:M51)</f>
        <v>0</v>
      </c>
      <c r="P52" s="4">
        <f>SUM(P48:P51)</f>
        <v>0</v>
      </c>
      <c r="S52" s="4">
        <f>SUM(S48:S51)</f>
        <v>0</v>
      </c>
      <c r="V52" s="4">
        <f>SUM(V48:V51)</f>
        <v>0</v>
      </c>
      <c r="Y52" s="4">
        <f>SUM(Y48:Y51)</f>
        <v>0</v>
      </c>
    </row>
    <row r="53" spans="1:25" x14ac:dyDescent="0.2">
      <c r="E53" s="14"/>
    </row>
    <row r="54" spans="1:25" ht="17" x14ac:dyDescent="0.2">
      <c r="A54" s="48" t="s">
        <v>194</v>
      </c>
      <c r="B54" s="37" t="s">
        <v>175</v>
      </c>
      <c r="E54" s="14" t="s">
        <v>200</v>
      </c>
      <c r="G54" s="4">
        <f>G42*$G$20</f>
        <v>0</v>
      </c>
      <c r="J54" s="4">
        <f>J42*$G$20</f>
        <v>0</v>
      </c>
      <c r="M54" s="4">
        <f>M42*$G$20</f>
        <v>0</v>
      </c>
      <c r="P54" s="4">
        <f>P42*$G$20</f>
        <v>0</v>
      </c>
      <c r="S54" s="4">
        <f>S42*$G$20</f>
        <v>0</v>
      </c>
      <c r="V54" s="4">
        <f>V42*$G$20</f>
        <v>0</v>
      </c>
      <c r="Y54" s="4">
        <f>Y42*$G$20</f>
        <v>0</v>
      </c>
    </row>
    <row r="55" spans="1:25" ht="17" x14ac:dyDescent="0.2">
      <c r="A55" s="48"/>
      <c r="B55" s="37"/>
      <c r="E55" s="14" t="s">
        <v>201</v>
      </c>
      <c r="G55" s="4">
        <f t="shared" ref="G55:G57" si="11">G43*$G$20</f>
        <v>0</v>
      </c>
      <c r="J55" s="4">
        <f t="shared" ref="J55:J57" si="12">J43*$G$20</f>
        <v>0</v>
      </c>
      <c r="M55" s="4">
        <f t="shared" ref="M55:M57" si="13">M43*$G$20</f>
        <v>0</v>
      </c>
      <c r="P55" s="4">
        <f t="shared" ref="P55:P57" si="14">P43*$G$20</f>
        <v>0</v>
      </c>
      <c r="S55" s="4">
        <f t="shared" ref="S55:S57" si="15">S43*$G$20</f>
        <v>0</v>
      </c>
      <c r="V55" s="4">
        <f t="shared" ref="V55:V57" si="16">V43*$G$20</f>
        <v>0</v>
      </c>
      <c r="Y55" s="4">
        <f t="shared" ref="Y55:Y57" si="17">Y43*$G$20</f>
        <v>0</v>
      </c>
    </row>
    <row r="56" spans="1:25" ht="17" x14ac:dyDescent="0.2">
      <c r="A56" s="48"/>
      <c r="B56" s="37"/>
      <c r="E56" s="14" t="s">
        <v>202</v>
      </c>
      <c r="G56" s="4">
        <f t="shared" si="11"/>
        <v>0</v>
      </c>
      <c r="J56" s="4">
        <f>J44*$G$20</f>
        <v>0</v>
      </c>
      <c r="M56" s="4">
        <f t="shared" si="13"/>
        <v>0</v>
      </c>
      <c r="P56" s="4">
        <f t="shared" si="14"/>
        <v>0</v>
      </c>
      <c r="S56" s="4">
        <f t="shared" si="15"/>
        <v>0</v>
      </c>
      <c r="V56" s="4">
        <f t="shared" si="16"/>
        <v>0</v>
      </c>
      <c r="Y56" s="4">
        <f t="shared" si="17"/>
        <v>0</v>
      </c>
    </row>
    <row r="57" spans="1:25" ht="17" x14ac:dyDescent="0.2">
      <c r="A57" s="48"/>
      <c r="B57" s="37"/>
      <c r="E57" s="14" t="s">
        <v>203</v>
      </c>
      <c r="G57" s="4">
        <f t="shared" si="11"/>
        <v>0</v>
      </c>
      <c r="J57" s="4">
        <f t="shared" si="12"/>
        <v>0</v>
      </c>
      <c r="M57" s="4">
        <f t="shared" si="13"/>
        <v>0</v>
      </c>
      <c r="P57" s="4">
        <f t="shared" si="14"/>
        <v>0</v>
      </c>
      <c r="S57" s="4">
        <f t="shared" si="15"/>
        <v>0</v>
      </c>
      <c r="V57" s="4">
        <f t="shared" si="16"/>
        <v>0</v>
      </c>
      <c r="Y57" s="4">
        <f t="shared" si="17"/>
        <v>0</v>
      </c>
    </row>
    <row r="58" spans="1:25" x14ac:dyDescent="0.2">
      <c r="A58" s="46" t="s">
        <v>195</v>
      </c>
      <c r="B58" s="40" t="s">
        <v>175</v>
      </c>
      <c r="E58" s="14"/>
      <c r="G58" s="4">
        <f>SUM(G54:G57)</f>
        <v>0</v>
      </c>
      <c r="J58" s="4">
        <f>SUM(J54:J57)</f>
        <v>0</v>
      </c>
      <c r="M58" s="4">
        <f>SUM(M54:M57)</f>
        <v>0</v>
      </c>
      <c r="P58" s="4">
        <f>SUM(P54:P57)</f>
        <v>0</v>
      </c>
      <c r="S58" s="4">
        <f>SUM(S54:S57)</f>
        <v>0</v>
      </c>
      <c r="V58" s="4">
        <f>SUM(V54:V57)</f>
        <v>0</v>
      </c>
      <c r="Y58" s="4">
        <f>SUM(Y54:Y57)</f>
        <v>0</v>
      </c>
    </row>
    <row r="59" spans="1:25" x14ac:dyDescent="0.2">
      <c r="E59" s="14"/>
    </row>
    <row r="60" spans="1:25" ht="17" x14ac:dyDescent="0.2">
      <c r="A60" s="48" t="s">
        <v>179</v>
      </c>
      <c r="B60" s="37" t="s">
        <v>175</v>
      </c>
      <c r="E60" s="14" t="s">
        <v>90</v>
      </c>
      <c r="G60" s="4">
        <f>AC6</f>
        <v>0</v>
      </c>
      <c r="J60" s="4">
        <f>AC7</f>
        <v>0.01</v>
      </c>
      <c r="M60" s="4">
        <f>AC8</f>
        <v>0.05</v>
      </c>
      <c r="P60" s="4">
        <f>AC9</f>
        <v>0.12</v>
      </c>
      <c r="S60" s="4">
        <f>AC11</f>
        <v>0.2</v>
      </c>
      <c r="V60" s="4">
        <f>AC12</f>
        <v>0.36</v>
      </c>
      <c r="Y60" s="4">
        <f>AC14</f>
        <v>0.6</v>
      </c>
    </row>
    <row r="61" spans="1:25" ht="17" x14ac:dyDescent="0.2">
      <c r="A61" s="48"/>
      <c r="B61" s="37"/>
      <c r="E61" s="14" t="s">
        <v>91</v>
      </c>
      <c r="G61" s="4">
        <v>0</v>
      </c>
      <c r="J61" s="4">
        <v>0</v>
      </c>
      <c r="M61" s="4">
        <f>AC7</f>
        <v>0.01</v>
      </c>
      <c r="P61" s="4">
        <f>AC8</f>
        <v>0.05</v>
      </c>
      <c r="S61" s="4">
        <f>AC9</f>
        <v>0.12</v>
      </c>
      <c r="V61" s="4">
        <f>AC11</f>
        <v>0.2</v>
      </c>
      <c r="Y61" s="4">
        <f>AC12</f>
        <v>0.36</v>
      </c>
    </row>
    <row r="62" spans="1:25" ht="17" x14ac:dyDescent="0.2">
      <c r="A62" s="48"/>
      <c r="B62" s="37"/>
      <c r="E62" s="14" t="s">
        <v>92</v>
      </c>
      <c r="G62" s="4">
        <v>0</v>
      </c>
      <c r="J62" s="4">
        <v>0</v>
      </c>
      <c r="M62" s="4">
        <v>0</v>
      </c>
      <c r="P62" s="4">
        <f>AC7</f>
        <v>0.01</v>
      </c>
      <c r="S62" s="4">
        <f>AC8</f>
        <v>0.05</v>
      </c>
      <c r="V62" s="4">
        <f>AC9</f>
        <v>0.12</v>
      </c>
      <c r="Y62" s="4">
        <f>AC11</f>
        <v>0.2</v>
      </c>
    </row>
    <row r="63" spans="1:25" ht="17" x14ac:dyDescent="0.2">
      <c r="A63" s="48"/>
      <c r="B63" s="37"/>
      <c r="E63" s="14" t="s">
        <v>93</v>
      </c>
      <c r="G63" s="4">
        <v>0</v>
      </c>
      <c r="J63" s="4">
        <v>0</v>
      </c>
      <c r="M63" s="4">
        <v>0</v>
      </c>
      <c r="P63" s="4">
        <v>0</v>
      </c>
      <c r="S63" s="4">
        <f>AC7</f>
        <v>0.01</v>
      </c>
      <c r="V63" s="4">
        <f>AC8</f>
        <v>0.05</v>
      </c>
      <c r="Y63" s="4">
        <f>AC9</f>
        <v>0.12</v>
      </c>
    </row>
    <row r="64" spans="1:25" ht="17" x14ac:dyDescent="0.2">
      <c r="E64" s="14" t="s">
        <v>49</v>
      </c>
    </row>
    <row r="65" spans="1:30" x14ac:dyDescent="0.2">
      <c r="E65" s="14"/>
    </row>
    <row r="66" spans="1:30" ht="17" x14ac:dyDescent="0.2">
      <c r="A66" s="48" t="s">
        <v>239</v>
      </c>
      <c r="B66" s="37" t="s">
        <v>175</v>
      </c>
      <c r="E66" s="14" t="s">
        <v>109</v>
      </c>
      <c r="G66" s="4">
        <f>G37*G60</f>
        <v>0</v>
      </c>
      <c r="J66" s="4">
        <f>J37*J60</f>
        <v>0.85</v>
      </c>
      <c r="M66" s="4">
        <f>J66+M37*M60</f>
        <v>5.0999999999999996</v>
      </c>
      <c r="P66" s="4">
        <f>M66+P37*P60</f>
        <v>15.299999999999999</v>
      </c>
      <c r="S66" s="4">
        <f>P66+S37*S60</f>
        <v>32.299999999999997</v>
      </c>
      <c r="V66" s="4">
        <f>S66+V37*V60</f>
        <v>62.899999999999991</v>
      </c>
      <c r="Y66" s="4">
        <f>V66+Y37*Y60</f>
        <v>113.89999999999999</v>
      </c>
    </row>
    <row r="67" spans="1:30" ht="17" x14ac:dyDescent="0.2">
      <c r="A67" s="48"/>
      <c r="B67" s="37"/>
      <c r="E67" s="14" t="s">
        <v>110</v>
      </c>
      <c r="J67" s="4">
        <f>J38*J61</f>
        <v>0</v>
      </c>
      <c r="M67" s="4">
        <f>J67+M38*M61</f>
        <v>0.8</v>
      </c>
      <c r="P67" s="4">
        <f>M67+P38*P61</f>
        <v>4.8</v>
      </c>
      <c r="S67" s="4">
        <f>P67+S38*S61</f>
        <v>14.399999999999999</v>
      </c>
      <c r="V67" s="4">
        <f>S67+V38*V61</f>
        <v>30.4</v>
      </c>
      <c r="Y67" s="4">
        <f>V67+Y38*Y61</f>
        <v>59.199999999999996</v>
      </c>
    </row>
    <row r="68" spans="1:30" ht="17" x14ac:dyDescent="0.2">
      <c r="A68" s="48"/>
      <c r="B68" s="37"/>
      <c r="D68" s="28"/>
      <c r="E68" s="14" t="s">
        <v>111</v>
      </c>
      <c r="M68" s="4">
        <f>J68+M39*M62</f>
        <v>0</v>
      </c>
      <c r="P68" s="4">
        <f>M68+P39*P62</f>
        <v>0.92</v>
      </c>
      <c r="S68" s="4">
        <f>P68+S39*S62</f>
        <v>5.5200000000000005</v>
      </c>
      <c r="V68" s="4">
        <f>S68+V39*V62</f>
        <v>16.559999999999999</v>
      </c>
      <c r="Y68" s="4">
        <f>V68+Y39*Y62</f>
        <v>34.96</v>
      </c>
    </row>
    <row r="69" spans="1:30" ht="17" x14ac:dyDescent="0.2">
      <c r="A69" s="48"/>
      <c r="B69" s="37"/>
      <c r="D69" s="28"/>
      <c r="E69" s="14" t="s">
        <v>112</v>
      </c>
      <c r="M69" s="4">
        <f>J69+M40*M63</f>
        <v>0</v>
      </c>
      <c r="P69" s="4">
        <f>M69+P40*P63</f>
        <v>0</v>
      </c>
      <c r="S69" s="4">
        <f>P69+S40*S63</f>
        <v>0.43</v>
      </c>
      <c r="V69" s="4">
        <f>S69+V40*V63</f>
        <v>2.58</v>
      </c>
      <c r="Y69" s="4">
        <f>V69+Y40*Y63</f>
        <v>7.74</v>
      </c>
    </row>
    <row r="70" spans="1:30" x14ac:dyDescent="0.2">
      <c r="D70" s="28"/>
      <c r="E70" s="14"/>
    </row>
    <row r="71" spans="1:30" ht="17" x14ac:dyDescent="0.2">
      <c r="A71" s="48" t="s">
        <v>236</v>
      </c>
      <c r="B71" s="37" t="s">
        <v>175</v>
      </c>
      <c r="E71" s="14" t="s">
        <v>127</v>
      </c>
      <c r="G71" s="4">
        <v>0</v>
      </c>
      <c r="J71" s="4">
        <f>INT(I$4-$AE$6 &gt; $D79)*MAX(G94-$G$21*G37-J42,0)</f>
        <v>0</v>
      </c>
      <c r="M71" s="4">
        <f>INT(L$4-$AE$6 &gt; $D79)*MAX(J94-$G$21*J37-M42,0)</f>
        <v>0</v>
      </c>
      <c r="P71" s="4">
        <f>INT(O$4-$AE$6 &gt; $D79)*MAX(M94-$G$21*M37-P42,0)</f>
        <v>0</v>
      </c>
      <c r="S71" s="4">
        <f>INT(R$4-$AE$6 &gt; $D79)*MAX(P94-$G$21*P37-S42,0)</f>
        <v>6.7881033999999989</v>
      </c>
      <c r="V71" s="4">
        <f>INT(U$4-$AE$6 &gt; $D79)*MAX(S94-$G$21*S37-V42,0)</f>
        <v>23.757527193199998</v>
      </c>
      <c r="Y71" s="4">
        <f>INT(X$4-$AE$6 &gt; $D79)*MAX(V94-$G$21*V37-Y42,0)</f>
        <v>30.582999999999998</v>
      </c>
    </row>
    <row r="72" spans="1:30" ht="17" x14ac:dyDescent="0.2">
      <c r="A72" s="48"/>
      <c r="B72" s="37"/>
      <c r="E72" s="14" t="s">
        <v>128</v>
      </c>
      <c r="G72" s="4">
        <v>0</v>
      </c>
      <c r="J72" s="4">
        <f>INT(I$4-$AE$6 &gt; $D80)*MAX(G95-$G$21*G38-J43,0)</f>
        <v>0</v>
      </c>
      <c r="M72" s="4">
        <f>INT(L$4-$AE$6 &gt; $D80)*MAX(J95-$G$21*J38-M43,0)</f>
        <v>0</v>
      </c>
      <c r="P72" s="4">
        <f>INT(O$4-$AE$6 &gt; $D80)*MAX(M95-$G$21*M38-P43,0)</f>
        <v>0</v>
      </c>
      <c r="S72" s="4">
        <f>INT(R$4-$AE$6 &gt; $D80)*MAX(P95-$G$21*P38-S43,0)</f>
        <v>0</v>
      </c>
      <c r="V72" s="4">
        <f>INT(U$4-$AE$6 &gt; $D80)*MAX(S95-$G$21*S38-V43,0)</f>
        <v>6.3888031999999999</v>
      </c>
      <c r="Y72" s="4">
        <f>INT(X$4-$AE$6 &gt; $D80)*MAX(V95-$G$21*V38-Y43,0)</f>
        <v>15.984000000000002</v>
      </c>
    </row>
    <row r="73" spans="1:30" ht="17" x14ac:dyDescent="0.2">
      <c r="A73" s="48"/>
      <c r="B73" s="37"/>
      <c r="D73" s="28" t="s">
        <v>152</v>
      </c>
      <c r="E73" s="14" t="s">
        <v>129</v>
      </c>
      <c r="G73" s="4">
        <v>0</v>
      </c>
      <c r="J73" s="4">
        <f>INT(I$4-$AE$6 &gt; $D81)*MAX(G96-$G$21*G39-J44,0)</f>
        <v>0</v>
      </c>
      <c r="M73" s="4">
        <f>INT(L$4-$AE$6 &gt; $D81)*MAX(J96-$G$21*J39-M44,0)</f>
        <v>0</v>
      </c>
      <c r="P73" s="4">
        <f>INT(O$4-$AE$6 &gt; $D81)*MAX(M96-$G$21*M39-P44,0)</f>
        <v>0</v>
      </c>
      <c r="S73" s="4">
        <f>INT(R$4-$AE$6 &gt; $D81)*MAX(P96-$G$21*P39-S44,0)</f>
        <v>0</v>
      </c>
      <c r="V73" s="4">
        <f>INT(U$4-$AE$6 &gt; $D81)*MAX(S96-$G$21*S39-V44,0)</f>
        <v>0</v>
      </c>
      <c r="Y73" s="4">
        <f>INT(X$4-$AE$6 &gt; $D81)*MAX(V96-$G$21*V39-Y44,0)</f>
        <v>7.3471236799999975</v>
      </c>
    </row>
    <row r="74" spans="1:30" ht="17" x14ac:dyDescent="0.2">
      <c r="A74" s="48"/>
      <c r="B74" s="37"/>
      <c r="D74" s="28"/>
      <c r="E74" s="14" t="s">
        <v>130</v>
      </c>
      <c r="G74" s="4">
        <v>0</v>
      </c>
      <c r="J74" s="4">
        <f>INT(I$4-$AE$6 &gt; $D82)*MAX(G97-$G$21*G40-J45,0)</f>
        <v>0</v>
      </c>
      <c r="M74" s="4">
        <f>INT(L$4-$AE$6 &gt; $D82)*MAX(J97-$G$21*J40-M45,0)</f>
        <v>0</v>
      </c>
      <c r="P74" s="4">
        <f>INT(O$4-$AE$6 &gt; $D82)*MAX(M97-$G$21*M40-P45,0)</f>
        <v>0</v>
      </c>
      <c r="S74" s="4">
        <f>INT(R$4-$AE$6 &gt; $D82)*MAX(P97-$G$21*P40-S45,0)</f>
        <v>0</v>
      </c>
      <c r="V74" s="4">
        <f>INT(U$4-$AE$6 &gt; $D82)*MAX(S97-$G$21*S40-V45,0)</f>
        <v>0</v>
      </c>
      <c r="Y74" s="4">
        <f>INT(X$4-$AE$6 &gt; $D82)*MAX(V97-$G$21*V40-Y45,0)</f>
        <v>0</v>
      </c>
    </row>
    <row r="75" spans="1:30" ht="17" x14ac:dyDescent="0.2">
      <c r="A75" s="46" t="s">
        <v>237</v>
      </c>
      <c r="B75" s="40" t="s">
        <v>175</v>
      </c>
      <c r="D75" s="28"/>
      <c r="E75" s="14" t="s">
        <v>147</v>
      </c>
      <c r="G75" s="4">
        <v>0</v>
      </c>
      <c r="J75" s="4">
        <f>SUM(J71:J74)</f>
        <v>0</v>
      </c>
      <c r="M75" s="4">
        <f>SUM(M71:M74)</f>
        <v>0</v>
      </c>
      <c r="P75" s="4">
        <f>SUM(P71:P74)</f>
        <v>0</v>
      </c>
      <c r="S75" s="4">
        <f>SUM(S71:S74)</f>
        <v>6.7881033999999989</v>
      </c>
      <c r="V75" s="4">
        <f>SUM(V71:V74)</f>
        <v>30.146330393199996</v>
      </c>
      <c r="Y75" s="4">
        <f>SUM(Y71:Y74)</f>
        <v>53.914123679999996</v>
      </c>
      <c r="AD75" t="s">
        <v>106</v>
      </c>
    </row>
    <row r="76" spans="1:30" x14ac:dyDescent="0.2">
      <c r="D76" s="28"/>
      <c r="E76" s="14"/>
      <c r="AB76" t="s">
        <v>85</v>
      </c>
      <c r="AD76" t="s">
        <v>107</v>
      </c>
    </row>
    <row r="77" spans="1:30" ht="17" customHeight="1" x14ac:dyDescent="0.2">
      <c r="A77" s="50" t="s">
        <v>238</v>
      </c>
      <c r="B77" s="37" t="s">
        <v>175</v>
      </c>
      <c r="E77" s="14" t="s">
        <v>88</v>
      </c>
      <c r="F77" s="4">
        <v>0</v>
      </c>
      <c r="I77" s="4">
        <v>0</v>
      </c>
      <c r="L77" s="4">
        <v>0</v>
      </c>
      <c r="O77" s="4">
        <v>0</v>
      </c>
      <c r="R77" s="4">
        <v>0</v>
      </c>
      <c r="U77" s="4">
        <v>0</v>
      </c>
      <c r="X77" s="4">
        <v>0</v>
      </c>
      <c r="AB77" t="s">
        <v>86</v>
      </c>
    </row>
    <row r="78" spans="1:30" ht="17" x14ac:dyDescent="0.2">
      <c r="A78" s="50"/>
      <c r="B78" s="37"/>
      <c r="E78" s="14" t="s">
        <v>148</v>
      </c>
      <c r="F78" s="4">
        <f>SUM(G$71:G71)</f>
        <v>0</v>
      </c>
      <c r="G78" s="4">
        <f>IF(F78&gt;=F$129, IF(F77&lt;F$129, F$129-F77, 0),G71)</f>
        <v>0</v>
      </c>
      <c r="I78" s="4">
        <f>SUM(J$71:J71)</f>
        <v>0</v>
      </c>
      <c r="J78" s="4">
        <f>IF(I78&gt;=I$129, IF(I77&lt;I$129, I$129-I77, 0),J71)</f>
        <v>0</v>
      </c>
      <c r="L78" s="4">
        <f>SUM(M$71:M71)</f>
        <v>0</v>
      </c>
      <c r="M78" s="4">
        <f>IF(L78&gt;=L$129, IF(L77&lt;L$129, L$129-L77, 0),M71)</f>
        <v>0</v>
      </c>
      <c r="O78" s="4">
        <f>SUM(P$71:P71)</f>
        <v>0</v>
      </c>
      <c r="P78" s="4">
        <f>IF(O78&gt;=O$129, IF(O77&lt;O$129, O$129-O77, 0),P71)</f>
        <v>0</v>
      </c>
      <c r="R78" s="4">
        <f>SUM(S$71:S71)</f>
        <v>6.7881033999999989</v>
      </c>
      <c r="S78" s="4">
        <f>IF(R78&gt;=R$129, IF(R77&lt;R$129, R$129-R77, 0),S71)</f>
        <v>0</v>
      </c>
      <c r="U78" s="4">
        <f>SUM(V$71:V71)</f>
        <v>23.757527193199998</v>
      </c>
      <c r="V78" s="4">
        <f>IF(U78&gt;=U$129, IF(U77&lt;U$129, U$129-U77, 0),V71)</f>
        <v>23.757527193199998</v>
      </c>
      <c r="X78" s="4">
        <f>SUM(Y$71:Y71)</f>
        <v>30.582999999999998</v>
      </c>
      <c r="Y78" s="4">
        <f>IF(X78&gt;=X$129, IF(X77&lt;X$129, X$129-X77, 0),Y71)</f>
        <v>30.582999999999998</v>
      </c>
    </row>
    <row r="79" spans="1:30" ht="17" x14ac:dyDescent="0.2">
      <c r="A79" s="50"/>
      <c r="B79" s="37"/>
      <c r="D79" s="22">
        <v>0</v>
      </c>
      <c r="E79" s="14" t="s">
        <v>149</v>
      </c>
      <c r="F79" s="4">
        <f>SUM(G$71:G72)</f>
        <v>0</v>
      </c>
      <c r="G79" s="4">
        <f>IF(F79&gt;=F$129, IF(F78&lt;F$129, F$129-F78, 0),G72)</f>
        <v>0</v>
      </c>
      <c r="I79" s="4">
        <f>SUM(J$71:J72)</f>
        <v>0</v>
      </c>
      <c r="J79" s="4">
        <f>IF(I79&gt;=I$129, IF(I78&lt;I$129, I$129-I78, 0),J72)</f>
        <v>0</v>
      </c>
      <c r="L79" s="4">
        <f>SUM(M$71:M72)</f>
        <v>0</v>
      </c>
      <c r="M79" s="4">
        <f>IF(L79&gt;=L$129, IF(L78&lt;L$129, L$129-L78, 0),M72)</f>
        <v>0</v>
      </c>
      <c r="O79" s="4">
        <f>SUM(P$71:P72)</f>
        <v>0</v>
      </c>
      <c r="P79" s="4">
        <f>IF(O79&gt;=O$129, IF(O78&lt;O$129, O$129-O78, 0),P72)</f>
        <v>0</v>
      </c>
      <c r="R79" s="4">
        <f>SUM(S$71:S72)</f>
        <v>6.7881033999999989</v>
      </c>
      <c r="S79" s="4">
        <f>IF(R79&gt;=R$129, IF(R78&lt;R$129, R$129-R78, 0),S72)</f>
        <v>0</v>
      </c>
      <c r="U79" s="4">
        <f>SUM(V$71:V72)</f>
        <v>30.146330393199996</v>
      </c>
      <c r="V79" s="4">
        <f>IF(U79&gt;=U$129, IF(U78&lt;U$129, U$129-U78, 0),V72)</f>
        <v>6.3888031999999981</v>
      </c>
      <c r="X79" s="4">
        <f>SUM(Y$71:Y72)</f>
        <v>46.567</v>
      </c>
      <c r="Y79" s="4">
        <f>IF(X79&gt;=X$129, IF(X78&lt;X$129, X$129-X78, 0),Y72)</f>
        <v>15.984000000000002</v>
      </c>
    </row>
    <row r="80" spans="1:30" ht="17" x14ac:dyDescent="0.2">
      <c r="A80" s="50"/>
      <c r="B80" s="37"/>
      <c r="D80" s="22">
        <v>1</v>
      </c>
      <c r="E80" s="14" t="s">
        <v>150</v>
      </c>
      <c r="F80" s="4">
        <f>SUM(G$71:G73)</f>
        <v>0</v>
      </c>
      <c r="G80" s="4">
        <f>IF(F80&gt;=F$129, IF(F79&lt;F$129, F$129-F79, 0),G73)</f>
        <v>0</v>
      </c>
      <c r="I80" s="4">
        <f>SUM(J$71:J73)</f>
        <v>0</v>
      </c>
      <c r="J80" s="4">
        <f>IF(I80&gt;=I$129, IF(I79&lt;I$129, I$129-I79, 0),J73)</f>
        <v>0</v>
      </c>
      <c r="L80" s="4">
        <f>SUM(M$71:M73)</f>
        <v>0</v>
      </c>
      <c r="M80" s="4">
        <f>IF(L80&gt;=L$129, IF(L79&lt;L$129, L$129-L79, 0),M73)</f>
        <v>0</v>
      </c>
      <c r="O80" s="4">
        <f>SUM(P$71:P73)</f>
        <v>0</v>
      </c>
      <c r="P80" s="4">
        <f>IF(O80&gt;=O$129, IF(O79&lt;O$129, O$129-O79, 0),P73)</f>
        <v>0</v>
      </c>
      <c r="R80" s="4">
        <f>SUM(S$71:S73)</f>
        <v>6.7881033999999989</v>
      </c>
      <c r="S80" s="4">
        <f>IF(R80&gt;=R$129, IF(R79&lt;R$129, R$129-R79, 0),S73)</f>
        <v>0</v>
      </c>
      <c r="U80" s="4">
        <f>SUM(V$71:V73)</f>
        <v>30.146330393199996</v>
      </c>
      <c r="V80" s="4">
        <f>IF(U80&gt;=U$129, IF(U79&lt;U$129, U$129-U79, 0),V73)</f>
        <v>0</v>
      </c>
      <c r="X80" s="4">
        <f>SUM(Y$71:Y73)</f>
        <v>53.914123679999996</v>
      </c>
      <c r="Y80" s="4">
        <f>IF(X80&gt;=X$129, IF(X79&lt;X$129, X$129-X79, 0),Y73)</f>
        <v>7.3471236799999957</v>
      </c>
    </row>
    <row r="81" spans="1:25" ht="17" x14ac:dyDescent="0.2">
      <c r="A81" s="50"/>
      <c r="B81" s="37"/>
      <c r="D81" s="22">
        <v>2</v>
      </c>
      <c r="E81" s="14" t="s">
        <v>151</v>
      </c>
      <c r="F81" s="4">
        <f>SUM(G$71:G74)</f>
        <v>0</v>
      </c>
      <c r="G81" s="4">
        <f>IF(F81&gt;=F$129, IF(F80&lt;F$129, F$129-F80, 0),G74)</f>
        <v>0</v>
      </c>
      <c r="I81" s="4">
        <f>SUM(J$71:J74)</f>
        <v>0</v>
      </c>
      <c r="J81" s="4">
        <f>IF(I81&gt;=I$129, IF(I80&lt;I$129, I$129-I80, 0),J74)</f>
        <v>0</v>
      </c>
      <c r="L81" s="4">
        <f>SUM(M$71:M74)</f>
        <v>0</v>
      </c>
      <c r="M81" s="4">
        <f>IF(L81&gt;=L$129, IF(L80&lt;L$129, L$129-L80, 0),M74)</f>
        <v>0</v>
      </c>
      <c r="O81" s="4">
        <f>SUM(P$71:P74)</f>
        <v>0</v>
      </c>
      <c r="P81" s="4">
        <f>IF(O81&gt;=O$129, IF(O80&lt;O$129, O$129-O80, 0),P74)</f>
        <v>0</v>
      </c>
      <c r="R81" s="4">
        <f>SUM(S$71:S74)</f>
        <v>6.7881033999999989</v>
      </c>
      <c r="S81" s="4">
        <f>IF(R81&gt;=R$129, IF(R80&lt;R$129, R$129-R80, 0),S74)</f>
        <v>0</v>
      </c>
      <c r="U81" s="4">
        <f>SUM(V$71:V74)</f>
        <v>30.146330393199996</v>
      </c>
      <c r="V81" s="4">
        <f>IF(U81&gt;=U$129, IF(U80&lt;U$129, U$129-U80, 0),V74)</f>
        <v>0</v>
      </c>
      <c r="X81" s="4">
        <f>SUM(Y$71:Y74)</f>
        <v>53.914123679999996</v>
      </c>
      <c r="Y81" s="4">
        <f>IF(X81&gt;=X$129, IF(X80&lt;X$129, X$129-X80, 0),Y74)</f>
        <v>0</v>
      </c>
    </row>
    <row r="82" spans="1:25" x14ac:dyDescent="0.2">
      <c r="D82" s="22">
        <v>3</v>
      </c>
      <c r="E82" s="14"/>
    </row>
    <row r="83" spans="1:25" x14ac:dyDescent="0.2">
      <c r="E83" s="14"/>
      <c r="I83" s="4" t="s">
        <v>136</v>
      </c>
      <c r="L83" s="4" t="s">
        <v>136</v>
      </c>
      <c r="O83" s="4" t="s">
        <v>136</v>
      </c>
      <c r="R83" s="4" t="s">
        <v>136</v>
      </c>
      <c r="U83" s="4" t="s">
        <v>136</v>
      </c>
      <c r="X83" s="4" t="s">
        <v>136</v>
      </c>
    </row>
    <row r="84" spans="1:25" ht="17" x14ac:dyDescent="0.2">
      <c r="A84" s="47" t="s">
        <v>182</v>
      </c>
      <c r="B84" s="37" t="s">
        <v>175</v>
      </c>
      <c r="E84" s="14" t="s">
        <v>131</v>
      </c>
      <c r="G84" s="4">
        <f>G60</f>
        <v>0</v>
      </c>
      <c r="I84" s="4">
        <f>IF(G94=0,1,MIN(MAX((G94/G66-$F$16)/($F$18-$F$16), 0), 1))</f>
        <v>1</v>
      </c>
      <c r="J84" s="4">
        <f>J60*I84</f>
        <v>0.01</v>
      </c>
      <c r="L84" s="4">
        <f>IF(J94=0,1,MIN(MAX((J94/J66-$F$16)/($F$18-$F$16), 0), 1))</f>
        <v>1</v>
      </c>
      <c r="M84" s="4">
        <f>M60*L84</f>
        <v>0.05</v>
      </c>
      <c r="O84" s="4">
        <f>IF(M94=0,1,MIN(MAX((M94/M66-$F$16)/($F$18-$F$16), 0), 1))</f>
        <v>1</v>
      </c>
      <c r="P84" s="4">
        <f>P60*O84</f>
        <v>0.12</v>
      </c>
      <c r="R84" s="4">
        <f>IF(P94=0,1,MIN(MAX((P94/P66-$F$16)/($F$18-$F$16), 0), 1))</f>
        <v>1</v>
      </c>
      <c r="S84" s="4">
        <f>S60*R84</f>
        <v>0.2</v>
      </c>
      <c r="U84" s="4">
        <f>IF(S94=0,1,MIN(MAX((S94/S66-$F$16)/($F$18-$F$16), 0), 1))</f>
        <v>1</v>
      </c>
      <c r="V84" s="4">
        <f>V60*U84</f>
        <v>0.36</v>
      </c>
      <c r="X84" s="4">
        <f>IF(V94=0,1,MIN(MAX((V94/V66-$F$16)/($F$18-$F$16), 0), 1))</f>
        <v>0.92728154163131749</v>
      </c>
      <c r="Y84" s="4">
        <f>Y60*X84</f>
        <v>0.55636892497879042</v>
      </c>
    </row>
    <row r="85" spans="1:25" ht="17" x14ac:dyDescent="0.2">
      <c r="A85" s="47"/>
      <c r="B85" s="37"/>
      <c r="E85" s="14" t="s">
        <v>132</v>
      </c>
      <c r="G85" s="4">
        <f>G61</f>
        <v>0</v>
      </c>
      <c r="I85" s="4">
        <f>IF(G95=0,1,MIN(MAX((G95/G67-$F$16)/($F$18-$F$16), 0), 1))</f>
        <v>1</v>
      </c>
      <c r="J85" s="4">
        <f>J61</f>
        <v>0</v>
      </c>
      <c r="L85" s="4">
        <f>IF(J95=0,1,MIN(MAX((J95/J67-$F$16)/($F$18-$F$16), 0), 1))</f>
        <v>1</v>
      </c>
      <c r="M85" s="4">
        <f>M61</f>
        <v>0.01</v>
      </c>
      <c r="O85" s="4">
        <f>IF(M95=0,1,MIN(MAX((M95/M67-$F$16)/($F$18-$F$16), 0), 1))</f>
        <v>1</v>
      </c>
      <c r="P85" s="4">
        <f>P61</f>
        <v>0.05</v>
      </c>
      <c r="R85" s="4">
        <f>IF(P95=0,1,MIN(MAX((P95/P67-$F$16)/($F$18-$F$16), 0), 1))</f>
        <v>1</v>
      </c>
      <c r="S85" s="4">
        <f>S61</f>
        <v>0.12</v>
      </c>
      <c r="U85" s="4">
        <f>IF(S95=0,1,MIN(MAX((S95/S67-$F$16)/($F$18-$F$16), 0), 1))</f>
        <v>1</v>
      </c>
      <c r="V85" s="4">
        <f>V61</f>
        <v>0.2</v>
      </c>
      <c r="X85" s="4">
        <f>IF(V95=0,1,MIN(MAX((V95/V67-$F$16)/($F$18-$F$16), 0), 1))</f>
        <v>1</v>
      </c>
      <c r="Y85" s="4">
        <f>Y61</f>
        <v>0.36</v>
      </c>
    </row>
    <row r="86" spans="1:25" ht="17" x14ac:dyDescent="0.2">
      <c r="A86" s="47"/>
      <c r="B86" s="37"/>
      <c r="E86" s="14" t="s">
        <v>133</v>
      </c>
      <c r="G86" s="4">
        <f>G62</f>
        <v>0</v>
      </c>
      <c r="I86" s="4">
        <f>IF(G96=0,1,MIN(MAX((G96/G68-$F$16)/($F$18-$F$16), 0), 1))</f>
        <v>1</v>
      </c>
      <c r="J86" s="4">
        <f>J62</f>
        <v>0</v>
      </c>
      <c r="L86" s="4">
        <f>IF(J96=0,1,MIN(MAX((J96/J68-$F$16)/($F$18-$F$16), 0), 1))</f>
        <v>1</v>
      </c>
      <c r="M86" s="4">
        <f>M62</f>
        <v>0</v>
      </c>
      <c r="O86" s="4">
        <f>IF(M96=0,1,MIN(MAX((M96/M68-$F$16)/($F$18-$F$16), 0), 1))</f>
        <v>1</v>
      </c>
      <c r="P86" s="4">
        <f>P62</f>
        <v>0.01</v>
      </c>
      <c r="R86" s="4">
        <f>IF(P96=0,1,MIN(MAX((P96/P68-$F$16)/($F$18-$F$16), 0), 1))</f>
        <v>1</v>
      </c>
      <c r="S86" s="4">
        <f>S62</f>
        <v>0.05</v>
      </c>
      <c r="U86" s="4">
        <f>IF(S96=0,1,MIN(MAX((S96/S68-$F$16)/($F$18-$F$16), 0), 1))</f>
        <v>1</v>
      </c>
      <c r="V86" s="4">
        <f>V62</f>
        <v>0.12</v>
      </c>
      <c r="X86" s="4">
        <f>IF(V96=0,1,MIN(MAX((V96/V68-$F$16)/($F$18-$F$16), 0), 1))</f>
        <v>1</v>
      </c>
      <c r="Y86" s="4">
        <f>Y62</f>
        <v>0.2</v>
      </c>
    </row>
    <row r="87" spans="1:25" ht="17" x14ac:dyDescent="0.2">
      <c r="A87" s="47"/>
      <c r="B87" s="37"/>
      <c r="E87" s="14" t="s">
        <v>134</v>
      </c>
      <c r="G87" s="4">
        <f>G63</f>
        <v>0</v>
      </c>
      <c r="I87" s="4">
        <f>IF(G97=0,1,MIN(MAX((G97/G69-$F$16)/($F$18-$F$16), 0), 1))</f>
        <v>1</v>
      </c>
      <c r="J87" s="4">
        <f>J63</f>
        <v>0</v>
      </c>
      <c r="L87" s="4">
        <f>IF(J97=0,1,MIN(MAX((J97/J69-$F$16)/($F$18-$F$16), 0), 1))</f>
        <v>1</v>
      </c>
      <c r="M87" s="4">
        <f>M63</f>
        <v>0</v>
      </c>
      <c r="O87" s="4">
        <f>IF(M97=0,1,MIN(MAX((M97/M69-$F$16)/($F$18-$F$16), 0), 1))</f>
        <v>1</v>
      </c>
      <c r="P87" s="4">
        <f>P63</f>
        <v>0</v>
      </c>
      <c r="R87" s="4">
        <f>IF(P97=0,1,MIN(MAX((P97/P69-$F$16)/($F$18-$F$16), 0), 1))</f>
        <v>1</v>
      </c>
      <c r="S87" s="4">
        <f>S63</f>
        <v>0.01</v>
      </c>
      <c r="U87" s="4">
        <f>IF(S97=0,1,MIN(MAX((S97/S69-$F$16)/($F$18-$F$16), 0), 1))</f>
        <v>1</v>
      </c>
      <c r="V87" s="4">
        <f>V63</f>
        <v>0.05</v>
      </c>
      <c r="X87" s="4">
        <f>IF(V97=0,1,MIN(MAX((V97/V69-$F$16)/($F$18-$F$16), 0), 1))</f>
        <v>1</v>
      </c>
      <c r="Y87" s="4">
        <f>Y63</f>
        <v>0.12</v>
      </c>
    </row>
    <row r="88" spans="1:25" x14ac:dyDescent="0.2">
      <c r="E88" s="14"/>
    </row>
    <row r="89" spans="1:25" ht="17" x14ac:dyDescent="0.2">
      <c r="A89" s="47" t="s">
        <v>205</v>
      </c>
      <c r="B89" s="37" t="s">
        <v>175</v>
      </c>
      <c r="E89" s="14" t="s">
        <v>206</v>
      </c>
      <c r="G89" s="4">
        <f>G55*G32</f>
        <v>0</v>
      </c>
      <c r="J89" s="4">
        <f>(G94-J78)*$F$29</f>
        <v>0</v>
      </c>
      <c r="M89" s="4">
        <f>(J94-M78)*$F$29</f>
        <v>1.6999999999999999E-3</v>
      </c>
      <c r="P89" s="4">
        <f>(M94-P78)*$F$29</f>
        <v>1.01966E-2</v>
      </c>
      <c r="S89" s="4">
        <f>(P94-S78)*$F$29</f>
        <v>3.0576206799999998E-2</v>
      </c>
      <c r="V89" s="4">
        <f>(S94-V78)*$F$29</f>
        <v>1.7000000000000001E-2</v>
      </c>
      <c r="Y89" s="4">
        <f>(V94-Y78)*$F$29</f>
        <v>1.7000000000000001E-2</v>
      </c>
    </row>
    <row r="90" spans="1:25" ht="17" x14ac:dyDescent="0.2">
      <c r="A90" s="47"/>
      <c r="B90" s="37"/>
      <c r="E90" s="14" t="s">
        <v>207</v>
      </c>
      <c r="G90" s="4">
        <f>G56*G33</f>
        <v>0</v>
      </c>
      <c r="J90" s="4">
        <f>(G95-J79)*$F$29</f>
        <v>0</v>
      </c>
      <c r="M90" s="4">
        <f t="shared" ref="M90:M92" si="18">(J95-M79)*$F$29</f>
        <v>0</v>
      </c>
      <c r="P90" s="4">
        <f t="shared" ref="P90:P92" si="19">(M95-P79)*$F$29</f>
        <v>1.6000000000000001E-3</v>
      </c>
      <c r="S90" s="4">
        <f t="shared" ref="S90:S92" si="20">(P95-S79)*$F$29</f>
        <v>9.5968000000000008E-3</v>
      </c>
      <c r="V90" s="4">
        <f t="shared" ref="V90:V92" si="21">(S95-V79)*$F$29</f>
        <v>1.6000000000000004E-2</v>
      </c>
      <c r="Y90" s="4">
        <f t="shared" ref="Y90:Y92" si="22">(V95-Y79)*$F$29</f>
        <v>1.6E-2</v>
      </c>
    </row>
    <row r="91" spans="1:25" ht="17" x14ac:dyDescent="0.2">
      <c r="A91" s="47"/>
      <c r="B91" s="37"/>
      <c r="E91" s="14" t="s">
        <v>208</v>
      </c>
      <c r="G91" s="4">
        <f>G57*G34</f>
        <v>0</v>
      </c>
      <c r="J91" s="4">
        <f t="shared" ref="J90:J92" si="23">(G96-J80)*$F$29</f>
        <v>0</v>
      </c>
      <c r="M91" s="4">
        <f t="shared" si="18"/>
        <v>0</v>
      </c>
      <c r="P91" s="4">
        <f t="shared" si="19"/>
        <v>0</v>
      </c>
      <c r="S91" s="4">
        <f t="shared" si="20"/>
        <v>1.8400000000000001E-3</v>
      </c>
      <c r="V91" s="4">
        <f t="shared" si="21"/>
        <v>1.1036320000000002E-2</v>
      </c>
      <c r="Y91" s="4">
        <f t="shared" si="22"/>
        <v>1.8400000000000007E-2</v>
      </c>
    </row>
    <row r="92" spans="1:25" ht="17" x14ac:dyDescent="0.2">
      <c r="A92" s="47"/>
      <c r="B92" s="37"/>
      <c r="E92" s="14" t="s">
        <v>209</v>
      </c>
      <c r="G92" s="4">
        <f>G58*G35</f>
        <v>0</v>
      </c>
      <c r="J92" s="4">
        <f t="shared" si="23"/>
        <v>0</v>
      </c>
      <c r="M92" s="4">
        <f t="shared" si="18"/>
        <v>0</v>
      </c>
      <c r="P92" s="4">
        <f t="shared" si="19"/>
        <v>0</v>
      </c>
      <c r="S92" s="4">
        <f t="shared" si="20"/>
        <v>0</v>
      </c>
      <c r="V92" s="4">
        <f t="shared" si="21"/>
        <v>8.5999999999999998E-4</v>
      </c>
      <c r="Y92" s="4">
        <f t="shared" si="22"/>
        <v>5.1582799999999995E-3</v>
      </c>
    </row>
    <row r="93" spans="1:25" x14ac:dyDescent="0.2">
      <c r="E93" s="14"/>
    </row>
    <row r="94" spans="1:25" ht="17" x14ac:dyDescent="0.2">
      <c r="A94" s="47" t="s">
        <v>210</v>
      </c>
      <c r="B94" s="37" t="s">
        <v>175</v>
      </c>
      <c r="E94" s="14" t="s">
        <v>70</v>
      </c>
      <c r="G94" s="4">
        <f>G60*G37</f>
        <v>0</v>
      </c>
      <c r="J94" s="4">
        <f>G94 - J78 - J89 + J37*J84</f>
        <v>0.85</v>
      </c>
      <c r="M94" s="4">
        <f>J94 - M78 - M89 + M37*M84</f>
        <v>5.0983000000000001</v>
      </c>
      <c r="P94" s="4">
        <f>M94 - P78 - P89 + P37*P84</f>
        <v>15.288103399999999</v>
      </c>
      <c r="S94" s="4">
        <f>P94 - S78 - S89 + S37*S84</f>
        <v>32.257527193199998</v>
      </c>
      <c r="V94" s="4">
        <f>S94 - V78 - V89 + V37*V84</f>
        <v>39.082999999999998</v>
      </c>
      <c r="Y94" s="4">
        <f>V94 - Y78 - Y89 + Y37*Y84</f>
        <v>55.774358623197188</v>
      </c>
    </row>
    <row r="95" spans="1:25" ht="17" x14ac:dyDescent="0.2">
      <c r="A95" s="47"/>
      <c r="B95" s="37"/>
      <c r="E95" s="14" t="s">
        <v>71</v>
      </c>
      <c r="G95" s="4">
        <f>G61*G38</f>
        <v>0</v>
      </c>
      <c r="J95" s="4">
        <f>G95 - J79 - J90 + J38*J85</f>
        <v>0</v>
      </c>
      <c r="M95" s="4">
        <f>J95 - M79 - M90 + M38*M85</f>
        <v>0.8</v>
      </c>
      <c r="P95" s="4">
        <f>M95 - P79 - P90 + P38*P85</f>
        <v>4.7984</v>
      </c>
      <c r="S95" s="4">
        <f>P95 - S79 - S90 + S38*S85</f>
        <v>14.3888032</v>
      </c>
      <c r="V95" s="4">
        <f>S95 - V79 - V90 + V38*V85</f>
        <v>23.984000000000002</v>
      </c>
      <c r="Y95" s="4">
        <f>V95 - Y79 - Y90 + Y38*Y85</f>
        <v>36.783999999999999</v>
      </c>
    </row>
    <row r="96" spans="1:25" ht="17" x14ac:dyDescent="0.2">
      <c r="A96" s="47"/>
      <c r="B96" s="37"/>
      <c r="E96" s="14" t="s">
        <v>72</v>
      </c>
      <c r="G96" s="4">
        <f>G62*G39</f>
        <v>0</v>
      </c>
      <c r="J96" s="4">
        <f>G96 - J80 - J91 + J39*J86</f>
        <v>0</v>
      </c>
      <c r="M96" s="4">
        <f>J96 - M80 - M91 + M39*M86</f>
        <v>0</v>
      </c>
      <c r="P96" s="4">
        <f>M96 - P80 - P91 + P39*P86</f>
        <v>0.92</v>
      </c>
      <c r="S96" s="4">
        <f>P96 - S80 - S91 + S39*S86</f>
        <v>5.5181600000000008</v>
      </c>
      <c r="V96" s="4">
        <f>S96 - V80 - V91 + V39*V86</f>
        <v>16.547123679999999</v>
      </c>
      <c r="Y96" s="4">
        <f>V96 - Y80 - Y91 + Y39*Y86</f>
        <v>27.581600000000005</v>
      </c>
    </row>
    <row r="97" spans="1:25" ht="17" customHeight="1" x14ac:dyDescent="0.2">
      <c r="A97" s="47"/>
      <c r="B97" s="37"/>
      <c r="E97" s="14" t="s">
        <v>81</v>
      </c>
      <c r="G97" s="4">
        <f>G63*G40</f>
        <v>0</v>
      </c>
      <c r="J97" s="4">
        <f>G97 - J81 - J92 + J40*J87</f>
        <v>0</v>
      </c>
      <c r="M97" s="4">
        <f>J97 - M81 - M92 + M40*M87</f>
        <v>0</v>
      </c>
      <c r="P97" s="4">
        <f>M97 - P81 - P92 + P40*P87</f>
        <v>0</v>
      </c>
      <c r="S97" s="4">
        <f>P97 - S81 - S92 + S40*S87</f>
        <v>0.43</v>
      </c>
      <c r="V97" s="4">
        <f>S97 - V81 - V92 + V40*V87</f>
        <v>2.5791399999999998</v>
      </c>
      <c r="Y97" s="4">
        <f>V97 - Y81 - Y92 + Y40*Y87</f>
        <v>7.7339817200000001</v>
      </c>
    </row>
    <row r="98" spans="1:25" x14ac:dyDescent="0.2">
      <c r="D98" s="35"/>
      <c r="E98" s="14"/>
    </row>
    <row r="99" spans="1:25" ht="17" x14ac:dyDescent="0.2">
      <c r="A99" s="47" t="s">
        <v>211</v>
      </c>
      <c r="B99" s="37" t="s">
        <v>175</v>
      </c>
      <c r="D99" s="35"/>
      <c r="E99" s="14" t="s">
        <v>212</v>
      </c>
      <c r="G99" s="4">
        <f>G94*$G$20</f>
        <v>0</v>
      </c>
      <c r="J99" s="4">
        <f>J94*$G$20</f>
        <v>0.21249999999999999</v>
      </c>
      <c r="M99" s="4">
        <f>M94*$G$20</f>
        <v>1.274575</v>
      </c>
      <c r="P99" s="4">
        <f>P94*$G$20</f>
        <v>3.8220258499999997</v>
      </c>
      <c r="S99" s="4">
        <f>S94*$G$20</f>
        <v>8.0643817982999995</v>
      </c>
      <c r="V99" s="4">
        <f>V94*$G$20</f>
        <v>9.7707499999999996</v>
      </c>
      <c r="Y99" s="4">
        <f>Y94*$G$20</f>
        <v>13.943589655799297</v>
      </c>
    </row>
    <row r="100" spans="1:25" ht="17" x14ac:dyDescent="0.2">
      <c r="A100" s="47"/>
      <c r="B100" s="37"/>
      <c r="D100" s="35"/>
      <c r="E100" s="14" t="s">
        <v>213</v>
      </c>
      <c r="G100" s="4">
        <f t="shared" ref="G100:G102" si="24">G95*$G$20</f>
        <v>0</v>
      </c>
      <c r="J100" s="4">
        <f t="shared" ref="J100:J102" si="25">J95*$G$20</f>
        <v>0</v>
      </c>
      <c r="M100" s="4">
        <f t="shared" ref="M100:M102" si="26">M95*$G$20</f>
        <v>0.2</v>
      </c>
      <c r="P100" s="4">
        <f t="shared" ref="P100:P102" si="27">P95*$G$20</f>
        <v>1.1996</v>
      </c>
      <c r="S100" s="4">
        <f t="shared" ref="S100:S102" si="28">S95*$G$20</f>
        <v>3.5972008</v>
      </c>
      <c r="V100" s="4">
        <f t="shared" ref="V100:V102" si="29">V95*$G$20</f>
        <v>5.9960000000000004</v>
      </c>
      <c r="Y100" s="4">
        <f t="shared" ref="Y100:Y102" si="30">Y95*$G$20</f>
        <v>9.1959999999999997</v>
      </c>
    </row>
    <row r="101" spans="1:25" ht="17" x14ac:dyDescent="0.2">
      <c r="A101" s="47"/>
      <c r="B101" s="37"/>
      <c r="D101" s="35"/>
      <c r="E101" s="14" t="s">
        <v>214</v>
      </c>
      <c r="G101" s="4">
        <f>G96*$G$20</f>
        <v>0</v>
      </c>
      <c r="J101" s="4">
        <f>J96*$G$20</f>
        <v>0</v>
      </c>
      <c r="M101" s="4">
        <f>M96*$G$20</f>
        <v>0</v>
      </c>
      <c r="P101" s="4">
        <f>P96*$G$20</f>
        <v>0.23</v>
      </c>
      <c r="S101" s="4">
        <f>S96*$G$20</f>
        <v>1.3795400000000002</v>
      </c>
      <c r="V101" s="4">
        <f>V96*$G$20</f>
        <v>4.1367809199999996</v>
      </c>
      <c r="Y101" s="4">
        <f>Y96*$G$20</f>
        <v>6.8954000000000013</v>
      </c>
    </row>
    <row r="102" spans="1:25" ht="17" x14ac:dyDescent="0.2">
      <c r="A102" s="47"/>
      <c r="B102" s="37"/>
      <c r="D102" s="35"/>
      <c r="E102" s="14" t="s">
        <v>215</v>
      </c>
      <c r="G102" s="4">
        <f t="shared" si="24"/>
        <v>0</v>
      </c>
      <c r="J102" s="4">
        <f t="shared" si="25"/>
        <v>0</v>
      </c>
      <c r="M102" s="4">
        <f t="shared" si="26"/>
        <v>0</v>
      </c>
      <c r="P102" s="4">
        <f t="shared" si="27"/>
        <v>0</v>
      </c>
      <c r="S102" s="4">
        <f t="shared" si="28"/>
        <v>0.1075</v>
      </c>
      <c r="V102" s="4">
        <f t="shared" si="29"/>
        <v>0.64478499999999994</v>
      </c>
      <c r="Y102" s="4">
        <f t="shared" si="30"/>
        <v>1.93349543</v>
      </c>
    </row>
    <row r="103" spans="1:25" x14ac:dyDescent="0.2">
      <c r="A103" s="38"/>
      <c r="B103" s="45"/>
      <c r="D103" s="35"/>
      <c r="E103" s="14"/>
    </row>
    <row r="104" spans="1:25" x14ac:dyDescent="0.2">
      <c r="A104" s="38"/>
      <c r="B104" s="45"/>
      <c r="D104" s="35"/>
      <c r="E104" s="14"/>
    </row>
    <row r="105" spans="1:25" ht="17" x14ac:dyDescent="0.2">
      <c r="D105" s="35"/>
      <c r="E105" s="15" t="s">
        <v>140</v>
      </c>
      <c r="F105" s="8" t="s">
        <v>124</v>
      </c>
      <c r="G105" s="8"/>
    </row>
    <row r="106" spans="1:25" ht="17" x14ac:dyDescent="0.2">
      <c r="A106" s="46" t="s">
        <v>240</v>
      </c>
      <c r="B106" s="44" t="s">
        <v>183</v>
      </c>
      <c r="D106" s="35"/>
      <c r="E106" s="14" t="s">
        <v>90</v>
      </c>
      <c r="F106" s="4">
        <f>$F$28</f>
        <v>0.3</v>
      </c>
      <c r="G106" s="4">
        <f>$G$28</f>
        <v>0.92</v>
      </c>
      <c r="I106" s="4">
        <f>$F$28</f>
        <v>0.3</v>
      </c>
      <c r="J106" s="4">
        <f>$G$28</f>
        <v>0.92</v>
      </c>
      <c r="L106" s="4">
        <f>$F$28</f>
        <v>0.3</v>
      </c>
      <c r="M106" s="4">
        <f>$G$28</f>
        <v>0.92</v>
      </c>
      <c r="O106" s="4">
        <f>$F$28</f>
        <v>0.3</v>
      </c>
      <c r="P106" s="4">
        <f>$G$28</f>
        <v>0.92</v>
      </c>
      <c r="R106" s="4">
        <f>$F$28</f>
        <v>0.3</v>
      </c>
      <c r="S106" s="4">
        <f>$G$28</f>
        <v>0.92</v>
      </c>
      <c r="U106" s="4">
        <f>$F$28</f>
        <v>0.3</v>
      </c>
      <c r="V106" s="4">
        <f>$G$28</f>
        <v>0.92</v>
      </c>
      <c r="X106" s="4">
        <f>$F$28</f>
        <v>0.3</v>
      </c>
      <c r="Y106" s="4">
        <f>$G$28</f>
        <v>0.92</v>
      </c>
    </row>
    <row r="107" spans="1:25" ht="17" x14ac:dyDescent="0.2">
      <c r="A107" s="46" t="s">
        <v>241</v>
      </c>
      <c r="B107" s="40" t="s">
        <v>175</v>
      </c>
      <c r="E107" s="14" t="s">
        <v>141</v>
      </c>
      <c r="F107" s="4">
        <f>F7*$F$19</f>
        <v>1500000</v>
      </c>
      <c r="G107" s="4">
        <f>G7*$G$19</f>
        <v>25000000</v>
      </c>
      <c r="I107" s="4">
        <f>I7*$F$19</f>
        <v>1492500</v>
      </c>
      <c r="J107" s="4">
        <f>J7*$G$19</f>
        <v>24990000</v>
      </c>
      <c r="L107" s="4">
        <f>L7*$F$19</f>
        <v>1483200</v>
      </c>
      <c r="M107" s="4">
        <f>M7*$G$19</f>
        <v>24979000</v>
      </c>
      <c r="O107" s="4">
        <f>O7*$F$19</f>
        <v>1474500</v>
      </c>
      <c r="P107" s="4">
        <f>P7*$G$19</f>
        <v>24969600</v>
      </c>
      <c r="R107" s="4">
        <f>R7*$F$19</f>
        <v>1464000</v>
      </c>
      <c r="S107" s="4">
        <f>S7*$G$19</f>
        <v>24950400</v>
      </c>
      <c r="U107" s="4">
        <f>U7*$F$19</f>
        <v>1449000</v>
      </c>
      <c r="V107" s="4">
        <f>V7*$G$19</f>
        <v>24946500</v>
      </c>
      <c r="X107" s="4">
        <f>X7*$F$19</f>
        <v>1434300</v>
      </c>
      <c r="Y107" s="4">
        <f>Y7*$G$19</f>
        <v>24936000</v>
      </c>
    </row>
    <row r="108" spans="1:25" ht="17" x14ac:dyDescent="0.2">
      <c r="A108" s="46" t="s">
        <v>184</v>
      </c>
      <c r="B108" s="40" t="s">
        <v>175</v>
      </c>
      <c r="E108" s="14" t="s">
        <v>165</v>
      </c>
      <c r="F108" s="4">
        <v>1</v>
      </c>
      <c r="G108" s="4">
        <v>1</v>
      </c>
      <c r="I108" s="4">
        <f>IF(F110=0,0,MIN(MAX((F110/F107-$F$16)/($F$18-$F$16), 0), 1))</f>
        <v>1</v>
      </c>
      <c r="J108" s="4">
        <f>IF(G110=0,0,MIN(MAX((G110/G107-$F$16)/($F$18-$F$16), 0), 1))</f>
        <v>1</v>
      </c>
      <c r="L108" s="4">
        <f>IF(I110=0,0,MIN(MAX((I110/I107-$F$16)/($F$18-$F$16), 0), 1))</f>
        <v>1</v>
      </c>
      <c r="M108" s="4">
        <f>IF(J110=0,0,MIN(MAX((J110/J107-$F$16)/($F$18-$F$16), 0), 1))</f>
        <v>1</v>
      </c>
      <c r="O108" s="4">
        <f>IF(L110=0,0,MIN(MAX((L110/L107-$F$16)/($F$18-$F$16), 0), 1))</f>
        <v>1</v>
      </c>
      <c r="P108" s="4">
        <f>IF(M110=0,0,MIN(MAX((M110/M107-$F$16)/($F$18-$F$16), 0), 1))</f>
        <v>1</v>
      </c>
      <c r="R108" s="4">
        <f>IF(O110=0,0,MIN(MAX((O110/O107-$F$16)/($F$18-$F$16), 0), 1))</f>
        <v>1</v>
      </c>
      <c r="S108" s="4">
        <f>IF(P110=0,0,MIN(MAX((P110/P107-$F$16)/($F$18-$F$16), 0), 1))</f>
        <v>1</v>
      </c>
      <c r="U108" s="4">
        <f>IF(R110=0,0,MIN(MAX((R110/R107-$F$16)/($F$18-$F$16), 0), 1))</f>
        <v>1</v>
      </c>
      <c r="V108" s="4">
        <f>IF(S110=0,0,MIN(MAX((S110/S107-$F$16)/($F$18-$F$16), 0), 1))</f>
        <v>1</v>
      </c>
      <c r="X108" s="4">
        <f>IF(U110=0,0,MIN(MAX((U110/U107-$F$16)/($F$18-$F$16), 0), 1))</f>
        <v>1</v>
      </c>
      <c r="Y108" s="4">
        <f>IF(V110=0,0,MIN(MAX((V110/V107-$F$16)/($F$18-$F$16), 0), 1))</f>
        <v>0.89478920325752509</v>
      </c>
    </row>
    <row r="109" spans="1:25" ht="17" x14ac:dyDescent="0.2">
      <c r="A109" s="46" t="s">
        <v>185</v>
      </c>
      <c r="B109" s="43" t="s">
        <v>164</v>
      </c>
      <c r="E109" s="14" t="s">
        <v>131</v>
      </c>
      <c r="F109" s="4">
        <f>F106</f>
        <v>0.3</v>
      </c>
      <c r="G109" s="4">
        <f>G106</f>
        <v>0.92</v>
      </c>
      <c r="I109" s="4">
        <f xml:space="preserve"> I106*I108</f>
        <v>0.3</v>
      </c>
      <c r="J109" s="4">
        <f>J106*J108</f>
        <v>0.92</v>
      </c>
      <c r="L109" s="4">
        <f xml:space="preserve"> L106*L108</f>
        <v>0.3</v>
      </c>
      <c r="M109" s="4">
        <f>M106*M108</f>
        <v>0.92</v>
      </c>
      <c r="O109" s="4">
        <f xml:space="preserve"> O106*O108</f>
        <v>0.3</v>
      </c>
      <c r="P109" s="4">
        <f>P106*P108</f>
        <v>0.92</v>
      </c>
      <c r="R109" s="4">
        <f xml:space="preserve"> R106*R108</f>
        <v>0.3</v>
      </c>
      <c r="S109" s="4">
        <f>S106*S108</f>
        <v>0.92</v>
      </c>
      <c r="U109" s="4">
        <f xml:space="preserve"> U106*U108</f>
        <v>0.3</v>
      </c>
      <c r="V109" s="4">
        <f>V106*V108</f>
        <v>0.92</v>
      </c>
      <c r="X109" s="4">
        <f xml:space="preserve"> X106*X108</f>
        <v>0.3</v>
      </c>
      <c r="Y109" s="4">
        <f>Y106*Y108</f>
        <v>0.82320606699692311</v>
      </c>
    </row>
    <row r="110" spans="1:25" ht="17" x14ac:dyDescent="0.2">
      <c r="A110" s="46" t="s">
        <v>242</v>
      </c>
      <c r="B110" s="43" t="s">
        <v>164</v>
      </c>
      <c r="E110" s="14" t="s">
        <v>173</v>
      </c>
      <c r="F110" s="4">
        <f>F7*F19</f>
        <v>1500000</v>
      </c>
      <c r="G110" s="4">
        <f>G7*G19</f>
        <v>25000000</v>
      </c>
      <c r="I110" s="4">
        <f>F110 - F130 - F118 - F142+I109*I7</f>
        <v>1421423.1421982395</v>
      </c>
      <c r="J110" s="4">
        <f>G110 - G130 - G118 - G142 + J109*J7</f>
        <v>23256357.107801761</v>
      </c>
      <c r="L110" s="4">
        <f>I110 - I130 - I118 - I142+L109*L7</f>
        <v>1339098.0188325029</v>
      </c>
      <c r="M110" s="4">
        <f>J110 - J130 - J118 - J142 + M109*M7</f>
        <v>21469509.138674762</v>
      </c>
      <c r="O110" s="4">
        <f>L110 - L130 - L118 - L142+O109*O7</f>
        <v>1262299.2941418488</v>
      </c>
      <c r="P110" s="4">
        <f>M110 - M130 - M118 - M142 + P109*P7</f>
        <v>19621955.062304016</v>
      </c>
      <c r="R110" s="4">
        <f>O110 - O130 - O118 - O142+R109*R7</f>
        <v>1188284.3985212983</v>
      </c>
      <c r="S110" s="4">
        <f>P110 - P130 - P118 - P142 + S109*S7</f>
        <v>17672326.76258811</v>
      </c>
      <c r="U110" s="4">
        <f>R110 - R130 - R118 - R142+U109*U7</f>
        <v>1097914.9514073269</v>
      </c>
      <c r="V110" s="4">
        <f>S110 - S130 - S118 - S142 + V109*V7</f>
        <v>14958270.076713715</v>
      </c>
      <c r="X110" s="4">
        <f>U110 - U130 - U118 - U142+X109*X7</f>
        <v>819907.25090646883</v>
      </c>
      <c r="Y110" s="4">
        <f>V110 - V130 - V118 - V142 + Y109*Y7</f>
        <v>3187373.7005417161</v>
      </c>
    </row>
    <row r="111" spans="1:25" ht="17" x14ac:dyDescent="0.2">
      <c r="A111" s="46" t="s">
        <v>245</v>
      </c>
      <c r="B111" s="43" t="s">
        <v>164</v>
      </c>
      <c r="E111" s="14" t="s">
        <v>142</v>
      </c>
      <c r="F111" s="4">
        <f>F110/F7</f>
        <v>150</v>
      </c>
      <c r="G111" s="4">
        <f>G110/G7</f>
        <v>100</v>
      </c>
      <c r="I111" s="4">
        <f>I110/I7</f>
        <v>142.85659720585321</v>
      </c>
      <c r="J111" s="4">
        <f>J110/J7</f>
        <v>93.062653492604085</v>
      </c>
      <c r="L111" s="4">
        <f>L110/L7</f>
        <v>135.42657957448452</v>
      </c>
      <c r="M111" s="4">
        <f>M110/M7</f>
        <v>85.950234751890633</v>
      </c>
      <c r="O111" s="4">
        <f>O110/O7</f>
        <v>128.4129495566479</v>
      </c>
      <c r="P111" s="4">
        <f>P110/P7</f>
        <v>78.583377636421957</v>
      </c>
      <c r="R111" s="4">
        <f>R110/R7</f>
        <v>121.75045066816581</v>
      </c>
      <c r="S111" s="4">
        <f>S110/S7</f>
        <v>70.8298334398972</v>
      </c>
      <c r="U111" s="4">
        <f>U110/U7</f>
        <v>113.65579207115185</v>
      </c>
      <c r="V111" s="4">
        <f>V110/V7</f>
        <v>59.961397697928426</v>
      </c>
      <c r="X111" s="4">
        <f>X110/X7</f>
        <v>85.746418208164485</v>
      </c>
      <c r="Y111" s="4">
        <f>Y110/Y7</f>
        <v>12.782217278399568</v>
      </c>
    </row>
    <row r="112" spans="1:25" x14ac:dyDescent="0.2">
      <c r="E112" s="13"/>
    </row>
    <row r="113" spans="1:25" ht="17" x14ac:dyDescent="0.2">
      <c r="E113" s="11" t="s">
        <v>58</v>
      </c>
      <c r="F113" s="12"/>
      <c r="G113" s="12"/>
      <c r="I113" s="12"/>
      <c r="J113" s="12"/>
      <c r="L113" s="12"/>
      <c r="M113" s="12"/>
      <c r="O113" s="12"/>
      <c r="P113" s="12"/>
      <c r="R113" s="12"/>
      <c r="S113" s="12"/>
      <c r="U113" s="12"/>
      <c r="V113" s="12"/>
      <c r="X113" s="12"/>
      <c r="Y113" s="12"/>
    </row>
    <row r="114" spans="1:25" ht="17" x14ac:dyDescent="0.2">
      <c r="A114" s="46" t="s">
        <v>247</v>
      </c>
      <c r="B114" s="44" t="s">
        <v>183</v>
      </c>
      <c r="E114" s="10" t="s">
        <v>220</v>
      </c>
      <c r="F114" s="4">
        <f>F111*F7</f>
        <v>1500000</v>
      </c>
      <c r="G114" s="4">
        <f>G111*G7</f>
        <v>25000000</v>
      </c>
      <c r="I114" s="4">
        <f>I111*I7</f>
        <v>1421423.1421982395</v>
      </c>
      <c r="J114" s="4">
        <f>J111*J7</f>
        <v>23256357.107801761</v>
      </c>
      <c r="L114" s="4">
        <f>L111*L7</f>
        <v>1339098.0188325029</v>
      </c>
      <c r="M114" s="4">
        <f>M111*M7</f>
        <v>21469509.138674762</v>
      </c>
      <c r="O114" s="4">
        <f>O111*O7</f>
        <v>1262299.2941418488</v>
      </c>
      <c r="P114" s="4">
        <f>P111*P7</f>
        <v>19621955.062304016</v>
      </c>
      <c r="R114" s="4">
        <f>R111*R7</f>
        <v>1188284.3985212983</v>
      </c>
      <c r="S114" s="4">
        <f>S111*S7</f>
        <v>17672326.76258811</v>
      </c>
      <c r="U114" s="4">
        <f>U111*U7</f>
        <v>1097914.9514073269</v>
      </c>
      <c r="V114" s="4">
        <f>V111*V7</f>
        <v>14958270.076713715</v>
      </c>
      <c r="X114" s="4">
        <f>X111*X7</f>
        <v>819907.25090646883</v>
      </c>
      <c r="Y114" s="4">
        <f>Y111*Y7</f>
        <v>3187373.7005417161</v>
      </c>
    </row>
    <row r="115" spans="1:25" ht="17" x14ac:dyDescent="0.2">
      <c r="A115" s="46" t="s">
        <v>246</v>
      </c>
      <c r="B115" s="43" t="s">
        <v>164</v>
      </c>
      <c r="E115" s="10" t="s">
        <v>219</v>
      </c>
      <c r="G115" s="4">
        <f>SUM(G94:G97)</f>
        <v>0</v>
      </c>
      <c r="J115" s="4">
        <f>SUM(J94:J97)</f>
        <v>0.85</v>
      </c>
      <c r="M115" s="4">
        <f>SUM(M94:M97)</f>
        <v>5.8982999999999999</v>
      </c>
      <c r="P115" s="4">
        <f>SUM(P94:P97)</f>
        <v>21.0065034</v>
      </c>
      <c r="S115" s="4">
        <f>SUM(S94:S97)</f>
        <v>52.594490393199997</v>
      </c>
      <c r="V115" s="4">
        <f>SUM(V94:V97)</f>
        <v>82.193263680000001</v>
      </c>
      <c r="Y115" s="4">
        <f>SUM(Y94:Y97)</f>
        <v>127.87394034319721</v>
      </c>
    </row>
    <row r="116" spans="1:25" ht="17" x14ac:dyDescent="0.2">
      <c r="A116" s="46" t="s">
        <v>243</v>
      </c>
      <c r="B116" s="43" t="s">
        <v>164</v>
      </c>
      <c r="E116" s="10" t="s">
        <v>218</v>
      </c>
      <c r="F116" s="4">
        <f>F114+F115</f>
        <v>1500000</v>
      </c>
      <c r="G116" s="4">
        <f>G114+G115</f>
        <v>25000000</v>
      </c>
      <c r="I116" s="4">
        <f>I114+I115</f>
        <v>1421423.1421982395</v>
      </c>
      <c r="J116" s="4">
        <f>J114+J115</f>
        <v>23256357.957801763</v>
      </c>
      <c r="L116" s="4">
        <f>L114+L115</f>
        <v>1339098.0188325029</v>
      </c>
      <c r="M116" s="4">
        <f>M114+M115</f>
        <v>21469515.036974762</v>
      </c>
      <c r="O116" s="4">
        <f>O114+O115</f>
        <v>1262299.2941418488</v>
      </c>
      <c r="P116" s="4">
        <f>P114+P115</f>
        <v>19621976.068807416</v>
      </c>
      <c r="R116" s="4">
        <f>R114+R115</f>
        <v>1188284.3985212983</v>
      </c>
      <c r="S116" s="4">
        <f>S114+S115</f>
        <v>17672379.357078504</v>
      </c>
      <c r="U116" s="4">
        <f>U114+U115</f>
        <v>1097914.9514073269</v>
      </c>
      <c r="V116" s="4">
        <f>V114+V115</f>
        <v>14958352.269977394</v>
      </c>
      <c r="X116" s="4">
        <f>X114+X115</f>
        <v>819907.25090646883</v>
      </c>
      <c r="Y116" s="4">
        <f>Y114+Y115</f>
        <v>3187501.5744820591</v>
      </c>
    </row>
    <row r="117" spans="1:25" ht="17" x14ac:dyDescent="0.2">
      <c r="A117" s="46" t="s">
        <v>244</v>
      </c>
      <c r="B117" s="43" t="s">
        <v>164</v>
      </c>
      <c r="E117" s="10" t="s">
        <v>221</v>
      </c>
      <c r="F117" s="4">
        <f>F110*$F$20</f>
        <v>450000</v>
      </c>
      <c r="G117" s="4">
        <f>G110*$G$20</f>
        <v>6250000</v>
      </c>
      <c r="I117" s="4">
        <f>I110*$F$20</f>
        <v>426426.94265947182</v>
      </c>
      <c r="J117" s="4">
        <f>J110*$G$20</f>
        <v>5814089.2769504404</v>
      </c>
      <c r="L117" s="4">
        <f>L110*$F$20</f>
        <v>401729.40564975084</v>
      </c>
      <c r="M117" s="4">
        <f>M110*$G$20</f>
        <v>5367377.2846686905</v>
      </c>
      <c r="O117" s="4">
        <f>O110*$F$20</f>
        <v>378689.78824255464</v>
      </c>
      <c r="P117" s="4">
        <f>P110*$G$20</f>
        <v>4905488.7655760041</v>
      </c>
      <c r="R117" s="4">
        <f>R110*$F$20</f>
        <v>356485.31955638947</v>
      </c>
      <c r="S117" s="4">
        <f>S110*$G$20</f>
        <v>4418081.6906470275</v>
      </c>
      <c r="U117" s="4">
        <f>U110*$F$20</f>
        <v>329374.48542219802</v>
      </c>
      <c r="V117" s="4">
        <f>V110*$G$20</f>
        <v>3739567.5191784287</v>
      </c>
      <c r="X117" s="4">
        <f>X110*$F$20</f>
        <v>245972.17527194065</v>
      </c>
      <c r="Y117" s="4">
        <f>Y110*$G$20</f>
        <v>796843.42513542902</v>
      </c>
    </row>
    <row r="118" spans="1:25" ht="17" x14ac:dyDescent="0.2">
      <c r="A118" s="46" t="s">
        <v>248</v>
      </c>
      <c r="B118" s="40" t="s">
        <v>175</v>
      </c>
      <c r="E118" s="10" t="s">
        <v>271</v>
      </c>
      <c r="F118" s="4">
        <f>F9*F111</f>
        <v>7500</v>
      </c>
      <c r="G118" s="4">
        <f>G9*G111</f>
        <v>10000</v>
      </c>
      <c r="I118" s="4">
        <f>I9*I111</f>
        <v>8857.1090267628988</v>
      </c>
      <c r="J118" s="4">
        <f>J9*J111</f>
        <v>10236.891884186449</v>
      </c>
      <c r="L118" s="4">
        <f>L9*L111</f>
        <v>7854.741615320102</v>
      </c>
      <c r="M118" s="4">
        <f>M9*M111</f>
        <v>8079.3220666777197</v>
      </c>
      <c r="O118" s="4">
        <f>O9*O111</f>
        <v>8988.9064689653533</v>
      </c>
      <c r="P118" s="4">
        <f>P9*P111</f>
        <v>15088.008506193015</v>
      </c>
      <c r="R118" s="4">
        <f>R9*R111</f>
        <v>12175.045066816581</v>
      </c>
      <c r="S118" s="4">
        <f>S9*S111</f>
        <v>2762.363504155991</v>
      </c>
      <c r="U118" s="4">
        <f>U9*U111</f>
        <v>11138.267622972882</v>
      </c>
      <c r="V118" s="4">
        <f>V9*V111</f>
        <v>6295.9467582824846</v>
      </c>
      <c r="X118" s="4">
        <f>X9*X111</f>
        <v>8403.1489844001189</v>
      </c>
      <c r="Y118" s="4">
        <f>Y9*Y111</f>
        <v>1342.1328142319546</v>
      </c>
    </row>
    <row r="119" spans="1:25" ht="17" x14ac:dyDescent="0.2">
      <c r="A119" s="46" t="s">
        <v>267</v>
      </c>
      <c r="B119" s="40" t="s">
        <v>175</v>
      </c>
      <c r="E119" s="10" t="s">
        <v>272</v>
      </c>
      <c r="F119" s="4">
        <f>MIN(F118,F9*F15)</f>
        <v>250</v>
      </c>
      <c r="G119" s="4">
        <f>MIN(G118,G9*G15)</f>
        <v>1000</v>
      </c>
      <c r="I119" s="4">
        <f>MIN(I118,I9*I15)</f>
        <v>316.2</v>
      </c>
      <c r="J119" s="4">
        <f>MIN(J118,J9*J15)</f>
        <v>1078</v>
      </c>
      <c r="L119" s="4">
        <f>MIN(L118,L9*L15)</f>
        <v>301.60000000000002</v>
      </c>
      <c r="M119" s="4">
        <f>MIN(M118,M9*M15)</f>
        <v>921.2</v>
      </c>
      <c r="O119" s="4">
        <f>MIN(O118,O9*O15)</f>
        <v>329</v>
      </c>
      <c r="P119" s="4">
        <f>MIN(P118,P9*P15)</f>
        <v>1900.8000000000002</v>
      </c>
      <c r="R119" s="4">
        <f>MIN(R118,R9*R15)</f>
        <v>520</v>
      </c>
      <c r="S119" s="4">
        <f>MIN(S118,S9*S15)</f>
        <v>393.9</v>
      </c>
      <c r="U119" s="4">
        <f>MIN(U118,U9*U15)</f>
        <v>401.79999999999995</v>
      </c>
      <c r="V119" s="4">
        <f>MIN(V118,V9*V15)</f>
        <v>1155</v>
      </c>
      <c r="X119" s="4">
        <f>MIN(X118,X9*X15)</f>
        <v>499.79999999999995</v>
      </c>
      <c r="Y119" s="4">
        <f>MIN(Y118,Y9*Y15)</f>
        <v>945</v>
      </c>
    </row>
    <row r="120" spans="1:25" ht="17" x14ac:dyDescent="0.2">
      <c r="A120" s="46" t="s">
        <v>268</v>
      </c>
      <c r="B120" s="40" t="s">
        <v>175</v>
      </c>
      <c r="E120" s="10" t="s">
        <v>259</v>
      </c>
      <c r="F120" s="4">
        <f>(F118-F119)*$F$14</f>
        <v>5075</v>
      </c>
      <c r="G120" s="4">
        <f>(G118-G119+G46-G52)*$F$14</f>
        <v>6300</v>
      </c>
      <c r="I120" s="4">
        <f>(I118-I119)*$F$14</f>
        <v>5978.6363187340285</v>
      </c>
      <c r="J120" s="4">
        <f>(J118-J119+J46-J52)*$F$14</f>
        <v>6411.2243189305136</v>
      </c>
      <c r="L120" s="4">
        <f>(L118-L119)*$F$14</f>
        <v>5287.1991307240705</v>
      </c>
      <c r="M120" s="4">
        <f>(M118-M119+M46-M52)*$F$14</f>
        <v>5010.6854466744035</v>
      </c>
      <c r="O120" s="4">
        <f>(O118-O119)*$F$14</f>
        <v>6061.9345282757467</v>
      </c>
      <c r="P120" s="4">
        <f>(P118-P119+P46-P52)*$F$14</f>
        <v>9231.0459543351099</v>
      </c>
      <c r="R120" s="4">
        <f>(R118-R119)*$F$14</f>
        <v>8158.5315467716064</v>
      </c>
      <c r="S120" s="4">
        <f>(S118-S119+S46-S52)*$F$14</f>
        <v>1657.9244529091936</v>
      </c>
      <c r="U120" s="4">
        <f>(U118-U119)*$F$14</f>
        <v>7515.5273360810179</v>
      </c>
      <c r="V120" s="4">
        <f>(V118-V119+V46-V52)*$F$14</f>
        <v>3598.6627307977387</v>
      </c>
      <c r="X120" s="4">
        <f>(X118-X119)*$F$14</f>
        <v>5532.3442890800825</v>
      </c>
      <c r="Y120" s="4">
        <f>(Y118-Y119+Y46-Y52)*$F$14</f>
        <v>277.99296996236819</v>
      </c>
    </row>
    <row r="121" spans="1:25" ht="17" x14ac:dyDescent="0.2">
      <c r="A121" s="46" t="s">
        <v>260</v>
      </c>
      <c r="B121" s="43" t="s">
        <v>164</v>
      </c>
      <c r="E121" s="14" t="s">
        <v>257</v>
      </c>
      <c r="F121" s="4">
        <f>MIN(F120+G120, F32)</f>
        <v>11375</v>
      </c>
      <c r="I121" s="4">
        <f>MIN(I120+J120, I32)</f>
        <v>12389.860637664542</v>
      </c>
      <c r="L121" s="4">
        <f>MIN(L120+M120, L32)</f>
        <v>10297.884577398474</v>
      </c>
      <c r="O121" s="4">
        <f>MIN(O120+P120, O32)</f>
        <v>15292.980482610856</v>
      </c>
      <c r="R121" s="4">
        <f>MIN(R120+S120, R32)</f>
        <v>9816.4559996808002</v>
      </c>
      <c r="U121" s="4">
        <f>MIN(U120+V120, U32)</f>
        <v>11114.190066878757</v>
      </c>
      <c r="X121" s="4">
        <f>MIN(X120+Y120, X32)</f>
        <v>5810.3372590424506</v>
      </c>
    </row>
    <row r="122" spans="1:25" ht="17" x14ac:dyDescent="0.2">
      <c r="A122" s="46" t="s">
        <v>261</v>
      </c>
      <c r="B122" s="40" t="s">
        <v>175</v>
      </c>
      <c r="E122" s="14" t="s">
        <v>273</v>
      </c>
      <c r="F122" s="4">
        <f>F120/(F120+G120)</f>
        <v>0.44615384615384618</v>
      </c>
      <c r="G122" s="4">
        <f>G120/(F120+G120)</f>
        <v>0.55384615384615388</v>
      </c>
      <c r="I122" s="4">
        <f>I120/(I120+J120)</f>
        <v>0.48254266077531816</v>
      </c>
      <c r="J122" s="4">
        <f>J120/(I120+J120)</f>
        <v>0.51745733922468184</v>
      </c>
      <c r="L122" s="4">
        <f>L120/(L120+M120)</f>
        <v>0.51342575176345207</v>
      </c>
      <c r="M122" s="4">
        <f>M120/(L120+M120)</f>
        <v>0.48657424823654793</v>
      </c>
      <c r="O122" s="4">
        <f>O120/(O120+P120)</f>
        <v>0.39638673018438575</v>
      </c>
      <c r="P122" s="4">
        <f>P120/(O120+P120)</f>
        <v>0.60361326981561425</v>
      </c>
      <c r="R122" s="4">
        <f>R120/(R120+S120)</f>
        <v>0.83110763671093679</v>
      </c>
      <c r="S122" s="4">
        <f>S120/(R120+S120)</f>
        <v>0.16889236328906318</v>
      </c>
      <c r="U122" s="4">
        <f>U120/(U120+V120)</f>
        <v>0.67621007836440883</v>
      </c>
      <c r="V122" s="4">
        <f>V120/(U120+V120)</f>
        <v>0.32378992163559123</v>
      </c>
      <c r="X122" s="4">
        <f>X120/(X120+Y120)</f>
        <v>0.95215545026586257</v>
      </c>
      <c r="Y122" s="4">
        <f>Y120/(X120+Y120)</f>
        <v>4.7844549734137418E-2</v>
      </c>
    </row>
    <row r="123" spans="1:25" ht="34" x14ac:dyDescent="0.2">
      <c r="A123" s="46" t="s">
        <v>186</v>
      </c>
      <c r="B123" s="40" t="s">
        <v>175</v>
      </c>
      <c r="E123" s="10" t="s">
        <v>121</v>
      </c>
      <c r="F123" s="4">
        <f>MAX(F13-F26, 0)*F133</f>
        <v>741757.5</v>
      </c>
      <c r="G123" s="4">
        <f>MAX(G13-G26, 0)*G133</f>
        <v>19970010</v>
      </c>
      <c r="I123" s="4">
        <f>MAX(I13-I26, 0)*I133</f>
        <v>697549.84714221046</v>
      </c>
      <c r="J123" s="4">
        <f>MAX(J13-J26, 0)*J133</f>
        <v>18573008.54128737</v>
      </c>
      <c r="L123" s="4">
        <f>MAX(L13-L26, 0)*L133</f>
        <v>585747.5895575179</v>
      </c>
      <c r="M123" s="4">
        <f>MAX(M13-M26, 0)*M133</f>
        <v>17143948.479013555</v>
      </c>
      <c r="O123" s="4">
        <f>MAX(O13-O26, 0)*O133</f>
        <v>482268.69033299608</v>
      </c>
      <c r="P123" s="4">
        <f>MAX(P13-P26, 0)*P133</f>
        <v>15657747.771976728</v>
      </c>
      <c r="R123" s="4">
        <f>MAX(R13-R26, 0)*R133</f>
        <v>384257.42411140393</v>
      </c>
      <c r="S123" s="4">
        <f>MAX(S13-S26, 0)*S133</f>
        <v>14178856.060528994</v>
      </c>
      <c r="U123" s="4">
        <f>MAX(U13-U26, 0)*U133</f>
        <v>268100.68087206065</v>
      </c>
      <c r="V123" s="4">
        <f>MAX(V13-V26, 0)*V133</f>
        <v>11963898.943907974</v>
      </c>
      <c r="X123" s="4">
        <f>MAX(X13-X26, 0)*X133</f>
        <v>193790.29082328439</v>
      </c>
      <c r="Y123" s="4">
        <f>MAX(Y13-Y26, 0)*Y133</f>
        <v>2533336.3124467055</v>
      </c>
    </row>
    <row r="125" spans="1:25" ht="17" x14ac:dyDescent="0.2">
      <c r="E125" s="15" t="s">
        <v>73</v>
      </c>
      <c r="F125" s="8"/>
      <c r="G125" s="8"/>
      <c r="I125" s="8"/>
      <c r="J125" s="8"/>
      <c r="L125" s="8"/>
      <c r="M125" s="8"/>
      <c r="O125" s="8"/>
      <c r="P125" s="8"/>
      <c r="R125" s="8"/>
      <c r="S125" s="8"/>
      <c r="U125" s="8"/>
      <c r="V125" s="8"/>
      <c r="X125" s="8"/>
      <c r="Y125" s="8"/>
    </row>
    <row r="126" spans="1:25" ht="17" x14ac:dyDescent="0.2">
      <c r="A126" s="46" t="s">
        <v>262</v>
      </c>
      <c r="B126" s="40" t="s">
        <v>175</v>
      </c>
      <c r="E126" s="14" t="s">
        <v>264</v>
      </c>
      <c r="F126" s="4">
        <f>MAX(F32-F121,0)</f>
        <v>1988625</v>
      </c>
      <c r="I126" s="4">
        <f>MAX(I32-I121,0)</f>
        <v>2037610.1393623354</v>
      </c>
      <c r="L126" s="4">
        <f>MAX(L32-L121,0)</f>
        <v>2099702.1154226013</v>
      </c>
      <c r="O126" s="4">
        <f>MAX(O32-O121,0)</f>
        <v>2194707.0195173891</v>
      </c>
      <c r="R126" s="4">
        <f>MAX(R32-R121,0)</f>
        <v>2990183.5440003192</v>
      </c>
      <c r="U126" s="4">
        <f>MAX(U32-U121,0)</f>
        <v>24988885.809933122</v>
      </c>
      <c r="X126" s="4">
        <f>MAX(X32-X121,0)</f>
        <v>2514189.6627409575</v>
      </c>
    </row>
    <row r="127" spans="1:25" ht="17" x14ac:dyDescent="0.2">
      <c r="A127" s="46" t="s">
        <v>263</v>
      </c>
      <c r="B127" s="40" t="s">
        <v>175</v>
      </c>
      <c r="E127" s="10" t="s">
        <v>166</v>
      </c>
      <c r="F127" s="4">
        <f>MIN(F138,F126)</f>
        <v>1988625</v>
      </c>
      <c r="I127" s="4">
        <f>MIN(I138,I126)</f>
        <v>2037610.1393623354</v>
      </c>
      <c r="L127" s="4">
        <f>MIN(L138,L126)</f>
        <v>2099702.1154226013</v>
      </c>
      <c r="O127" s="4">
        <f>MIN(O138,O126)</f>
        <v>2194707.0195173891</v>
      </c>
      <c r="R127" s="4">
        <f>MIN(R138,R126)</f>
        <v>2990183.5440003192</v>
      </c>
      <c r="U127" s="4">
        <f>MIN(U138,U126)</f>
        <v>12231999.624780035</v>
      </c>
      <c r="X127" s="4">
        <f>MIN(X138,X126)</f>
        <v>1789147.7110482706</v>
      </c>
    </row>
    <row r="128" spans="1:25" ht="17" x14ac:dyDescent="0.2">
      <c r="A128" s="46" t="s">
        <v>274</v>
      </c>
      <c r="B128" s="40" t="s">
        <v>175</v>
      </c>
      <c r="E128" s="10" t="s">
        <v>123</v>
      </c>
      <c r="F128" s="4">
        <f>F126-F127</f>
        <v>0</v>
      </c>
      <c r="I128" s="4">
        <f>I126-I127</f>
        <v>0</v>
      </c>
      <c r="L128" s="4">
        <f>L126-L127</f>
        <v>0</v>
      </c>
      <c r="O128" s="4">
        <f>O126-O127</f>
        <v>0</v>
      </c>
      <c r="R128" s="4">
        <f>R126-R127</f>
        <v>0</v>
      </c>
      <c r="U128" s="4">
        <f>U126-U127</f>
        <v>12756886.185153088</v>
      </c>
      <c r="X128" s="4">
        <f>X126-X127</f>
        <v>725041.95169268688</v>
      </c>
    </row>
    <row r="129" spans="1:28" ht="17" x14ac:dyDescent="0.2">
      <c r="A129" s="46" t="s">
        <v>217</v>
      </c>
      <c r="B129" s="40" t="s">
        <v>175</v>
      </c>
      <c r="E129" s="10" t="s">
        <v>146</v>
      </c>
      <c r="F129" s="4">
        <f>MIN(F128,G75)</f>
        <v>0</v>
      </c>
      <c r="I129" s="4">
        <f>MIN(I128,J75)</f>
        <v>0</v>
      </c>
      <c r="L129" s="4">
        <f>MIN(L128,M75)</f>
        <v>0</v>
      </c>
      <c r="O129" s="4">
        <f>MIN(O128,P75)</f>
        <v>0</v>
      </c>
      <c r="R129" s="4">
        <f>MIN(R128,S75)</f>
        <v>0</v>
      </c>
      <c r="U129" s="4">
        <f>MIN(U128,V75)</f>
        <v>30.146330393199996</v>
      </c>
      <c r="X129" s="4">
        <f>MIN(X128,Y75)</f>
        <v>53.914123679999996</v>
      </c>
    </row>
    <row r="130" spans="1:28" ht="17" x14ac:dyDescent="0.2">
      <c r="A130" s="46" t="s">
        <v>270</v>
      </c>
      <c r="B130" s="40" t="s">
        <v>175</v>
      </c>
      <c r="E130" s="10" t="s">
        <v>120</v>
      </c>
      <c r="F130" s="4">
        <f>F139*F127</f>
        <v>71219.296394549616</v>
      </c>
      <c r="G130" s="4">
        <f>G139*F127</f>
        <v>1917405.7036054505</v>
      </c>
      <c r="I130" s="4">
        <f>I139*I127</f>
        <v>73756.795864359185</v>
      </c>
      <c r="J130" s="4">
        <f>J139*I127</f>
        <v>1963853.343497976</v>
      </c>
      <c r="L130" s="4">
        <f>L139*L127</f>
        <v>69369.234990881247</v>
      </c>
      <c r="M130" s="4">
        <f>M139*L127</f>
        <v>2030332.8804317201</v>
      </c>
      <c r="O130" s="4">
        <f>O139*O127</f>
        <v>65578.525427093409</v>
      </c>
      <c r="P130" s="4">
        <f>P139*O127</f>
        <v>2129128.4940902959</v>
      </c>
      <c r="R130" s="4">
        <f>R139*R127</f>
        <v>78897.979298843828</v>
      </c>
      <c r="S130" s="4">
        <f>S139*R127</f>
        <v>2911285.5647014757</v>
      </c>
      <c r="U130" s="4">
        <f>U139*U127</f>
        <v>268100.68087206065</v>
      </c>
      <c r="V130" s="4">
        <f>V139*U127</f>
        <v>11963898.943907974</v>
      </c>
      <c r="X130" s="4">
        <f>X139*X127</f>
        <v>193790.29082328439</v>
      </c>
      <c r="Y130" s="4">
        <f>Y139*X127</f>
        <v>1595357.4202249863</v>
      </c>
    </row>
    <row r="131" spans="1:28" ht="17" x14ac:dyDescent="0.2">
      <c r="A131" s="46" t="s">
        <v>275</v>
      </c>
      <c r="B131" s="43" t="s">
        <v>164</v>
      </c>
      <c r="E131" s="10" t="s">
        <v>166</v>
      </c>
      <c r="F131" s="4">
        <f>F130</f>
        <v>71219.296394549616</v>
      </c>
      <c r="G131" s="4">
        <f>G130+F129</f>
        <v>1917405.7036054505</v>
      </c>
      <c r="I131" s="4">
        <f>I130</f>
        <v>73756.795864359185</v>
      </c>
      <c r="J131" s="4">
        <f>J130+I129</f>
        <v>1963853.343497976</v>
      </c>
      <c r="L131" s="4">
        <f>L130</f>
        <v>69369.234990881247</v>
      </c>
      <c r="M131" s="4">
        <f>M130+L129</f>
        <v>2030332.8804317201</v>
      </c>
      <c r="O131" s="4">
        <f>O130</f>
        <v>65578.525427093409</v>
      </c>
      <c r="P131" s="4">
        <f>P130+O129</f>
        <v>2129128.4940902959</v>
      </c>
      <c r="R131" s="4">
        <f>R130</f>
        <v>78897.979298843828</v>
      </c>
      <c r="S131" s="4">
        <f>S130+R129</f>
        <v>2911285.5647014757</v>
      </c>
      <c r="U131" s="4">
        <f>U130</f>
        <v>268100.68087206065</v>
      </c>
      <c r="V131" s="4">
        <f>V130+U129</f>
        <v>11963929.090238368</v>
      </c>
      <c r="X131" s="4">
        <f>X130</f>
        <v>193790.29082328439</v>
      </c>
      <c r="Y131" s="4">
        <f>Y130+X129</f>
        <v>1595411.3343486662</v>
      </c>
    </row>
    <row r="132" spans="1:28" ht="17" x14ac:dyDescent="0.2">
      <c r="E132" s="15" t="s">
        <v>74</v>
      </c>
      <c r="F132" s="8"/>
      <c r="G132" s="8"/>
      <c r="I132" s="8"/>
      <c r="J132" s="8"/>
      <c r="L132" s="8"/>
      <c r="M132" s="8"/>
      <c r="O132" s="8"/>
      <c r="P132" s="8"/>
      <c r="R132" s="8"/>
      <c r="S132" s="8"/>
      <c r="U132" s="8"/>
      <c r="V132" s="8"/>
      <c r="X132" s="8"/>
      <c r="Y132" s="8"/>
    </row>
    <row r="133" spans="1:28" ht="34" x14ac:dyDescent="0.2">
      <c r="A133" s="46" t="s">
        <v>279</v>
      </c>
      <c r="B133" s="40" t="s">
        <v>175</v>
      </c>
      <c r="E133" s="10" t="s">
        <v>75</v>
      </c>
      <c r="F133" s="4">
        <f>MAX(F111-$F21,0)</f>
        <v>149.85</v>
      </c>
      <c r="G133" s="4">
        <f>MAX(G111-$G21,0)</f>
        <v>99.9</v>
      </c>
      <c r="I133" s="4">
        <f>MAX(I111-$F21,0)</f>
        <v>142.7065972058532</v>
      </c>
      <c r="J133" s="4">
        <f>MAX(J111-$G21,0)</f>
        <v>92.96265349260409</v>
      </c>
      <c r="L133" s="4">
        <f>MAX(L111-$F21,0)</f>
        <v>135.27657957448451</v>
      </c>
      <c r="M133" s="4">
        <f>MAX(M111-$G21,0)</f>
        <v>85.850234751890639</v>
      </c>
      <c r="O133" s="4">
        <f>MAX(O111-$F21,0)</f>
        <v>128.2629495566479</v>
      </c>
      <c r="P133" s="4">
        <f>MAX(P111-$G21,0)</f>
        <v>78.483377636421963</v>
      </c>
      <c r="R133" s="4">
        <f>MAX(R111-$F21,0)</f>
        <v>121.60045066816581</v>
      </c>
      <c r="S133" s="4">
        <f>MAX(S111-$G21,0)</f>
        <v>70.729833439897206</v>
      </c>
      <c r="U133" s="4">
        <f>MAX(U111-$F21,0)</f>
        <v>113.50579207115184</v>
      </c>
      <c r="V133" s="4">
        <f>MAX(V111-$G21,0)</f>
        <v>59.861397697928425</v>
      </c>
      <c r="X133" s="4">
        <f>MAX(X111-$F21,0)</f>
        <v>85.596418208164479</v>
      </c>
      <c r="Y133" s="4">
        <f>MAX(Y111-$G21,0)</f>
        <v>12.682217278399568</v>
      </c>
    </row>
    <row r="134" spans="1:28" ht="34" x14ac:dyDescent="0.2">
      <c r="A134" s="46" t="s">
        <v>278</v>
      </c>
      <c r="B134" s="40" t="s">
        <v>175</v>
      </c>
      <c r="E134" s="10" t="s">
        <v>137</v>
      </c>
      <c r="F134" s="4">
        <f>F133/$F$22</f>
        <v>1</v>
      </c>
      <c r="G134" s="4">
        <f>G133/$G$22</f>
        <v>1</v>
      </c>
      <c r="I134" s="4">
        <f>I133/$F$22</f>
        <v>0.95232964435003808</v>
      </c>
      <c r="J134" s="4">
        <f>J133/$G$22</f>
        <v>0.93055709201805892</v>
      </c>
      <c r="L134" s="4">
        <f>L133/$F$22</f>
        <v>0.9027466104403371</v>
      </c>
      <c r="M134" s="4">
        <f>M133/$G$22</f>
        <v>0.85936170922813448</v>
      </c>
      <c r="O134" s="4">
        <f>O133/$F$22</f>
        <v>0.85594227265030298</v>
      </c>
      <c r="P134" s="4">
        <f>P133/$G$22</f>
        <v>0.78561939575997952</v>
      </c>
      <c r="R134" s="4">
        <f>R133/$F$22</f>
        <v>0.8114811522733788</v>
      </c>
      <c r="S134" s="4">
        <f>S133/$G$22</f>
        <v>0.70800634073971169</v>
      </c>
      <c r="U134" s="4">
        <f>U133/$F$22</f>
        <v>0.75746274321756324</v>
      </c>
      <c r="V134" s="4">
        <f>V133/$G$22</f>
        <v>0.59921319016945362</v>
      </c>
      <c r="X134" s="4">
        <f>X133/$F$22</f>
        <v>0.57121400205648643</v>
      </c>
      <c r="Y134" s="4">
        <f>Y133/$G$22</f>
        <v>0.12694912190590157</v>
      </c>
      <c r="Z134">
        <v>0.5</v>
      </c>
      <c r="AA134">
        <f>SUM(Z$6:Z134)</f>
        <v>0.5</v>
      </c>
      <c r="AB134">
        <v>20</v>
      </c>
    </row>
    <row r="135" spans="1:28" ht="17" x14ac:dyDescent="0.2">
      <c r="A135" s="46" t="s">
        <v>187</v>
      </c>
      <c r="B135" s="40" t="s">
        <v>175</v>
      </c>
      <c r="E135" s="10" t="s">
        <v>188</v>
      </c>
      <c r="F135" s="4">
        <f>MAX(MIN(F134/$F$17, 1), 0)</f>
        <v>1</v>
      </c>
      <c r="G135" s="4">
        <f>MAX(MIN((G134-$F$16)/$F$17, 1), 0)</f>
        <v>1</v>
      </c>
      <c r="I135" s="4">
        <f>MAX(MIN(I134/$F$17, 1), 0)</f>
        <v>1</v>
      </c>
      <c r="J135" s="4">
        <f>MAX(MIN((J134-$F$16)/$F$17, 1), 0)</f>
        <v>1</v>
      </c>
      <c r="L135" s="4">
        <f>MAX(MIN(L134/$F$17, 1), 0)</f>
        <v>1</v>
      </c>
      <c r="M135" s="4">
        <f>MAX(MIN((M134-$F$16)/$F$17, 1), 0)</f>
        <v>1</v>
      </c>
      <c r="O135" s="4">
        <f>MAX(MIN(O134/$F$17, 1), 0)</f>
        <v>1</v>
      </c>
      <c r="P135" s="4">
        <f>MAX(MIN((P134-$F$16)/$F$17, 1), 0)</f>
        <v>1</v>
      </c>
      <c r="R135" s="4">
        <f>MAX(MIN(R134/$F$17, 1), 0)</f>
        <v>1</v>
      </c>
      <c r="S135" s="4">
        <f>MAX(MIN((S134-$F$16)/$F$17, 1), 0)</f>
        <v>1</v>
      </c>
      <c r="U135" s="4">
        <f>MAX(MIN(U134/$F$17, 1), 0)</f>
        <v>1</v>
      </c>
      <c r="V135" s="4">
        <f>MAX(MIN((V134-$F$16)/$F$17, 1), 0)</f>
        <v>1</v>
      </c>
      <c r="X135" s="4">
        <f>MAX(MIN(X134/$F$17, 1), 0)</f>
        <v>1</v>
      </c>
      <c r="Y135" s="4">
        <f>MAX(MIN((Y134-$F$16)/$F$17, 1), 0)</f>
        <v>0.62974560952950787</v>
      </c>
      <c r="Z135">
        <v>0.3</v>
      </c>
      <c r="AA135">
        <f>SUM(Z$6:Z135)</f>
        <v>0.8</v>
      </c>
      <c r="AB135">
        <v>20</v>
      </c>
    </row>
    <row r="136" spans="1:28" x14ac:dyDescent="0.2">
      <c r="A136" s="46"/>
      <c r="Z136">
        <v>0.2</v>
      </c>
      <c r="AA136">
        <f>SUM(Z$6:Z136)</f>
        <v>1</v>
      </c>
      <c r="AB136">
        <v>20</v>
      </c>
    </row>
    <row r="137" spans="1:28" ht="17" x14ac:dyDescent="0.2">
      <c r="A137" s="46" t="s">
        <v>189</v>
      </c>
      <c r="B137" s="40" t="s">
        <v>175</v>
      </c>
      <c r="E137" s="10" t="s">
        <v>76</v>
      </c>
      <c r="F137" s="4">
        <f>F123*F135</f>
        <v>741757.5</v>
      </c>
      <c r="G137" s="4">
        <f>G123*G135</f>
        <v>19970010</v>
      </c>
      <c r="I137" s="4">
        <f>I123*I135</f>
        <v>697549.84714221046</v>
      </c>
      <c r="J137" s="4">
        <f>J123*J135</f>
        <v>18573008.54128737</v>
      </c>
      <c r="L137" s="4">
        <f>L123*L135</f>
        <v>585747.5895575179</v>
      </c>
      <c r="M137" s="4">
        <f>M123*M135</f>
        <v>17143948.479013555</v>
      </c>
      <c r="O137" s="4">
        <f>O123*O135</f>
        <v>482268.69033299608</v>
      </c>
      <c r="P137" s="4">
        <f>P123*P135</f>
        <v>15657747.771976728</v>
      </c>
      <c r="R137" s="4">
        <f>R123*R135</f>
        <v>384257.42411140393</v>
      </c>
      <c r="S137" s="4">
        <f>S123*S135</f>
        <v>14178856.060528994</v>
      </c>
      <c r="U137" s="4">
        <f>U123*U135</f>
        <v>268100.68087206065</v>
      </c>
      <c r="V137" s="4">
        <f>V123*V135</f>
        <v>11963898.943907974</v>
      </c>
      <c r="X137" s="4">
        <f>X123*X135</f>
        <v>193790.29082328439</v>
      </c>
      <c r="Y137" s="4">
        <f>Y123*Y135</f>
        <v>1595357.4202249863</v>
      </c>
      <c r="Z137">
        <v>0.125</v>
      </c>
      <c r="AA137">
        <f>SUM(Z$6:Z155)</f>
        <v>1.125</v>
      </c>
      <c r="AB137">
        <v>20</v>
      </c>
    </row>
    <row r="138" spans="1:28" ht="17" x14ac:dyDescent="0.2">
      <c r="A138" s="46" t="s">
        <v>190</v>
      </c>
      <c r="B138" s="40" t="s">
        <v>175</v>
      </c>
      <c r="E138" s="10" t="s">
        <v>122</v>
      </c>
      <c r="F138" s="4">
        <f>F137+G137</f>
        <v>20711767.5</v>
      </c>
      <c r="G138" s="4">
        <f>F138</f>
        <v>20711767.5</v>
      </c>
      <c r="I138" s="4">
        <f>I137+J137</f>
        <v>19270558.388429582</v>
      </c>
      <c r="J138" s="4">
        <f>I138</f>
        <v>19270558.388429582</v>
      </c>
      <c r="L138" s="4">
        <f>L137+M137</f>
        <v>17729696.068571072</v>
      </c>
      <c r="M138" s="4">
        <f>L138</f>
        <v>17729696.068571072</v>
      </c>
      <c r="O138" s="4">
        <f>O137+P137</f>
        <v>16140016.462309724</v>
      </c>
      <c r="P138" s="4">
        <f>O138</f>
        <v>16140016.462309724</v>
      </c>
      <c r="R138" s="4">
        <f>R137+S137</f>
        <v>14563113.484640397</v>
      </c>
      <c r="S138" s="4">
        <f>R138</f>
        <v>14563113.484640397</v>
      </c>
      <c r="U138" s="4">
        <f>U137+V137</f>
        <v>12231999.624780035</v>
      </c>
      <c r="V138" s="4">
        <f>U138</f>
        <v>12231999.624780035</v>
      </c>
      <c r="X138" s="4">
        <f>X137+Y137</f>
        <v>1789147.7110482706</v>
      </c>
      <c r="Y138" s="4">
        <f>X138</f>
        <v>1789147.7110482706</v>
      </c>
    </row>
    <row r="139" spans="1:28" ht="17" x14ac:dyDescent="0.2">
      <c r="A139" s="46" t="s">
        <v>191</v>
      </c>
      <c r="B139" s="40" t="s">
        <v>175</v>
      </c>
      <c r="E139" s="10" t="s">
        <v>119</v>
      </c>
      <c r="F139" s="4">
        <f>F137/F138</f>
        <v>3.5813336548896658E-2</v>
      </c>
      <c r="G139" s="4">
        <f>G137/G138</f>
        <v>0.96418666345110338</v>
      </c>
      <c r="I139" s="4">
        <f>I137/I138</f>
        <v>3.6197697704547727E-2</v>
      </c>
      <c r="J139" s="4">
        <f>J137/J138</f>
        <v>0.96380230229545216</v>
      </c>
      <c r="L139" s="4">
        <f>L137/L138</f>
        <v>3.3037655428050795E-2</v>
      </c>
      <c r="M139" s="4">
        <f>M137/M138</f>
        <v>0.96696234457194918</v>
      </c>
      <c r="O139" s="4">
        <f>O137/O138</f>
        <v>2.9880309692322384E-2</v>
      </c>
      <c r="P139" s="4">
        <f>P137/P138</f>
        <v>0.97011969030767764</v>
      </c>
      <c r="R139" s="4">
        <f>R137/R138</f>
        <v>2.6385664337277688E-2</v>
      </c>
      <c r="S139" s="4">
        <f>S137/S138</f>
        <v>0.97361433566272237</v>
      </c>
      <c r="U139" s="4">
        <f>U137/U138</f>
        <v>2.1917976544810584E-2</v>
      </c>
      <c r="V139" s="4">
        <f>V137/V138</f>
        <v>0.97808202345518946</v>
      </c>
      <c r="X139" s="4">
        <f>X137/X138</f>
        <v>0.10831430497694441</v>
      </c>
      <c r="Y139" s="4">
        <f>Y137/Y138</f>
        <v>0.89168569502305561</v>
      </c>
    </row>
    <row r="141" spans="1:28" ht="17" x14ac:dyDescent="0.2">
      <c r="E141" s="15" t="s">
        <v>258</v>
      </c>
      <c r="F141" s="8"/>
      <c r="G141" s="8"/>
      <c r="I141" s="8"/>
      <c r="J141" s="8"/>
      <c r="L141" s="8"/>
      <c r="M141" s="8"/>
      <c r="O141" s="8"/>
      <c r="P141" s="8"/>
      <c r="R141" s="8"/>
      <c r="S141" s="8"/>
      <c r="U141" s="8"/>
      <c r="V141" s="8"/>
      <c r="X141" s="8"/>
      <c r="Y141" s="8"/>
    </row>
    <row r="142" spans="1:28" ht="17" x14ac:dyDescent="0.2">
      <c r="A142" s="46" t="s">
        <v>276</v>
      </c>
      <c r="B142" s="43" t="s">
        <v>164</v>
      </c>
      <c r="E142" s="10" t="s">
        <v>204</v>
      </c>
      <c r="F142" s="4">
        <f>(F110 - F130 - F118)*$F$29</f>
        <v>2842.5614072109011</v>
      </c>
      <c r="G142" s="4">
        <f>(G110 - G130 - G118)*$G$29</f>
        <v>46145.188592789098</v>
      </c>
      <c r="I142" s="4">
        <f>(I110 - I130 - I118)*$F$29</f>
        <v>2677.6184746142349</v>
      </c>
      <c r="J142" s="4">
        <f>(J110 - J130 - J118)*$G$29</f>
        <v>42564.533744839202</v>
      </c>
      <c r="L142" s="4">
        <f>(L110 - L130 - L118)*$F$29</f>
        <v>2523.7480844526031</v>
      </c>
      <c r="M142" s="4">
        <f>(M110 - M130 - M118)*$G$29</f>
        <v>38862.193872352735</v>
      </c>
      <c r="O142" s="4">
        <f>(O110 - O130 - O118)*$F$29</f>
        <v>2375.4637244915798</v>
      </c>
      <c r="P142" s="4">
        <f>(P110 - P130 - P118)*$G$29</f>
        <v>34955.477119415053</v>
      </c>
      <c r="R142" s="4">
        <f>(R110 - R130 - R118)*$F$29</f>
        <v>2194.4227483112763</v>
      </c>
      <c r="S142" s="4">
        <f>(S110 - S130 - S118)*$G$29</f>
        <v>29516.557668764955</v>
      </c>
      <c r="U142" s="4">
        <f>(U110 - U130 - U118)*$F$29</f>
        <v>1637.352005824587</v>
      </c>
      <c r="V142" s="4">
        <f>(V110 - V130 - V118)*$G$29</f>
        <v>5976.1503720949167</v>
      </c>
      <c r="X142" s="4">
        <f>(X110 - X130 - X118)*$F$29</f>
        <v>1235.4276221975688</v>
      </c>
      <c r="Y142" s="4">
        <f>(Y110 - Y130 - Y118)*$G$29</f>
        <v>3181.3482950049956</v>
      </c>
    </row>
    <row r="143" spans="1:28" ht="17" x14ac:dyDescent="0.2">
      <c r="A143" s="46" t="s">
        <v>277</v>
      </c>
      <c r="B143" s="43" t="s">
        <v>164</v>
      </c>
      <c r="E143" s="14" t="s">
        <v>216</v>
      </c>
      <c r="F143" s="4">
        <f>F130*$F20</f>
        <v>21365.788918364884</v>
      </c>
      <c r="G143" s="4">
        <f>(G130+F129)*$G20</f>
        <v>479351.42590136261</v>
      </c>
      <c r="I143" s="4">
        <f>I130*$F20</f>
        <v>22127.038759307754</v>
      </c>
      <c r="J143" s="4">
        <f>(J130+I129)*$G20</f>
        <v>490963.33587449399</v>
      </c>
      <c r="L143" s="4">
        <f>L130*$F20</f>
        <v>20810.770497264373</v>
      </c>
      <c r="M143" s="4">
        <f>(M130+L129)*$G20</f>
        <v>507583.22010793001</v>
      </c>
      <c r="O143" s="4">
        <f>O130*$F20</f>
        <v>19673.557628128023</v>
      </c>
      <c r="P143" s="4">
        <f>(P130+O129)*$G20</f>
        <v>532282.12352257397</v>
      </c>
      <c r="R143" s="4">
        <f>R130*$F20</f>
        <v>23669.393789653146</v>
      </c>
      <c r="S143" s="4">
        <f>(S130+R129)*$G20</f>
        <v>727821.39117536892</v>
      </c>
      <c r="U143" s="4">
        <f>U130*$F20</f>
        <v>80430.204261618186</v>
      </c>
      <c r="V143" s="4">
        <f>(V130+U129)*$G20</f>
        <v>2990982.272559592</v>
      </c>
      <c r="X143" s="4">
        <f>X130*$F20</f>
        <v>58137.087246985313</v>
      </c>
      <c r="Y143" s="4">
        <f>(Y130+X129)*$G20</f>
        <v>398852.83358716656</v>
      </c>
    </row>
    <row r="144" spans="1:28" ht="17" x14ac:dyDescent="0.2">
      <c r="A144" s="46" t="s">
        <v>177</v>
      </c>
      <c r="B144" s="43" t="s">
        <v>164</v>
      </c>
      <c r="E144" s="10" t="s">
        <v>167</v>
      </c>
      <c r="F144" s="4">
        <f>F118-F121*F122-F119</f>
        <v>2175</v>
      </c>
      <c r="G144" s="4">
        <f>G118-F121*G122-G119</f>
        <v>2700</v>
      </c>
      <c r="I144" s="4">
        <f>I118-I121*I122-I119</f>
        <v>2562.2727080288705</v>
      </c>
      <c r="J144" s="4">
        <f>J118-I121*J122-J119</f>
        <v>2747.6675652559352</v>
      </c>
      <c r="L144" s="4">
        <f>L118-L121*L122-L119</f>
        <v>2265.9424845960316</v>
      </c>
      <c r="M144" s="4">
        <f>M118-L121*M122-M119</f>
        <v>2147.4366200033164</v>
      </c>
      <c r="O144" s="4">
        <f>O118-O121*O122-O119</f>
        <v>2597.9719406896065</v>
      </c>
      <c r="P144" s="4">
        <f>P118-O121*P122-P119</f>
        <v>3956.1625518579049</v>
      </c>
      <c r="R144" s="4">
        <f>R118-R121*R122-R119</f>
        <v>3496.5135200449749</v>
      </c>
      <c r="S144" s="4">
        <f>S118-R121*S122-S119</f>
        <v>710.53905124679738</v>
      </c>
      <c r="U144" s="4">
        <f>U118-U121*U122-U119</f>
        <v>3220.9402868918642</v>
      </c>
      <c r="V144" s="4">
        <f>V118-U121*V122-V119</f>
        <v>1542.2840274847454</v>
      </c>
      <c r="X144" s="4">
        <f>X118-X121*X122-X119</f>
        <v>2371.0046953200363</v>
      </c>
      <c r="Y144" s="4">
        <f>Y118-X121*Y122-Y119</f>
        <v>119.13984426958632</v>
      </c>
    </row>
    <row r="145" spans="1:28" ht="17" x14ac:dyDescent="0.2">
      <c r="A145" s="46" t="s">
        <v>178</v>
      </c>
      <c r="B145" s="43" t="s">
        <v>164</v>
      </c>
      <c r="E145" s="10" t="s">
        <v>168</v>
      </c>
      <c r="F145" s="4">
        <f>F118*$F20</f>
        <v>2250</v>
      </c>
      <c r="G145" s="4">
        <f>(G118+G46-G52)*$G20</f>
        <v>2500</v>
      </c>
      <c r="I145" s="4">
        <f>I118*$F20</f>
        <v>2657.1327080288697</v>
      </c>
      <c r="J145" s="4">
        <f>(J118+J46-J52)*$G20</f>
        <v>2559.2229710466122</v>
      </c>
      <c r="L145" s="4">
        <f>L118*$F20</f>
        <v>2356.4224845960307</v>
      </c>
      <c r="M145" s="4">
        <f>(M118+M46-M52)*$G20</f>
        <v>2019.8305166694299</v>
      </c>
      <c r="O145" s="4">
        <f>O118*$F20</f>
        <v>2696.6719406896059</v>
      </c>
      <c r="P145" s="4">
        <f>(P118+P46-P52)*$G20</f>
        <v>3772.0021265482537</v>
      </c>
      <c r="R145" s="4">
        <f>R118*$F20</f>
        <v>3652.5135200449745</v>
      </c>
      <c r="S145" s="4">
        <f>(S118+S46-S52)*$G20</f>
        <v>690.59087603899775</v>
      </c>
      <c r="U145" s="4">
        <f>U118*$F20</f>
        <v>3341.4802868918646</v>
      </c>
      <c r="V145" s="4">
        <f>(V118+V46-V52)*$G20</f>
        <v>1573.9866895706211</v>
      </c>
      <c r="X145" s="4">
        <f>X118*$F20</f>
        <v>2520.9446953200354</v>
      </c>
      <c r="Y145" s="4">
        <f>(Y118+Y46-Y52)*$G20</f>
        <v>335.53320355798866</v>
      </c>
    </row>
    <row r="148" spans="1:28" x14ac:dyDescent="0.2">
      <c r="A148" s="33" t="s">
        <v>269</v>
      </c>
      <c r="F148" s="4">
        <f>F144+F119</f>
        <v>2425</v>
      </c>
      <c r="G148" s="4">
        <f>G144+G119</f>
        <v>3700</v>
      </c>
      <c r="I148" s="4">
        <f>I144+I119</f>
        <v>2878.4727080288703</v>
      </c>
      <c r="J148" s="4">
        <f>J144+J119</f>
        <v>3825.6675652559352</v>
      </c>
      <c r="L148" s="4">
        <f>L144+L119</f>
        <v>2567.5424845960315</v>
      </c>
      <c r="M148" s="4">
        <f>M144+M119</f>
        <v>3068.6366200033162</v>
      </c>
      <c r="O148" s="4">
        <f>O144+O119</f>
        <v>2926.9719406896065</v>
      </c>
      <c r="P148" s="4">
        <f>P144+P119</f>
        <v>5856.9625518579051</v>
      </c>
      <c r="R148" s="4">
        <f>R144+R119</f>
        <v>4016.5135200449749</v>
      </c>
      <c r="S148" s="4">
        <f>S144+S119</f>
        <v>1104.4390512467974</v>
      </c>
      <c r="U148" s="4">
        <f>U144+U119</f>
        <v>3622.7402868918643</v>
      </c>
      <c r="V148" s="4">
        <f>V144+V119</f>
        <v>2697.2840274847454</v>
      </c>
      <c r="X148" s="4">
        <f>X144+X119</f>
        <v>2870.8046953200364</v>
      </c>
      <c r="Y148" s="4">
        <f>Y144+Y119</f>
        <v>1064.1398442695863</v>
      </c>
    </row>
    <row r="150" spans="1:28" x14ac:dyDescent="0.2">
      <c r="A150" s="46" t="s">
        <v>280</v>
      </c>
      <c r="B150" s="43" t="s">
        <v>164</v>
      </c>
      <c r="F150" s="4">
        <f>F121+F130+G130+F129</f>
        <v>2000000</v>
      </c>
      <c r="I150" s="4">
        <f>I121+I130+J130</f>
        <v>2049999.9999999998</v>
      </c>
      <c r="L150" s="4">
        <f>L121+L130+M130</f>
        <v>2110000</v>
      </c>
      <c r="O150" s="4">
        <f>O121+O130+P130</f>
        <v>2210000</v>
      </c>
      <c r="R150" s="4">
        <f>R121+R130+S130</f>
        <v>3000000.0000000005</v>
      </c>
      <c r="U150" s="4">
        <f>U121+U130+V130</f>
        <v>12243113.814846914</v>
      </c>
      <c r="X150" s="4">
        <f>X121+X130+Y130</f>
        <v>1794958.0483073131</v>
      </c>
    </row>
    <row r="151" spans="1:28" x14ac:dyDescent="0.2">
      <c r="F151" s="4">
        <f>F150/F32</f>
        <v>1</v>
      </c>
      <c r="I151" s="4">
        <f>I150/I32</f>
        <v>0.99999999999999989</v>
      </c>
      <c r="L151" s="4">
        <f>L150/L32</f>
        <v>1</v>
      </c>
      <c r="O151" s="4">
        <f>O150/O32</f>
        <v>1</v>
      </c>
      <c r="R151" s="4">
        <f>R150/R32</f>
        <v>1.0000000000000002</v>
      </c>
      <c r="U151" s="4">
        <f>U150/U32</f>
        <v>0.48972455259387659</v>
      </c>
      <c r="X151" s="4">
        <f>X150/X32</f>
        <v>0.71228493980448937</v>
      </c>
    </row>
    <row r="156" spans="1:28" x14ac:dyDescent="0.2">
      <c r="Z156">
        <v>0.1225</v>
      </c>
      <c r="AA156">
        <f>SUM(Z$6:Z156)</f>
        <v>1.2475000000000001</v>
      </c>
      <c r="AB156">
        <v>20</v>
      </c>
    </row>
    <row r="157" spans="1:28" x14ac:dyDescent="0.2">
      <c r="Z157">
        <v>0.12239999999999999</v>
      </c>
      <c r="AA157">
        <f>SUM(Z$6:Z157)</f>
        <v>1.3699000000000001</v>
      </c>
      <c r="AB157">
        <v>20</v>
      </c>
    </row>
    <row r="158" spans="1:28" x14ac:dyDescent="0.2">
      <c r="Z158">
        <v>0.12230000000000001</v>
      </c>
      <c r="AA158">
        <f>SUM(Z$6:Z158)</f>
        <v>1.4922000000000002</v>
      </c>
      <c r="AB158">
        <v>20</v>
      </c>
    </row>
  </sheetData>
  <mergeCells count="39">
    <mergeCell ref="A99:A102"/>
    <mergeCell ref="B99:B102"/>
    <mergeCell ref="A48:A51"/>
    <mergeCell ref="B48:B51"/>
    <mergeCell ref="D48:D51"/>
    <mergeCell ref="A77:A81"/>
    <mergeCell ref="B77:B81"/>
    <mergeCell ref="B42:B45"/>
    <mergeCell ref="A42:A45"/>
    <mergeCell ref="A60:A63"/>
    <mergeCell ref="A54:A57"/>
    <mergeCell ref="B54:B57"/>
    <mergeCell ref="B84:B87"/>
    <mergeCell ref="A94:A97"/>
    <mergeCell ref="B94:B97"/>
    <mergeCell ref="A89:A92"/>
    <mergeCell ref="B89:B92"/>
    <mergeCell ref="D28:D29"/>
    <mergeCell ref="B37:B40"/>
    <mergeCell ref="A37:A40"/>
    <mergeCell ref="B60:B63"/>
    <mergeCell ref="A66:A69"/>
    <mergeCell ref="B66:B69"/>
    <mergeCell ref="A71:A74"/>
    <mergeCell ref="B71:B74"/>
    <mergeCell ref="A84:A87"/>
    <mergeCell ref="AC4:AE4"/>
    <mergeCell ref="H2:I2"/>
    <mergeCell ref="H3:I3"/>
    <mergeCell ref="I5:J5"/>
    <mergeCell ref="L5:M5"/>
    <mergeCell ref="D17:D18"/>
    <mergeCell ref="D68:D70"/>
    <mergeCell ref="D73:D76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2026-01-15T05:20:07Z</dcterms:modified>
</cp:coreProperties>
</file>