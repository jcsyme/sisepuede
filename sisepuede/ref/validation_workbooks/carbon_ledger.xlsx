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D75A060D-8C3C-5A4B-A9D3-F7AC49307262}" xr6:coauthVersionLast="47" xr6:coauthVersionMax="47" xr10:uidLastSave="{00000000-0000-0000-0000-000000000000}"/>
  <bookViews>
    <workbookView xWindow="2520" yWindow="760" windowWidth="33680" windowHeight="1940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8" i="3" l="1"/>
  <c r="F118" i="3"/>
  <c r="F116" i="3"/>
  <c r="F135" i="3"/>
  <c r="F136" i="3"/>
  <c r="F21" i="3"/>
  <c r="M67" i="3" l="1"/>
  <c r="P68" i="3"/>
  <c r="G46" i="3"/>
  <c r="G50" i="3"/>
  <c r="G56" i="3"/>
  <c r="G90" i="3" s="1"/>
  <c r="J43" i="3"/>
  <c r="G55" i="3"/>
  <c r="F111" i="3"/>
  <c r="F112" i="3" s="1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G10" i="3"/>
  <c r="F22" i="3"/>
  <c r="G21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E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2" i="3" l="1"/>
  <c r="G53" i="3" s="1"/>
  <c r="H39" i="3"/>
  <c r="G59" i="3"/>
  <c r="M70" i="3"/>
  <c r="J74" i="3"/>
  <c r="F113" i="3"/>
  <c r="G119" i="3"/>
  <c r="F125" i="3"/>
  <c r="F138" i="3" s="1"/>
  <c r="I109" i="3"/>
  <c r="I110" i="3" s="1"/>
  <c r="P70" i="3"/>
  <c r="G95" i="3"/>
  <c r="J73" i="3"/>
  <c r="M69" i="3"/>
  <c r="F119" i="3"/>
  <c r="F120" i="3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G120" i="3" s="1"/>
  <c r="J109" i="3"/>
  <c r="J110" i="3" s="1"/>
  <c r="J7" i="3"/>
  <c r="H40" i="3"/>
  <c r="G22" i="3"/>
  <c r="G117" i="3" l="1"/>
  <c r="J108" i="3"/>
  <c r="J13" i="3"/>
  <c r="F146" i="3"/>
  <c r="G121" i="3"/>
  <c r="G122" i="3" s="1"/>
  <c r="G146" i="3"/>
  <c r="G100" i="3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I8" i="3"/>
  <c r="I108" i="3"/>
  <c r="F121" i="3"/>
  <c r="F122" i="3" s="1"/>
  <c r="G116" i="3"/>
  <c r="G118" i="3" s="1"/>
  <c r="J10" i="3"/>
  <c r="M8" i="3"/>
  <c r="U108" i="3" l="1"/>
  <c r="R108" i="3"/>
  <c r="F123" i="3"/>
  <c r="L26" i="3"/>
  <c r="O26" i="3"/>
  <c r="R26" i="3"/>
  <c r="L108" i="3"/>
  <c r="O108" i="3"/>
  <c r="G125" i="3"/>
  <c r="G135" i="3"/>
  <c r="G136" i="3" s="1"/>
  <c r="J26" i="3"/>
  <c r="J25" i="3"/>
  <c r="J11" i="3" s="1"/>
  <c r="M7" i="3"/>
  <c r="P8" i="3"/>
  <c r="M108" i="3" l="1"/>
  <c r="M13" i="3"/>
  <c r="M26" i="3" s="1"/>
  <c r="G138" i="3"/>
  <c r="F139" i="3" s="1"/>
  <c r="G124" i="3"/>
  <c r="G145" i="3" s="1"/>
  <c r="F124" i="3"/>
  <c r="F145" i="3" s="1"/>
  <c r="I39" i="3"/>
  <c r="J50" i="3" s="1"/>
  <c r="I37" i="3"/>
  <c r="I38" i="3"/>
  <c r="J49" i="3" s="1"/>
  <c r="I40" i="3"/>
  <c r="J51" i="3" s="1"/>
  <c r="M10" i="3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5" i="3" l="1"/>
  <c r="J72" i="3"/>
  <c r="F129" i="3"/>
  <c r="F130" i="3" s="1"/>
  <c r="F131" i="3" s="1"/>
  <c r="G139" i="3"/>
  <c r="G140" i="3" s="1"/>
  <c r="G132" i="3" s="1"/>
  <c r="J67" i="3"/>
  <c r="K38" i="3"/>
  <c r="K39" i="3"/>
  <c r="J48" i="3"/>
  <c r="J52" i="3" s="1"/>
  <c r="J53" i="3" s="1"/>
  <c r="J59" i="3"/>
  <c r="M11" i="3"/>
  <c r="P25" i="3"/>
  <c r="S7" i="3"/>
  <c r="S13" i="3" s="1"/>
  <c r="S26" i="3" s="1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/>
  <c r="G143" i="3"/>
  <c r="S108" i="3"/>
  <c r="G81" i="3"/>
  <c r="G149" i="3"/>
  <c r="F132" i="3"/>
  <c r="I79" i="3"/>
  <c r="I82" i="3"/>
  <c r="J76" i="3"/>
  <c r="I80" i="3"/>
  <c r="I81" i="3"/>
  <c r="S10" i="3"/>
  <c r="L37" i="3"/>
  <c r="M37" i="3" s="1"/>
  <c r="L38" i="3"/>
  <c r="M38" i="3" s="1"/>
  <c r="M68" i="3" s="1"/>
  <c r="S25" i="3"/>
  <c r="V7" i="3"/>
  <c r="Y7" i="3" s="1"/>
  <c r="Y13" i="3" s="1"/>
  <c r="Y26" i="3" s="1"/>
  <c r="P11" i="3"/>
  <c r="K40" i="3"/>
  <c r="O8" i="3"/>
  <c r="Q3" i="2"/>
  <c r="AA4" i="2" s="1"/>
  <c r="F144" i="3" l="1"/>
  <c r="F143" i="3"/>
  <c r="F151" i="3"/>
  <c r="V10" i="3"/>
  <c r="V108" i="3"/>
  <c r="F133" i="3"/>
  <c r="V13" i="3"/>
  <c r="V26" i="3" s="1"/>
  <c r="Y25" i="3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V25" i="3" l="1"/>
  <c r="V11" i="3" s="1"/>
  <c r="I111" i="3"/>
  <c r="N38" i="3"/>
  <c r="O38" i="3" s="1"/>
  <c r="P3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09" i="3"/>
  <c r="M110" i="3" s="1"/>
  <c r="J112" i="3"/>
  <c r="I112" i="3"/>
  <c r="L109" i="3"/>
  <c r="L110" i="3" s="1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46" i="3" s="1"/>
  <c r="J113" i="3"/>
  <c r="J125" i="3" s="1"/>
  <c r="I120" i="3"/>
  <c r="I116" i="3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35" i="3"/>
  <c r="J136" i="3" s="1"/>
  <c r="I146" i="3"/>
  <c r="I121" i="3"/>
  <c r="I122" i="3" s="1"/>
  <c r="J121" i="3"/>
  <c r="J122" i="3" s="1"/>
  <c r="I135" i="3"/>
  <c r="I136" i="3" s="1"/>
  <c r="I138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W40" i="3" l="1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39" i="3"/>
  <c r="I140" i="3" s="1"/>
  <c r="Y70" i="3"/>
  <c r="I149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K8" i="2"/>
  <c r="W8" i="2"/>
  <c r="R18" i="2"/>
  <c r="J95" i="3" l="1"/>
  <c r="J143" i="3"/>
  <c r="M111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09" i="3"/>
  <c r="O110" i="3" s="1"/>
  <c r="O8" i="2"/>
  <c r="Q8" i="2" s="1"/>
  <c r="Y9" i="2" s="1"/>
  <c r="AA9" i="2" s="1"/>
  <c r="R19" i="2"/>
  <c r="M112" i="3" l="1"/>
  <c r="M119" i="3"/>
  <c r="P109" i="3"/>
  <c r="P110" i="3" s="1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25" i="3" s="1"/>
  <c r="M116" i="3"/>
  <c r="M120" i="3"/>
  <c r="M52" i="3"/>
  <c r="M59" i="3"/>
  <c r="M73" i="3"/>
  <c r="L81" i="3" s="1"/>
  <c r="L146" i="3"/>
  <c r="L121" i="3"/>
  <c r="L122" i="3" s="1"/>
  <c r="L135" i="3"/>
  <c r="M46" i="3"/>
  <c r="M53" i="3" s="1"/>
  <c r="Q9" i="2"/>
  <c r="Y10" i="2" s="1"/>
  <c r="AA10" i="2" s="1"/>
  <c r="G10" i="2" s="1"/>
  <c r="R21" i="2"/>
  <c r="F10" i="2"/>
  <c r="M146" i="3" l="1"/>
  <c r="M121" i="3"/>
  <c r="M135" i="3"/>
  <c r="M136" i="3" s="1"/>
  <c r="M138" i="3" s="1"/>
  <c r="L136" i="3"/>
  <c r="L138" i="3" s="1"/>
  <c r="L80" i="3"/>
  <c r="L82" i="3"/>
  <c r="M76" i="3"/>
  <c r="U10" i="2"/>
  <c r="W10" i="2" s="1"/>
  <c r="O10" i="2" s="1"/>
  <c r="Q10" i="2" s="1"/>
  <c r="K10" i="2"/>
  <c r="R22" i="2"/>
  <c r="M122" i="3" l="1"/>
  <c r="M124" i="3" s="1"/>
  <c r="L139" i="3"/>
  <c r="Y11" i="2"/>
  <c r="P10" i="2"/>
  <c r="X11" i="2" s="1"/>
  <c r="Z11" i="2" s="1"/>
  <c r="J11" i="2" s="1"/>
  <c r="R23" i="2"/>
  <c r="L123" i="3" l="1"/>
  <c r="M145" i="3" s="1"/>
  <c r="L124" i="3"/>
  <c r="L140" i="3"/>
  <c r="M139" i="3"/>
  <c r="M140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L132" i="3" s="1"/>
  <c r="L133" i="3" s="1"/>
  <c r="L145" i="3"/>
  <c r="L149" i="3" s="1"/>
  <c r="L130" i="3"/>
  <c r="L131" i="3" s="1"/>
  <c r="M149" i="3" s="1"/>
  <c r="M132" i="3"/>
  <c r="L144" i="3"/>
  <c r="L143" i="3"/>
  <c r="O111" i="3" s="1"/>
  <c r="K11" i="2"/>
  <c r="Q11" i="2"/>
  <c r="R25" i="2"/>
  <c r="F12" i="2"/>
  <c r="M79" i="3" l="1"/>
  <c r="M80" i="3"/>
  <c r="M91" i="3" s="1"/>
  <c r="M81" i="3"/>
  <c r="M92" i="3" s="1"/>
  <c r="M82" i="3"/>
  <c r="M93" i="3" s="1"/>
  <c r="M144" i="3"/>
  <c r="L151" i="3"/>
  <c r="L152" i="3" s="1"/>
  <c r="M133" i="3"/>
  <c r="O119" i="3"/>
  <c r="O112" i="3"/>
  <c r="R109" i="3"/>
  <c r="R110" i="3" s="1"/>
  <c r="Y12" i="2"/>
  <c r="AA12" i="2" s="1"/>
  <c r="R26" i="2"/>
  <c r="M90" i="3" l="1"/>
  <c r="M95" i="3" s="1"/>
  <c r="M100" i="3" s="1"/>
  <c r="M143" i="3"/>
  <c r="P111" i="3" s="1"/>
  <c r="P119" i="3" s="1"/>
  <c r="M98" i="3"/>
  <c r="O88" i="3" s="1"/>
  <c r="M97" i="3"/>
  <c r="O87" i="3" s="1"/>
  <c r="M96" i="3"/>
  <c r="P43" i="3" s="1"/>
  <c r="P49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P112" i="3" l="1"/>
  <c r="S109" i="3"/>
  <c r="S110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P48" i="3"/>
  <c r="P52" i="3" s="1"/>
  <c r="O121" i="3"/>
  <c r="O122" i="3" s="1"/>
  <c r="O146" i="3"/>
  <c r="O135" i="3"/>
  <c r="O136" i="3" s="1"/>
  <c r="Y13" i="2"/>
  <c r="AA13" i="2" s="1"/>
  <c r="G13" i="2" s="1"/>
  <c r="P12" i="2"/>
  <c r="X13" i="2" s="1"/>
  <c r="Z13" i="2" s="1"/>
  <c r="J13" i="2" s="1"/>
  <c r="R28" i="2"/>
  <c r="P72" i="3" l="1"/>
  <c r="O79" i="3" s="1"/>
  <c r="P116" i="3"/>
  <c r="P113" i="3"/>
  <c r="P120" i="3"/>
  <c r="P74" i="3"/>
  <c r="P57" i="3"/>
  <c r="P46" i="3"/>
  <c r="P59" i="3"/>
  <c r="O80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2" i="3" l="1"/>
  <c r="P121" i="3"/>
  <c r="P53" i="3"/>
  <c r="P146" i="3" s="1"/>
  <c r="P125" i="3"/>
  <c r="P135" i="3"/>
  <c r="P136" i="3" s="1"/>
  <c r="O81" i="3"/>
  <c r="P76" i="3"/>
  <c r="K14" i="2"/>
  <c r="P13" i="2"/>
  <c r="X14" i="2" s="1"/>
  <c r="Z14" i="2" s="1"/>
  <c r="J14" i="2" s="1"/>
  <c r="P122" i="3" l="1"/>
  <c r="P124" i="3" s="1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O124" i="3" l="1"/>
  <c r="P139" i="3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9" i="3"/>
  <c r="P98" i="3"/>
  <c r="P97" i="3"/>
  <c r="R119" i="3"/>
  <c r="R112" i="3"/>
  <c r="U109" i="3"/>
  <c r="U110" i="3" s="1"/>
  <c r="K16" i="2"/>
  <c r="F16" i="2"/>
  <c r="U16" i="2" s="1"/>
  <c r="W16" i="2" s="1"/>
  <c r="O16" i="2" s="1"/>
  <c r="P16" i="2" s="1"/>
  <c r="X17" i="2" s="1"/>
  <c r="Z17" i="2" s="1"/>
  <c r="J17" i="2" s="1"/>
  <c r="P143" i="3" l="1"/>
  <c r="S111" i="3" s="1"/>
  <c r="S112" i="3" s="1"/>
  <c r="S120" i="3" s="1"/>
  <c r="P95" i="3"/>
  <c r="P101" i="3"/>
  <c r="R86" i="3"/>
  <c r="S43" i="3"/>
  <c r="S49" i="3" s="1"/>
  <c r="V109" i="3"/>
  <c r="V110" i="3" s="1"/>
  <c r="P117" i="3"/>
  <c r="P118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R120" i="3"/>
  <c r="R116" i="3"/>
  <c r="R118" i="3" s="1"/>
  <c r="R113" i="3"/>
  <c r="R125" i="3" s="1"/>
  <c r="Q16" i="2"/>
  <c r="Y17" i="2" s="1"/>
  <c r="AA17" i="2" s="1"/>
  <c r="K17" i="2" s="1"/>
  <c r="F17" i="2"/>
  <c r="S73" i="3" l="1"/>
  <c r="S72" i="3"/>
  <c r="R80" i="3" s="1"/>
  <c r="S56" i="3"/>
  <c r="S74" i="3"/>
  <c r="S119" i="3"/>
  <c r="S113" i="3"/>
  <c r="S125" i="3" s="1"/>
  <c r="S116" i="3"/>
  <c r="S55" i="3"/>
  <c r="S52" i="3"/>
  <c r="S75" i="3"/>
  <c r="S58" i="3"/>
  <c r="S46" i="3"/>
  <c r="S53" i="3" s="1"/>
  <c r="S146" i="3" s="1"/>
  <c r="S57" i="3"/>
  <c r="R121" i="3"/>
  <c r="R122" i="3" s="1"/>
  <c r="R146" i="3"/>
  <c r="S121" i="3"/>
  <c r="R135" i="3"/>
  <c r="R136" i="3" s="1"/>
  <c r="G17" i="2"/>
  <c r="U17" i="2" s="1"/>
  <c r="W17" i="2" s="1"/>
  <c r="O17" i="2" s="1"/>
  <c r="P17" i="2" s="1"/>
  <c r="X18" i="2" s="1"/>
  <c r="Z18" i="2" s="1"/>
  <c r="J18" i="2" s="1"/>
  <c r="R79" i="3" l="1"/>
  <c r="R82" i="3"/>
  <c r="S122" i="3"/>
  <c r="S135" i="3"/>
  <c r="S136" i="3" s="1"/>
  <c r="S59" i="3"/>
  <c r="S76" i="3"/>
  <c r="R81" i="3"/>
  <c r="S124" i="3"/>
  <c r="R124" i="3"/>
  <c r="R123" i="3"/>
  <c r="S145" i="3" s="1"/>
  <c r="S138" i="3"/>
  <c r="R138" i="3"/>
  <c r="Q17" i="2"/>
  <c r="Y18" i="2" s="1"/>
  <c r="AA18" i="2" s="1"/>
  <c r="G18" i="2" s="1"/>
  <c r="F18" i="2"/>
  <c r="R139" i="3" l="1"/>
  <c r="S139" i="3" s="1"/>
  <c r="S140" i="3" s="1"/>
  <c r="R145" i="3"/>
  <c r="R149" i="3" s="1"/>
  <c r="R128" i="3"/>
  <c r="K18" i="2"/>
  <c r="U18" i="2"/>
  <c r="W18" i="2" s="1"/>
  <c r="O18" i="2" s="1"/>
  <c r="Q18" i="2" s="1"/>
  <c r="R140" i="3" l="1"/>
  <c r="R129" i="3"/>
  <c r="Y19" i="2"/>
  <c r="AA19" i="2" s="1"/>
  <c r="G19" i="2" s="1"/>
  <c r="P18" i="2"/>
  <c r="X19" i="2" s="1"/>
  <c r="Z19" i="2" s="1"/>
  <c r="J19" i="2" s="1"/>
  <c r="S132" i="3" l="1"/>
  <c r="R132" i="3"/>
  <c r="R133" i="3" s="1"/>
  <c r="R130" i="3"/>
  <c r="R131" i="3" s="1"/>
  <c r="K19" i="2"/>
  <c r="F19" i="2"/>
  <c r="U19" i="2" s="1"/>
  <c r="W19" i="2" s="1"/>
  <c r="O19" i="2" s="1"/>
  <c r="P19" i="2" s="1"/>
  <c r="X20" i="2" s="1"/>
  <c r="Z20" i="2" s="1"/>
  <c r="S80" i="3" l="1"/>
  <c r="S91" i="3" s="1"/>
  <c r="S96" i="3" s="1"/>
  <c r="S149" i="3"/>
  <c r="S133" i="3"/>
  <c r="R144" i="3"/>
  <c r="R143" i="3"/>
  <c r="U111" i="3" s="1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S143" i="3" l="1"/>
  <c r="V111" i="3" s="1"/>
  <c r="V119" i="3" s="1"/>
  <c r="S101" i="3"/>
  <c r="S97" i="3"/>
  <c r="S95" i="3"/>
  <c r="S98" i="3"/>
  <c r="U119" i="3"/>
  <c r="V43" i="3"/>
  <c r="V49" i="3" s="1"/>
  <c r="U86" i="3"/>
  <c r="V112" i="3"/>
  <c r="Y109" i="3"/>
  <c r="Y110" i="3" s="1"/>
  <c r="U112" i="3"/>
  <c r="X109" i="3"/>
  <c r="X110" i="3" s="1"/>
  <c r="K20" i="2"/>
  <c r="U20" i="2"/>
  <c r="W20" i="2" s="1"/>
  <c r="S100" i="3" l="1"/>
  <c r="V42" i="3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116" i="3"/>
  <c r="V120" i="3"/>
  <c r="V73" i="3"/>
  <c r="U116" i="3"/>
  <c r="U118" i="3" s="1"/>
  <c r="U120" i="3"/>
  <c r="U113" i="3"/>
  <c r="U125" i="3" s="1"/>
  <c r="V113" i="3"/>
  <c r="V125" i="3" s="1"/>
  <c r="V56" i="3"/>
  <c r="V72" i="3"/>
  <c r="U79" i="3" s="1"/>
  <c r="O20" i="2"/>
  <c r="P20" i="2" s="1"/>
  <c r="X21" i="2" s="1"/>
  <c r="Z21" i="2" s="1"/>
  <c r="V55" i="3" l="1"/>
  <c r="V57" i="3"/>
  <c r="V51" i="3"/>
  <c r="V52" i="3" s="1"/>
  <c r="V75" i="3"/>
  <c r="U82" i="3" s="1"/>
  <c r="V58" i="3"/>
  <c r="V46" i="3"/>
  <c r="U146" i="3"/>
  <c r="V121" i="3"/>
  <c r="U121" i="3"/>
  <c r="U122" i="3" s="1"/>
  <c r="V135" i="3"/>
  <c r="V136" i="3" s="1"/>
  <c r="U135" i="3"/>
  <c r="U136" i="3" s="1"/>
  <c r="V59" i="3"/>
  <c r="V76" i="3"/>
  <c r="U80" i="3"/>
  <c r="U81" i="3"/>
  <c r="J21" i="2"/>
  <c r="F21" i="2"/>
  <c r="Q20" i="2"/>
  <c r="Y21" i="2" s="1"/>
  <c r="AA21" i="2" s="1"/>
  <c r="G21" i="2" s="1"/>
  <c r="V53" i="3" l="1"/>
  <c r="V146" i="3" s="1"/>
  <c r="V122" i="3"/>
  <c r="V124" i="3" s="1"/>
  <c r="U138" i="3"/>
  <c r="V138" i="3"/>
  <c r="U21" i="2"/>
  <c r="W21" i="2" s="1"/>
  <c r="O21" i="2" s="1"/>
  <c r="Q21" i="2" s="1"/>
  <c r="K21" i="2"/>
  <c r="U139" i="3" l="1"/>
  <c r="U140" i="3" s="1"/>
  <c r="U123" i="3"/>
  <c r="V145" i="3" s="1"/>
  <c r="U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9" i="3" l="1"/>
  <c r="V140" i="3" s="1"/>
  <c r="U128" i="3"/>
  <c r="U129" i="3" s="1"/>
  <c r="U132" i="3" s="1"/>
  <c r="U133" i="3" s="1"/>
  <c r="U145" i="3"/>
  <c r="U149" i="3" s="1"/>
  <c r="K22" i="2"/>
  <c r="Y23" i="2" s="1"/>
  <c r="AA23" i="2" s="1"/>
  <c r="P22" i="2"/>
  <c r="X23" i="2" s="1"/>
  <c r="Z23" i="2" s="1"/>
  <c r="J23" i="2" s="1"/>
  <c r="U144" i="3" l="1"/>
  <c r="U143" i="3"/>
  <c r="X111" i="3" s="1"/>
  <c r="V132" i="3"/>
  <c r="U130" i="3"/>
  <c r="U131" i="3" s="1"/>
  <c r="G23" i="2"/>
  <c r="K23" i="2"/>
  <c r="F23" i="2"/>
  <c r="U23" i="2" s="1"/>
  <c r="W23" i="2" s="1"/>
  <c r="O23" i="2" s="1"/>
  <c r="Q23" i="2" s="1"/>
  <c r="Y24" i="2" s="1"/>
  <c r="AA24" i="2" s="1"/>
  <c r="V79" i="3" l="1"/>
  <c r="V149" i="3"/>
  <c r="V133" i="3"/>
  <c r="X119" i="3"/>
  <c r="V144" i="3"/>
  <c r="U151" i="3"/>
  <c r="U152" i="3" s="1"/>
  <c r="V80" i="3"/>
  <c r="V81" i="3"/>
  <c r="V92" i="3" s="1"/>
  <c r="V82" i="3"/>
  <c r="V93" i="3" s="1"/>
  <c r="X112" i="3"/>
  <c r="P23" i="2"/>
  <c r="X24" i="2" s="1"/>
  <c r="Z24" i="2" s="1"/>
  <c r="J24" i="2" s="1"/>
  <c r="G24" i="2"/>
  <c r="K24" i="2"/>
  <c r="V91" i="3" l="1"/>
  <c r="V96" i="3" s="1"/>
  <c r="Y43" i="3" s="1"/>
  <c r="V90" i="3"/>
  <c r="V95" i="3" s="1"/>
  <c r="V98" i="3"/>
  <c r="V97" i="3"/>
  <c r="X116" i="3"/>
  <c r="X118" i="3" s="1"/>
  <c r="X120" i="3"/>
  <c r="X113" i="3"/>
  <c r="X125" i="3" s="1"/>
  <c r="F24" i="2"/>
  <c r="U24" i="2" s="1"/>
  <c r="W24" i="2" s="1"/>
  <c r="O24" i="2" s="1"/>
  <c r="P24" i="2" s="1"/>
  <c r="X25" i="2" s="1"/>
  <c r="Z25" i="2" s="1"/>
  <c r="J25" i="2" s="1"/>
  <c r="V143" i="3" l="1"/>
  <c r="Y111" i="3" s="1"/>
  <c r="Y119" i="3" s="1"/>
  <c r="Y42" i="3"/>
  <c r="X85" i="3"/>
  <c r="Y85" i="3" s="1"/>
  <c r="V100" i="3"/>
  <c r="Y112" i="3"/>
  <c r="Y116" i="3" s="1"/>
  <c r="X146" i="3"/>
  <c r="V101" i="3"/>
  <c r="Y73" i="3"/>
  <c r="X87" i="3"/>
  <c r="Y44" i="3"/>
  <c r="Y50" i="3" s="1"/>
  <c r="V102" i="3"/>
  <c r="Y45" i="3"/>
  <c r="Y51" i="3" s="1"/>
  <c r="X88" i="3"/>
  <c r="V103" i="3"/>
  <c r="V117" i="3"/>
  <c r="V118" i="3" s="1"/>
  <c r="X86" i="3"/>
  <c r="X121" i="3"/>
  <c r="X122" i="3" s="1"/>
  <c r="X135" i="3"/>
  <c r="X136" i="3" s="1"/>
  <c r="Y49" i="3"/>
  <c r="Y56" i="3"/>
  <c r="Q24" i="2"/>
  <c r="Y25" i="2" s="1"/>
  <c r="AA25" i="2" s="1"/>
  <c r="G25" i="2" s="1"/>
  <c r="F25" i="2"/>
  <c r="Y113" i="3" l="1"/>
  <c r="Y125" i="3" s="1"/>
  <c r="Y120" i="3"/>
  <c r="Y74" i="3"/>
  <c r="Y48" i="3"/>
  <c r="Y55" i="3"/>
  <c r="Y72" i="3"/>
  <c r="X79" i="3" s="1"/>
  <c r="Y46" i="3"/>
  <c r="Y52" i="3"/>
  <c r="Y75" i="3"/>
  <c r="Y58" i="3"/>
  <c r="Y57" i="3"/>
  <c r="Y59" i="3" s="1"/>
  <c r="Y121" i="3"/>
  <c r="X138" i="3"/>
  <c r="Y135" i="3"/>
  <c r="K25" i="2"/>
  <c r="U25" i="2"/>
  <c r="W25" i="2" s="1"/>
  <c r="O25" i="2" s="1"/>
  <c r="Q25" i="2" s="1"/>
  <c r="Y26" i="2" s="1"/>
  <c r="AA26" i="2" s="1"/>
  <c r="G26" i="2" s="1"/>
  <c r="X82" i="3" l="1"/>
  <c r="X81" i="3"/>
  <c r="X80" i="3"/>
  <c r="Y76" i="3"/>
  <c r="Y53" i="3"/>
  <c r="Y136" i="3"/>
  <c r="Y138" i="3" s="1"/>
  <c r="X139" i="3" s="1"/>
  <c r="P25" i="2"/>
  <c r="X26" i="2" s="1"/>
  <c r="Z26" i="2" s="1"/>
  <c r="J26" i="2" s="1"/>
  <c r="K26" i="2"/>
  <c r="Y122" i="3" l="1"/>
  <c r="Y124" i="3" s="1"/>
  <c r="Y146" i="3"/>
  <c r="Y139" i="3"/>
  <c r="Y140" i="3" s="1"/>
  <c r="X140" i="3"/>
  <c r="F26" i="2"/>
  <c r="U26" i="2" s="1"/>
  <c r="W26" i="2" s="1"/>
  <c r="O26" i="2" s="1"/>
  <c r="Q26" i="2" s="1"/>
  <c r="Y27" i="2" s="1"/>
  <c r="AA27" i="2" s="1"/>
  <c r="X123" i="3" l="1"/>
  <c r="X128" i="3" s="1"/>
  <c r="X129" i="3" s="1"/>
  <c r="X124" i="3"/>
  <c r="P26" i="2"/>
  <c r="X27" i="2" s="1"/>
  <c r="Z27" i="2" s="1"/>
  <c r="J27" i="2" s="1"/>
  <c r="G27" i="2"/>
  <c r="K27" i="2"/>
  <c r="Y145" i="3" l="1"/>
  <c r="X145" i="3"/>
  <c r="X149" i="3" s="1"/>
  <c r="X132" i="3"/>
  <c r="X133" i="3" s="1"/>
  <c r="Y132" i="3"/>
  <c r="X130" i="3"/>
  <c r="X131" i="3" s="1"/>
  <c r="Y149" i="3" s="1"/>
  <c r="F27" i="2"/>
  <c r="U27" i="2" s="1"/>
  <c r="W27" i="2" s="1"/>
  <c r="O27" i="2" s="1"/>
  <c r="P27" i="2" s="1"/>
  <c r="X28" i="2" s="1"/>
  <c r="Z28" i="2" s="1"/>
  <c r="J28" i="2" s="1"/>
  <c r="Y133" i="3" l="1"/>
  <c r="Y144" i="3"/>
  <c r="X144" i="3"/>
  <c r="X143" i="3"/>
  <c r="X151" i="3"/>
  <c r="X152" i="3" s="1"/>
  <c r="Y81" i="3"/>
  <c r="Y92" i="3" s="1"/>
  <c r="Y82" i="3"/>
  <c r="Y93" i="3" s="1"/>
  <c r="Y80" i="3"/>
  <c r="Y91" i="3" s="1"/>
  <c r="Y79" i="3"/>
  <c r="Y90" i="3" s="1"/>
  <c r="Q27" i="2"/>
  <c r="Y28" i="2" s="1"/>
  <c r="AA28" i="2" s="1"/>
  <c r="G28" i="2" s="1"/>
  <c r="F28" i="2"/>
  <c r="Y143" i="3" l="1"/>
  <c r="Y96" i="3"/>
  <c r="Y98" i="3"/>
  <c r="Y95" i="3"/>
  <c r="Y97" i="3"/>
  <c r="U28" i="2"/>
  <c r="W28" i="2" s="1"/>
  <c r="O28" i="2" s="1"/>
  <c r="Q28" i="2" s="1"/>
  <c r="K28" i="2"/>
  <c r="Y117" i="3" l="1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<sst xmlns="http://schemas.openxmlformats.org/spreadsheetml/2006/main" count="433" uniqueCount="300">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</sst>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8" zoomScale="93" zoomScaleNormal="93" workbookViewId="0">
      <selection activeCell="I21" sqref="I21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51" x14ac:dyDescent="0.2">
      <c r="A16" s="38" t="s">
        <v>226</v>
      </c>
      <c r="B16" s="31" t="s">
        <v>162</v>
      </c>
      <c r="E16" s="10" t="s">
        <v>229</v>
      </c>
      <c r="F16" s="4">
        <v>1E-3</v>
      </c>
      <c r="Z16" s="38" t="s">
        <v>293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38" t="s">
        <v>227</v>
      </c>
      <c r="B17" s="31" t="s">
        <v>162</v>
      </c>
      <c r="D17" s="49" t="s">
        <v>118</v>
      </c>
      <c r="E17" s="10" t="s">
        <v>117</v>
      </c>
      <c r="F17" s="4">
        <v>0.2</v>
      </c>
      <c r="Z17" s="38" t="s">
        <v>294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38" t="s">
        <v>228</v>
      </c>
      <c r="B18" s="31" t="s">
        <v>162</v>
      </c>
      <c r="D18" s="49"/>
      <c r="E18" s="10" t="s">
        <v>138</v>
      </c>
      <c r="F18" s="4">
        <v>0.67</v>
      </c>
      <c r="Z18" s="40" t="s">
        <v>295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38" t="s">
        <v>230</v>
      </c>
      <c r="B19" s="31" t="s">
        <v>162</v>
      </c>
      <c r="E19" s="10" t="s">
        <v>116</v>
      </c>
      <c r="F19" s="4">
        <v>150</v>
      </c>
      <c r="G19" s="4">
        <v>100</v>
      </c>
      <c r="Z19" s="38" t="s">
        <v>297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38" t="s">
        <v>232</v>
      </c>
      <c r="B20" s="31" t="s">
        <v>162</v>
      </c>
      <c r="E20" s="10" t="s">
        <v>173</v>
      </c>
      <c r="F20" s="4">
        <v>0.3</v>
      </c>
      <c r="G20" s="4">
        <v>0.25</v>
      </c>
      <c r="Z20" s="38" t="s">
        <v>298</v>
      </c>
      <c r="AD20" s="19"/>
      <c r="AE20" s="19"/>
      <c r="AF20" s="19"/>
    </row>
    <row r="21" spans="1:32" ht="17" x14ac:dyDescent="0.2">
      <c r="A21" s="38" t="s">
        <v>280</v>
      </c>
      <c r="B21" s="32" t="s">
        <v>174</v>
      </c>
      <c r="E21" s="10" t="s">
        <v>115</v>
      </c>
      <c r="F21" s="4">
        <f>F$19*$F$16</f>
        <v>0.15</v>
      </c>
      <c r="G21" s="4">
        <f>G$19*$F$16</f>
        <v>0.1</v>
      </c>
      <c r="Z21" s="38"/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38" t="s">
        <v>231</v>
      </c>
      <c r="B22" s="32" t="s">
        <v>174</v>
      </c>
      <c r="E22" s="10" t="s">
        <v>175</v>
      </c>
      <c r="F22" s="4">
        <f>F19-F21</f>
        <v>149.85</v>
      </c>
      <c r="G22" s="4">
        <f>G19-G21</f>
        <v>99.9</v>
      </c>
      <c r="Z22" s="38" t="s">
        <v>299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38" t="s">
        <v>159</v>
      </c>
      <c r="B24" s="3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Z24" s="38"/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38" t="s">
        <v>279</v>
      </c>
      <c r="B25" s="3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Z25" s="38"/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38" t="s">
        <v>160</v>
      </c>
      <c r="B26" s="3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Z26" s="38"/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38" t="s">
        <v>278</v>
      </c>
      <c r="B28" s="31" t="s">
        <v>162</v>
      </c>
      <c r="D28" s="49" t="s">
        <v>170</v>
      </c>
      <c r="E28" s="25" t="s">
        <v>68</v>
      </c>
      <c r="F28" s="4">
        <v>0.3</v>
      </c>
      <c r="G28" s="4">
        <v>0.92</v>
      </c>
      <c r="Z28" s="38"/>
    </row>
    <row r="29" spans="1:32" ht="73" customHeight="1" x14ac:dyDescent="0.2">
      <c r="A29" s="38" t="s">
        <v>233</v>
      </c>
      <c r="B29" s="32" t="s">
        <v>174</v>
      </c>
      <c r="D29" s="49"/>
      <c r="E29" s="25" t="s">
        <v>171</v>
      </c>
      <c r="F29" s="4">
        <f>F28/F19</f>
        <v>2E-3</v>
      </c>
      <c r="G29" s="4">
        <f>F29</f>
        <v>2E-3</v>
      </c>
      <c r="Z29" s="38"/>
    </row>
    <row r="30" spans="1:32" ht="18" customHeight="1" x14ac:dyDescent="0.2">
      <c r="D30" s="26"/>
    </row>
    <row r="31" spans="1:32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2" ht="17" x14ac:dyDescent="0.2">
      <c r="A32" s="38" t="s">
        <v>168</v>
      </c>
      <c r="B32" s="3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  <c r="Z32" s="38"/>
    </row>
    <row r="34" spans="1:27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7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7" ht="17" x14ac:dyDescent="0.2">
      <c r="A36" s="24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7" ht="17" x14ac:dyDescent="0.2">
      <c r="A37" s="46" t="s">
        <v>180</v>
      </c>
      <c r="B37" s="4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  <c r="Z37" s="37"/>
    </row>
    <row r="38" spans="1:27" ht="17" x14ac:dyDescent="0.2">
      <c r="A38" s="48"/>
      <c r="B38" s="4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  <c r="Z38" s="38"/>
    </row>
    <row r="39" spans="1:27" ht="17" x14ac:dyDescent="0.2">
      <c r="A39" s="48"/>
      <c r="B39" s="4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  <c r="Z39" s="38"/>
    </row>
    <row r="40" spans="1:27" ht="17" x14ac:dyDescent="0.2">
      <c r="A40" s="48"/>
      <c r="B40" s="4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  <c r="Z40" s="38"/>
    </row>
    <row r="41" spans="1:27" ht="17" x14ac:dyDescent="0.2">
      <c r="E41" s="14" t="s">
        <v>82</v>
      </c>
      <c r="AA41" t="s">
        <v>77</v>
      </c>
    </row>
    <row r="42" spans="1:27" ht="17" x14ac:dyDescent="0.2">
      <c r="A42" s="48" t="s">
        <v>191</v>
      </c>
      <c r="B42" s="4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  <c r="Z42" s="38"/>
    </row>
    <row r="43" spans="1:27" ht="17" x14ac:dyDescent="0.2">
      <c r="A43" s="48"/>
      <c r="B43" s="4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x14ac:dyDescent="0.2">
      <c r="A46" s="38" t="s">
        <v>192</v>
      </c>
      <c r="B46" s="28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  <c r="Z46" s="38"/>
    </row>
    <row r="47" spans="1:27" ht="17" x14ac:dyDescent="0.2">
      <c r="E47" s="14" t="s">
        <v>82</v>
      </c>
      <c r="AA47" t="s">
        <v>77</v>
      </c>
    </row>
    <row r="48" spans="1:27" ht="17" x14ac:dyDescent="0.2">
      <c r="A48" s="48" t="s">
        <v>263</v>
      </c>
      <c r="B48" s="47" t="s">
        <v>174</v>
      </c>
      <c r="D48" s="49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  <c r="Z48" s="38"/>
    </row>
    <row r="49" spans="1:26" ht="17" x14ac:dyDescent="0.2">
      <c r="A49" s="48"/>
      <c r="B49" s="47"/>
      <c r="D49" s="49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  <c r="Z49" s="38"/>
    </row>
    <row r="50" spans="1:26" ht="17" x14ac:dyDescent="0.2">
      <c r="A50" s="48"/>
      <c r="B50" s="47"/>
      <c r="D50" s="49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  <c r="Z50" s="38"/>
    </row>
    <row r="51" spans="1:26" ht="17" x14ac:dyDescent="0.2">
      <c r="A51" s="48"/>
      <c r="B51" s="47"/>
      <c r="D51" s="49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x14ac:dyDescent="0.2">
      <c r="A52" s="38" t="s">
        <v>264</v>
      </c>
      <c r="B52" s="28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  <c r="Z52" s="38"/>
    </row>
    <row r="53" spans="1:26" x14ac:dyDescent="0.2">
      <c r="A53" s="38" t="s">
        <v>266</v>
      </c>
      <c r="B53" s="28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  <c r="Z53" s="38"/>
    </row>
    <row r="54" spans="1:26" x14ac:dyDescent="0.2">
      <c r="E54" s="14"/>
    </row>
    <row r="55" spans="1:26" ht="17" x14ac:dyDescent="0.2">
      <c r="A55" s="48" t="s">
        <v>193</v>
      </c>
      <c r="B55" s="4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  <c r="Z55" s="38"/>
    </row>
    <row r="56" spans="1:26" ht="17" x14ac:dyDescent="0.2">
      <c r="A56" s="48"/>
      <c r="B56" s="4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  <c r="Z56" s="38"/>
    </row>
    <row r="57" spans="1:26" ht="17" x14ac:dyDescent="0.2">
      <c r="A57" s="48"/>
      <c r="B57" s="4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  <c r="Z57" s="38"/>
    </row>
    <row r="58" spans="1:26" ht="17" x14ac:dyDescent="0.2">
      <c r="A58" s="48"/>
      <c r="B58" s="4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  <c r="Z58" s="38"/>
    </row>
    <row r="59" spans="1:26" x14ac:dyDescent="0.2">
      <c r="A59" s="38" t="s">
        <v>194</v>
      </c>
      <c r="B59" s="28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  <c r="Z59" s="38"/>
    </row>
    <row r="60" spans="1:26" x14ac:dyDescent="0.2">
      <c r="E60" s="14"/>
    </row>
    <row r="61" spans="1:26" ht="17" x14ac:dyDescent="0.2">
      <c r="A61" s="48" t="s">
        <v>178</v>
      </c>
      <c r="B61" s="47" t="s">
        <v>174</v>
      </c>
      <c r="E61" s="14" t="s">
        <v>90</v>
      </c>
      <c r="G61" s="4">
        <f>AD6</f>
        <v>0</v>
      </c>
      <c r="J61" s="4">
        <f>AD7</f>
        <v>0.01</v>
      </c>
      <c r="M61" s="4">
        <f>AD8</f>
        <v>0.05</v>
      </c>
      <c r="P61" s="4">
        <f>AD9</f>
        <v>0.12</v>
      </c>
      <c r="S61" s="4">
        <f>AD11</f>
        <v>0.2</v>
      </c>
      <c r="V61" s="4">
        <f>AD12</f>
        <v>0.36</v>
      </c>
      <c r="Y61" s="4">
        <f>AD14</f>
        <v>0.6</v>
      </c>
      <c r="Z61" s="38"/>
    </row>
    <row r="62" spans="1:26" ht="17" x14ac:dyDescent="0.2">
      <c r="A62" s="48"/>
      <c r="B62" s="47"/>
      <c r="E62" s="14" t="s">
        <v>91</v>
      </c>
      <c r="G62" s="4">
        <v>0</v>
      </c>
      <c r="J62" s="4">
        <v>0</v>
      </c>
      <c r="M62" s="4">
        <f>AD7</f>
        <v>0.01</v>
      </c>
      <c r="P62" s="4">
        <f>AD8</f>
        <v>0.05</v>
      </c>
      <c r="S62" s="4">
        <f>AD9</f>
        <v>0.12</v>
      </c>
      <c r="V62" s="4">
        <f>AD11</f>
        <v>0.2</v>
      </c>
      <c r="Y62" s="4">
        <f>AD12</f>
        <v>0.36</v>
      </c>
      <c r="Z62" s="38"/>
    </row>
    <row r="63" spans="1:26" ht="17" x14ac:dyDescent="0.2">
      <c r="A63" s="48"/>
      <c r="B63" s="47"/>
      <c r="E63" s="14" t="s">
        <v>92</v>
      </c>
      <c r="G63" s="4">
        <v>0</v>
      </c>
      <c r="J63" s="4">
        <v>0</v>
      </c>
      <c r="M63" s="4">
        <v>0</v>
      </c>
      <c r="P63" s="4">
        <f>AD7</f>
        <v>0.01</v>
      </c>
      <c r="S63" s="4">
        <f>AD8</f>
        <v>0.05</v>
      </c>
      <c r="V63" s="4">
        <f>AD9</f>
        <v>0.12</v>
      </c>
      <c r="Y63" s="4">
        <f>AD11</f>
        <v>0.2</v>
      </c>
      <c r="Z63" s="38"/>
    </row>
    <row r="64" spans="1:26" ht="17" x14ac:dyDescent="0.2">
      <c r="A64" s="48"/>
      <c r="B64" s="4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AD7</f>
        <v>0.01</v>
      </c>
      <c r="V64" s="4">
        <f>AD8</f>
        <v>0.05</v>
      </c>
      <c r="Y64" s="4">
        <f>AD9</f>
        <v>0.12</v>
      </c>
      <c r="Z64" s="38"/>
    </row>
    <row r="65" spans="1:31" ht="17" x14ac:dyDescent="0.2">
      <c r="E65" s="14" t="s">
        <v>49</v>
      </c>
    </row>
    <row r="66" spans="1:31" x14ac:dyDescent="0.2">
      <c r="E66" s="14"/>
    </row>
    <row r="67" spans="1:31" ht="17" x14ac:dyDescent="0.2">
      <c r="A67" s="48" t="s">
        <v>238</v>
      </c>
      <c r="B67" s="4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  <c r="Z67" s="38"/>
    </row>
    <row r="68" spans="1:31" ht="17" x14ac:dyDescent="0.2">
      <c r="A68" s="48"/>
      <c r="B68" s="4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  <c r="Z68" s="38"/>
    </row>
    <row r="69" spans="1:31" ht="17" x14ac:dyDescent="0.2">
      <c r="A69" s="48"/>
      <c r="B69" s="47"/>
      <c r="D69" s="49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  <c r="Z69" s="38"/>
    </row>
    <row r="70" spans="1:31" ht="17" x14ac:dyDescent="0.2">
      <c r="A70" s="48"/>
      <c r="B70" s="47"/>
      <c r="D70" s="49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  <c r="Z70" s="38"/>
    </row>
    <row r="71" spans="1:31" x14ac:dyDescent="0.2">
      <c r="D71" s="49"/>
      <c r="E71" s="14"/>
    </row>
    <row r="72" spans="1:31" ht="17" x14ac:dyDescent="0.2">
      <c r="A72" s="48" t="s">
        <v>235</v>
      </c>
      <c r="B72" s="47" t="s">
        <v>174</v>
      </c>
      <c r="E72" s="14" t="s">
        <v>127</v>
      </c>
      <c r="G72" s="4">
        <v>0</v>
      </c>
      <c r="J72" s="4">
        <f>INT(I$4-$AF$6 &gt; $D80)*MAX(G95-$G$21*G37-J42,0)</f>
        <v>0</v>
      </c>
      <c r="M72" s="4">
        <f>INT(L$4-$AF$6 &gt; $D80)*MAX(J95-$G$21*J37-M42,0)</f>
        <v>0</v>
      </c>
      <c r="P72" s="4">
        <f>INT(O$4-$AF$6 &gt; $D80)*MAX(M95-$G$21*M37-P42,0)</f>
        <v>0</v>
      </c>
      <c r="S72" s="4">
        <f>INT(R$4-$AF$6 &gt; $D80)*MAX(P95-$G$21*P37-S42,0)</f>
        <v>6.7881033999999989</v>
      </c>
      <c r="V72" s="4">
        <f>INT(U$4-$AF$6 &gt; $D80)*MAX(S95-$G$21*S37-V42,0)</f>
        <v>23.757527193199998</v>
      </c>
      <c r="Y72" s="4">
        <f>INT(X$4-$AF$6 &gt; $D80)*MAX(V95-$G$21*V37-Y42,0)</f>
        <v>30.582999999999998</v>
      </c>
      <c r="Z72" s="38"/>
    </row>
    <row r="73" spans="1:31" ht="17" x14ac:dyDescent="0.2">
      <c r="A73" s="48"/>
      <c r="B73" s="47"/>
      <c r="E73" s="14" t="s">
        <v>128</v>
      </c>
      <c r="G73" s="4">
        <v>0</v>
      </c>
      <c r="J73" s="4">
        <f>INT(I$4-$AF$6 &gt; $D81)*MAX(G96-$G$21*G38-J43,0)</f>
        <v>0</v>
      </c>
      <c r="M73" s="4">
        <f>INT(L$4-$AF$6 &gt; $D81)*MAX(J96-$G$21*J38-M43,0)</f>
        <v>0</v>
      </c>
      <c r="P73" s="4">
        <f>INT(O$4-$AF$6 &gt; $D81)*MAX(M96-$G$21*M38-P43,0)</f>
        <v>0</v>
      </c>
      <c r="S73" s="4">
        <f>INT(R$4-$AF$6 &gt; $D81)*MAX(P96-$G$21*P38-S43,0)</f>
        <v>0</v>
      </c>
      <c r="V73" s="4">
        <f>INT(U$4-$AF$6 &gt; $D81)*MAX(S96-$G$21*S38-V43,0)</f>
        <v>6.3888031999999999</v>
      </c>
      <c r="Y73" s="4">
        <f>INT(X$4-$AF$6 &gt; $D81)*MAX(V96-$G$21*V38-Y43,0)</f>
        <v>15.984000000000002</v>
      </c>
      <c r="Z73" s="38"/>
    </row>
    <row r="74" spans="1:31" ht="17" x14ac:dyDescent="0.2">
      <c r="A74" s="48"/>
      <c r="B74" s="47"/>
      <c r="D74" s="49" t="s">
        <v>152</v>
      </c>
      <c r="E74" s="14" t="s">
        <v>129</v>
      </c>
      <c r="G74" s="4">
        <v>0</v>
      </c>
      <c r="J74" s="4">
        <f>INT(I$4-$AF$6 &gt; $D82)*MAX(G97-$G$21*G39-J44,0)</f>
        <v>0</v>
      </c>
      <c r="M74" s="4">
        <f>INT(L$4-$AF$6 &gt; $D82)*MAX(J97-$G$21*J39-M44,0)</f>
        <v>0</v>
      </c>
      <c r="P74" s="4">
        <f>INT(O$4-$AF$6 &gt; $D82)*MAX(M97-$G$21*M39-P44,0)</f>
        <v>0</v>
      </c>
      <c r="S74" s="4">
        <f>INT(R$4-$AF$6 &gt; $D82)*MAX(P97-$G$21*P39-S44,0)</f>
        <v>0</v>
      </c>
      <c r="V74" s="4">
        <f>INT(U$4-$AF$6 &gt; $D82)*MAX(S97-$G$21*S39-V44,0)</f>
        <v>0</v>
      </c>
      <c r="Y74" s="4">
        <f>INT(X$4-$AF$6 &gt; $D82)*MAX(V97-$G$21*V39-Y44,0)</f>
        <v>7.3471236799999975</v>
      </c>
      <c r="Z74" s="38"/>
    </row>
    <row r="75" spans="1:31" ht="17" x14ac:dyDescent="0.2">
      <c r="A75" s="48"/>
      <c r="B75" s="47"/>
      <c r="D75" s="49"/>
      <c r="E75" s="14" t="s">
        <v>130</v>
      </c>
      <c r="G75" s="4">
        <v>0</v>
      </c>
      <c r="J75" s="4">
        <f>INT(I$4-$AF$6 &gt; $D83)*MAX(G98-$G$21*G40-J45,0)</f>
        <v>0</v>
      </c>
      <c r="M75" s="4">
        <f>INT(L$4-$AF$6 &gt; $D83)*MAX(J98-$G$21*J40-M45,0)</f>
        <v>0</v>
      </c>
      <c r="P75" s="4">
        <f>INT(O$4-$AF$6 &gt; $D83)*MAX(M98-$G$21*M40-P45,0)</f>
        <v>0</v>
      </c>
      <c r="S75" s="4">
        <f>INT(R$4-$AF$6 &gt; $D83)*MAX(P98-$G$21*P40-S45,0)</f>
        <v>0</v>
      </c>
      <c r="V75" s="4">
        <f>INT(U$4-$AF$6 &gt; $D83)*MAX(S98-$G$21*S40-V45,0)</f>
        <v>0</v>
      </c>
      <c r="Y75" s="4">
        <f>INT(X$4-$AF$6 &gt; $D83)*MAX(V98-$G$21*V40-Y45,0)</f>
        <v>0</v>
      </c>
      <c r="Z75" s="38"/>
    </row>
    <row r="76" spans="1:31" ht="17" x14ac:dyDescent="0.2">
      <c r="A76" s="38" t="s">
        <v>236</v>
      </c>
      <c r="B76" s="28" t="s">
        <v>174</v>
      </c>
      <c r="D76" s="49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Z76" s="38"/>
      <c r="AE76" t="s">
        <v>106</v>
      </c>
    </row>
    <row r="77" spans="1:31" x14ac:dyDescent="0.2">
      <c r="D77" s="49"/>
      <c r="E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4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Z78" s="39"/>
      <c r="AC78" t="s">
        <v>86</v>
      </c>
    </row>
    <row r="79" spans="1:31" ht="17" x14ac:dyDescent="0.2">
      <c r="A79" s="50"/>
      <c r="B79" s="4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  <c r="Z79" s="39"/>
    </row>
    <row r="80" spans="1:31" ht="17" x14ac:dyDescent="0.2">
      <c r="A80" s="50"/>
      <c r="B80" s="4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  <c r="Z80" s="39"/>
    </row>
    <row r="81" spans="1:26" ht="17" x14ac:dyDescent="0.2">
      <c r="A81" s="50"/>
      <c r="B81" s="4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  <c r="Z81" s="39"/>
    </row>
    <row r="82" spans="1:26" ht="17" x14ac:dyDescent="0.2">
      <c r="A82" s="50"/>
      <c r="B82" s="4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  <c r="Z82" s="39"/>
    </row>
    <row r="83" spans="1:26" x14ac:dyDescent="0.2">
      <c r="D83" s="22">
        <v>3</v>
      </c>
      <c r="E83" s="14"/>
    </row>
    <row r="84" spans="1:26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6" ht="17" x14ac:dyDescent="0.2">
      <c r="A85" s="46" t="s">
        <v>181</v>
      </c>
      <c r="B85" s="4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  <c r="Z85" s="37"/>
    </row>
    <row r="86" spans="1:26" ht="17" x14ac:dyDescent="0.2">
      <c r="A86" s="46"/>
      <c r="B86" s="4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  <c r="Z86" s="37"/>
    </row>
    <row r="87" spans="1:26" ht="17" x14ac:dyDescent="0.2">
      <c r="A87" s="46"/>
      <c r="B87" s="4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  <c r="Z87" s="37"/>
    </row>
    <row r="88" spans="1:26" ht="17" x14ac:dyDescent="0.2">
      <c r="A88" s="46"/>
      <c r="B88" s="4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  <c r="Z88" s="37"/>
    </row>
    <row r="89" spans="1:26" x14ac:dyDescent="0.2">
      <c r="E89" s="14"/>
    </row>
    <row r="90" spans="1:26" ht="17" x14ac:dyDescent="0.2">
      <c r="A90" s="46" t="s">
        <v>204</v>
      </c>
      <c r="B90" s="4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  <c r="Z90" s="37"/>
    </row>
    <row r="91" spans="1:26" ht="17" x14ac:dyDescent="0.2">
      <c r="A91" s="46"/>
      <c r="B91" s="4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  <c r="Z91" s="37"/>
    </row>
    <row r="92" spans="1:26" ht="17" x14ac:dyDescent="0.2">
      <c r="A92" s="46"/>
      <c r="B92" s="4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  <c r="Z92" s="37"/>
    </row>
    <row r="93" spans="1:26" ht="17" x14ac:dyDescent="0.2">
      <c r="A93" s="46"/>
      <c r="B93" s="4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  <c r="Z93" s="37"/>
    </row>
    <row r="94" spans="1:26" x14ac:dyDescent="0.2">
      <c r="E94" s="14"/>
    </row>
    <row r="95" spans="1:26" ht="17" x14ac:dyDescent="0.2">
      <c r="A95" s="46" t="s">
        <v>209</v>
      </c>
      <c r="B95" s="4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  <c r="Z95" s="37"/>
    </row>
    <row r="96" spans="1:26" ht="17" x14ac:dyDescent="0.2">
      <c r="A96" s="46"/>
      <c r="B96" s="4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  <c r="Z96" s="37"/>
    </row>
    <row r="97" spans="1:26" ht="17" x14ac:dyDescent="0.2">
      <c r="A97" s="46"/>
      <c r="B97" s="4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  <c r="Z97" s="37"/>
    </row>
    <row r="98" spans="1:26" ht="17" customHeight="1" x14ac:dyDescent="0.2">
      <c r="A98" s="46"/>
      <c r="B98" s="4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  <c r="Z98" s="37"/>
    </row>
    <row r="99" spans="1:26" x14ac:dyDescent="0.2">
      <c r="D99" s="26"/>
      <c r="E99" s="14"/>
    </row>
    <row r="100" spans="1:26" ht="17" x14ac:dyDescent="0.2">
      <c r="A100" s="46" t="s">
        <v>210</v>
      </c>
      <c r="B100" s="47" t="s">
        <v>174</v>
      </c>
      <c r="D100" s="26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  <c r="Z100" s="37"/>
    </row>
    <row r="101" spans="1:26" ht="17" x14ac:dyDescent="0.2">
      <c r="A101" s="46"/>
      <c r="B101" s="47"/>
      <c r="D101" s="26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  <c r="Z101" s="37"/>
    </row>
    <row r="102" spans="1:26" ht="17" x14ac:dyDescent="0.2">
      <c r="A102" s="46"/>
      <c r="B102" s="47"/>
      <c r="D102" s="26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  <c r="Z102" s="37"/>
    </row>
    <row r="103" spans="1:26" ht="17" x14ac:dyDescent="0.2">
      <c r="A103" s="46"/>
      <c r="B103" s="47"/>
      <c r="D103" s="26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  <c r="Z103" s="37"/>
    </row>
    <row r="104" spans="1:26" x14ac:dyDescent="0.2">
      <c r="A104" s="29"/>
      <c r="B104" s="35"/>
      <c r="D104" s="26"/>
      <c r="E104" s="14"/>
      <c r="Z104" s="29"/>
    </row>
    <row r="105" spans="1:26" x14ac:dyDescent="0.2">
      <c r="A105" s="29"/>
      <c r="B105" s="35"/>
      <c r="D105" s="26"/>
      <c r="E105" s="14"/>
      <c r="Z105" s="29"/>
    </row>
    <row r="106" spans="1:26" ht="17" x14ac:dyDescent="0.2">
      <c r="D106" s="26"/>
      <c r="E106" s="15" t="s">
        <v>140</v>
      </c>
      <c r="F106" s="8" t="s">
        <v>124</v>
      </c>
      <c r="G106" s="8"/>
    </row>
    <row r="107" spans="1:26" ht="17" x14ac:dyDescent="0.2">
      <c r="A107" s="38" t="s">
        <v>239</v>
      </c>
      <c r="B107" s="34" t="s">
        <v>182</v>
      </c>
      <c r="D107" s="26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  <c r="Z107" s="38"/>
    </row>
    <row r="108" spans="1:26" ht="17" x14ac:dyDescent="0.2">
      <c r="A108" s="38" t="s">
        <v>240</v>
      </c>
      <c r="B108" s="28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  <c r="Z108" s="38"/>
    </row>
    <row r="109" spans="1:26" ht="17" x14ac:dyDescent="0.2">
      <c r="A109" s="38" t="s">
        <v>183</v>
      </c>
      <c r="B109" s="28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IF(G111=0,0,MIN(MAX((G111/G108-$F$16)/($F$18-$F$16), 0), 1))</f>
        <v>1</v>
      </c>
      <c r="L109" s="4">
        <f>IF(I111=0,0,MIN(MAX((I111/I108-$F$16)/($F$18-$F$16), 0), 1))</f>
        <v>1</v>
      </c>
      <c r="M109" s="4">
        <f>IF(J111=0,0,MIN(MAX((J111/J108-$F$16)/($F$18-$F$16), 0), 1))</f>
        <v>1</v>
      </c>
      <c r="O109" s="4">
        <f>IF(L111=0,0,MIN(MAX((L111/L108-$F$16)/($F$18-$F$16), 0), 1))</f>
        <v>1</v>
      </c>
      <c r="P109" s="4">
        <f>IF(M111=0,0,MIN(MAX((M111/M108-$F$16)/($F$18-$F$16), 0), 1))</f>
        <v>1</v>
      </c>
      <c r="R109" s="4">
        <f>IF(O111=0,0,MIN(MAX((O111/O108-$F$16)/($F$18-$F$16), 0), 1))</f>
        <v>1</v>
      </c>
      <c r="S109" s="4">
        <f>IF(P111=0,0,MIN(MAX((P111/P108-$F$16)/($F$18-$F$16), 0), 1))</f>
        <v>1</v>
      </c>
      <c r="U109" s="4">
        <f>IF(R111=0,0,MIN(MAX((R111/R108-$F$16)/($F$18-$F$16), 0), 1))</f>
        <v>1</v>
      </c>
      <c r="V109" s="4">
        <f>IF(S111=0,0,MIN(MAX((S111/S108-$F$16)/($F$18-$F$16), 0), 1))</f>
        <v>1</v>
      </c>
      <c r="X109" s="4">
        <f>IF(U111=0,0,MIN(MAX((U111/U108-$F$16)/($F$18-$F$16), 0), 1))</f>
        <v>1</v>
      </c>
      <c r="Y109" s="4">
        <f>IF(V111=0,0,MIN(MAX((V111/V108-$F$16)/($F$18-$F$16), 0), 1))</f>
        <v>0.89478919993714923</v>
      </c>
      <c r="Z109" s="38"/>
    </row>
    <row r="110" spans="1:26" ht="17" x14ac:dyDescent="0.2">
      <c r="A110" s="38" t="s">
        <v>184</v>
      </c>
      <c r="B110" s="3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  <c r="Z110" s="38"/>
    </row>
    <row r="111" spans="1:26" ht="17" x14ac:dyDescent="0.2">
      <c r="A111" s="38" t="s">
        <v>241</v>
      </c>
      <c r="B111" s="3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  <c r="Z111" s="38"/>
    </row>
    <row r="112" spans="1:26" ht="17" x14ac:dyDescent="0.2">
      <c r="A112" s="38" t="s">
        <v>244</v>
      </c>
      <c r="B112" s="3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  <c r="Z112" s="38"/>
    </row>
    <row r="113" spans="1:26" ht="34" x14ac:dyDescent="0.2">
      <c r="A113" s="38" t="s">
        <v>282</v>
      </c>
      <c r="B113" s="28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  <c r="Z113" s="38"/>
    </row>
    <row r="114" spans="1:26" x14ac:dyDescent="0.2">
      <c r="E114" s="13"/>
    </row>
    <row r="115" spans="1:26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6" ht="17" x14ac:dyDescent="0.2">
      <c r="A116" s="38" t="s">
        <v>246</v>
      </c>
      <c r="B116" s="3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  <c r="Z116" s="38"/>
    </row>
    <row r="117" spans="1:26" ht="17" x14ac:dyDescent="0.2">
      <c r="A117" s="38" t="s">
        <v>245</v>
      </c>
      <c r="B117" s="3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  <c r="Z117" s="38"/>
    </row>
    <row r="118" spans="1:26" ht="17" x14ac:dyDescent="0.2">
      <c r="A118" s="38" t="s">
        <v>242</v>
      </c>
      <c r="B118" s="3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  <c r="Z118" s="38"/>
    </row>
    <row r="119" spans="1:26" ht="17" x14ac:dyDescent="0.2">
      <c r="A119" s="38" t="s">
        <v>243</v>
      </c>
      <c r="B119" s="33" t="s">
        <v>163</v>
      </c>
      <c r="E119" s="10" t="s">
        <v>220</v>
      </c>
      <c r="F119" s="4">
        <f>F111*$F$20</f>
        <v>450000</v>
      </c>
      <c r="G119" s="4">
        <f>G111*$G$20</f>
        <v>6250000</v>
      </c>
      <c r="I119" s="4">
        <f>I111*$F$20</f>
        <v>426426.94265947182</v>
      </c>
      <c r="J119" s="4">
        <f>J111*$G$20</f>
        <v>5814089.2769504404</v>
      </c>
      <c r="L119" s="4">
        <f>L111*$F$20</f>
        <v>401729.40564975084</v>
      </c>
      <c r="M119" s="4">
        <f>M111*$G$20</f>
        <v>5367377.2846686905</v>
      </c>
      <c r="O119" s="4">
        <f>O111*$F$20</f>
        <v>378689.78824255464</v>
      </c>
      <c r="P119" s="4">
        <f>P111*$G$20</f>
        <v>4905488.7651510034</v>
      </c>
      <c r="R119" s="4">
        <f>R111*$F$20</f>
        <v>356485.31955472904</v>
      </c>
      <c r="S119" s="4">
        <f>S111*$G$20</f>
        <v>4418081.6872752085</v>
      </c>
      <c r="U119" s="4">
        <f>U111*$F$20</f>
        <v>329374.48540307593</v>
      </c>
      <c r="V119" s="4">
        <f>V111*$G$20</f>
        <v>3739567.5053248177</v>
      </c>
      <c r="X119" s="4">
        <f>X111*$F$20</f>
        <v>245972.17525771659</v>
      </c>
      <c r="Y119" s="4">
        <f>Y111*$G$20</f>
        <v>796843.41097751621</v>
      </c>
      <c r="Z119" s="38"/>
    </row>
    <row r="120" spans="1:26" ht="17" x14ac:dyDescent="0.2">
      <c r="A120" s="38" t="s">
        <v>281</v>
      </c>
      <c r="B120" s="28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1482.7371779498217</v>
      </c>
      <c r="Z120" s="38"/>
    </row>
    <row r="121" spans="1:26" ht="17" x14ac:dyDescent="0.2">
      <c r="A121" s="38" t="s">
        <v>265</v>
      </c>
      <c r="B121" s="28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1044</v>
      </c>
      <c r="Z121" s="38"/>
    </row>
    <row r="122" spans="1:26" ht="17" x14ac:dyDescent="0.2">
      <c r="A122" s="38" t="s">
        <v>283</v>
      </c>
      <c r="B122" s="28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307.11602456487515</v>
      </c>
      <c r="Z122" s="38"/>
    </row>
    <row r="123" spans="1:26" ht="17" x14ac:dyDescent="0.2">
      <c r="A123" s="38" t="s">
        <v>258</v>
      </c>
      <c r="B123" s="3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5839.4603133048031</v>
      </c>
      <c r="Z123" s="38"/>
    </row>
    <row r="124" spans="1:26" ht="17" x14ac:dyDescent="0.2">
      <c r="A124" s="38" t="s">
        <v>259</v>
      </c>
      <c r="B124" s="28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0.94740677937905793</v>
      </c>
      <c r="Y124" s="4">
        <f>Y122/(X122+Y122)</f>
        <v>5.2593220620942092E-2</v>
      </c>
      <c r="Z124" s="38"/>
    </row>
    <row r="125" spans="1:26" ht="34" x14ac:dyDescent="0.2">
      <c r="A125" s="38" t="s">
        <v>185</v>
      </c>
      <c r="B125" s="28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2533196.7626931826</v>
      </c>
      <c r="Z125" s="38"/>
    </row>
    <row r="127" spans="1:26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6" ht="17" x14ac:dyDescent="0.2">
      <c r="A128" s="38" t="s">
        <v>260</v>
      </c>
      <c r="B128" s="28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2514160.5396866952</v>
      </c>
      <c r="Z128" s="38"/>
    </row>
    <row r="129" spans="1:29" ht="17" x14ac:dyDescent="0.2">
      <c r="A129" s="38" t="s">
        <v>261</v>
      </c>
      <c r="B129" s="28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1789059.8013981958</v>
      </c>
      <c r="Z129" s="38"/>
    </row>
    <row r="130" spans="1:29" ht="17" x14ac:dyDescent="0.2">
      <c r="A130" s="38" t="s">
        <v>272</v>
      </c>
      <c r="B130" s="28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725100.73828849941</v>
      </c>
      <c r="Z130" s="38"/>
    </row>
    <row r="131" spans="1:29" ht="17" x14ac:dyDescent="0.2">
      <c r="A131" s="38" t="s">
        <v>216</v>
      </c>
      <c r="B131" s="28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  <c r="Z131" s="38"/>
    </row>
    <row r="132" spans="1:29" ht="17" x14ac:dyDescent="0.2">
      <c r="A132" s="38" t="s">
        <v>268</v>
      </c>
      <c r="B132" s="28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1595269.5105861374</v>
      </c>
      <c r="Z132" s="38"/>
    </row>
    <row r="133" spans="1:29" ht="17" x14ac:dyDescent="0.2">
      <c r="A133" s="38" t="s">
        <v>273</v>
      </c>
      <c r="B133" s="3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1595323.4247098174</v>
      </c>
      <c r="Z133" s="38"/>
    </row>
    <row r="134" spans="1:29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9" ht="34" x14ac:dyDescent="0.2">
      <c r="A135" s="38" t="s">
        <v>276</v>
      </c>
      <c r="B135" s="28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 s="38"/>
      <c r="AA135">
        <v>0.5</v>
      </c>
      <c r="AB135">
        <f>SUM(AA$6:AA135)</f>
        <v>0.5</v>
      </c>
      <c r="AC135">
        <v>20</v>
      </c>
    </row>
    <row r="136" spans="1:29" ht="17" x14ac:dyDescent="0.2">
      <c r="A136" s="38" t="s">
        <v>186</v>
      </c>
      <c r="B136" s="28" t="s">
        <v>174</v>
      </c>
      <c r="E136" s="10" t="s">
        <v>187</v>
      </c>
      <c r="F136" s="4">
        <f>MAX(MIN((F135-$F$16)/$F$17, 1), 0)</f>
        <v>1</v>
      </c>
      <c r="G136" s="4">
        <f>MAX(MIN((G135-$F$16)/$F$17, 1), 0)</f>
        <v>1</v>
      </c>
      <c r="I136" s="4">
        <f>MAX(MIN((I135-$F$16)/$F$17, 1), 0)</f>
        <v>1</v>
      </c>
      <c r="J136" s="4">
        <f>MAX(MIN((J135-$F$16)/$F$17, 1), 0)</f>
        <v>1</v>
      </c>
      <c r="L136" s="4">
        <f>MAX(MIN((L135-$F$16)/$F$17, 1), 0)</f>
        <v>1</v>
      </c>
      <c r="M136" s="4">
        <f>MAX(MIN((M135-$F$16)/$F$17, 1), 0)</f>
        <v>1</v>
      </c>
      <c r="O136" s="4">
        <f>MAX(MIN((O135-$F$16)/$F$17, 1), 0)</f>
        <v>1</v>
      </c>
      <c r="P136" s="4">
        <f>MAX(MIN((P135-$F$16)/$F$17, 1), 0)</f>
        <v>1</v>
      </c>
      <c r="R136" s="4">
        <f>MAX(MIN((R135-$F$16)/$F$17, 1), 0)</f>
        <v>1</v>
      </c>
      <c r="S136" s="4">
        <f>MAX(MIN((S135-$F$16)/$F$17, 1), 0)</f>
        <v>1</v>
      </c>
      <c r="U136" s="4">
        <f>MAX(MIN((U135-$F$16)/$F$17, 1), 0)</f>
        <v>1</v>
      </c>
      <c r="V136" s="4">
        <f>MAX(MIN((V135-$F$16)/$F$17, 1), 0)</f>
        <v>1</v>
      </c>
      <c r="X136" s="4">
        <f>MAX(MIN((X135-$F$16)/$F$17, 1), 0)</f>
        <v>1</v>
      </c>
      <c r="Y136" s="4">
        <f>MAX(MIN((Y135-$F$16)/$F$17, 1), 0)</f>
        <v>0.629745598162741</v>
      </c>
      <c r="Z136" s="38"/>
      <c r="AA136">
        <v>0.3</v>
      </c>
      <c r="AB136">
        <f>SUM(AA$6:AA136)</f>
        <v>0.8</v>
      </c>
      <c r="AC136">
        <v>20</v>
      </c>
    </row>
    <row r="137" spans="1:29" x14ac:dyDescent="0.2">
      <c r="A137" s="38"/>
      <c r="Z137" s="38"/>
      <c r="AA137">
        <v>0.2</v>
      </c>
      <c r="AB137">
        <f>SUM(AA$6:AA137)</f>
        <v>1</v>
      </c>
      <c r="AC137">
        <v>20</v>
      </c>
    </row>
    <row r="138" spans="1:29" ht="17" x14ac:dyDescent="0.2">
      <c r="A138" s="38" t="s">
        <v>188</v>
      </c>
      <c r="B138" s="28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1595269.5105861374</v>
      </c>
      <c r="Z138" s="38"/>
      <c r="AA138">
        <v>0.125</v>
      </c>
      <c r="AB138">
        <f>SUM(AA$6:AA156)</f>
        <v>1.125</v>
      </c>
      <c r="AC138">
        <v>20</v>
      </c>
    </row>
    <row r="139" spans="1:29" ht="17" x14ac:dyDescent="0.2">
      <c r="A139" s="38" t="s">
        <v>189</v>
      </c>
      <c r="B139" s="28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1789059.8013981958</v>
      </c>
      <c r="Y139" s="4">
        <f>X139</f>
        <v>1789059.8013981958</v>
      </c>
      <c r="Z139" s="38"/>
    </row>
    <row r="140" spans="1:29" ht="17" x14ac:dyDescent="0.2">
      <c r="A140" s="38" t="s">
        <v>190</v>
      </c>
      <c r="B140" s="28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0.10831962724812565</v>
      </c>
      <c r="Y140" s="4">
        <f>Y138/Y139</f>
        <v>0.89168037275187428</v>
      </c>
      <c r="Z140" s="38"/>
    </row>
    <row r="142" spans="1:29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9" ht="17" x14ac:dyDescent="0.2">
      <c r="A143" s="38" t="s">
        <v>274</v>
      </c>
      <c r="B143" s="3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3181.2993505719551</v>
      </c>
      <c r="Z143" s="38"/>
    </row>
    <row r="144" spans="1:29" ht="17" x14ac:dyDescent="0.2">
      <c r="A144" s="38" t="s">
        <v>275</v>
      </c>
      <c r="B144" s="33" t="s">
        <v>163</v>
      </c>
      <c r="E144" s="14" t="s">
        <v>215</v>
      </c>
      <c r="F144" s="4">
        <f>F132*$F20</f>
        <v>21365.788918364884</v>
      </c>
      <c r="G144" s="4">
        <f>(G132+F131)*$G20</f>
        <v>479351.42590136261</v>
      </c>
      <c r="I144" s="4">
        <f>I132*$F20</f>
        <v>22127.038759307754</v>
      </c>
      <c r="J144" s="4">
        <f>(J132+I131)*$G20</f>
        <v>490963.33587449399</v>
      </c>
      <c r="L144" s="4">
        <f>L132*$F20</f>
        <v>20810.770497264373</v>
      </c>
      <c r="M144" s="4">
        <f>(M132+L131)*$G20</f>
        <v>507583.22010793001</v>
      </c>
      <c r="O144" s="4">
        <f>O132*$F20</f>
        <v>19673.557629791878</v>
      </c>
      <c r="P144" s="4">
        <f>(P132+O131)*$G20</f>
        <v>532282.1235214161</v>
      </c>
      <c r="R144" s="4">
        <f>R132*$F20</f>
        <v>23669.393807170058</v>
      </c>
      <c r="S144" s="4">
        <f>(S132+R131)*$G20</f>
        <v>727821.39116115018</v>
      </c>
      <c r="U144" s="4">
        <f>U132*$F20</f>
        <v>80430.204256942568</v>
      </c>
      <c r="V144" s="4">
        <f>(V132+U131)*$G20</f>
        <v>2990982.2614607099</v>
      </c>
      <c r="X144" s="4">
        <f>X132*$F20</f>
        <v>58137.087243617476</v>
      </c>
      <c r="Y144" s="4">
        <f>(Y132+X131)*$G20</f>
        <v>398830.85617745435</v>
      </c>
      <c r="Z144" s="38"/>
    </row>
    <row r="145" spans="1:29" ht="17" x14ac:dyDescent="0.2">
      <c r="A145" s="38" t="s">
        <v>176</v>
      </c>
      <c r="B145" s="3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131.62115338494641</v>
      </c>
      <c r="Z145" s="38"/>
    </row>
    <row r="146" spans="1:29" ht="17" x14ac:dyDescent="0.2">
      <c r="A146" s="38" t="s">
        <v>177</v>
      </c>
      <c r="B146" s="33" t="s">
        <v>163</v>
      </c>
      <c r="E146" s="10" t="s">
        <v>167</v>
      </c>
      <c r="F146" s="4">
        <f>F120*$F20</f>
        <v>2250</v>
      </c>
      <c r="G146" s="4">
        <f>(G120+G53)*$G20</f>
        <v>2500</v>
      </c>
      <c r="I146" s="4">
        <f>I120*$F20</f>
        <v>2657.1327080288697</v>
      </c>
      <c r="J146" s="4">
        <f>(J120+J53)*$G20</f>
        <v>2559.2229710466122</v>
      </c>
      <c r="L146" s="4">
        <f>L120*$F20</f>
        <v>2356.4224845960307</v>
      </c>
      <c r="M146" s="4">
        <f>(M120+M53)*$G20</f>
        <v>2019.8305166694299</v>
      </c>
      <c r="O146" s="4">
        <f>O120*$F20</f>
        <v>2696.6719406896059</v>
      </c>
      <c r="P146" s="4">
        <f>(P120+P53)*$G20</f>
        <v>3772.0021262214559</v>
      </c>
      <c r="R146" s="4">
        <f>R120*$F20</f>
        <v>3652.513520027961</v>
      </c>
      <c r="S146" s="4">
        <f>(S120+S53)*$G20</f>
        <v>690.59087551194818</v>
      </c>
      <c r="U146" s="4">
        <f>U120*$F20</f>
        <v>3341.4802866978721</v>
      </c>
      <c r="V146" s="4">
        <f>(V120+V53)*$G20</f>
        <v>1573.9866837396262</v>
      </c>
      <c r="X146" s="4">
        <f>X120*$F20</f>
        <v>2520.9446951742548</v>
      </c>
      <c r="Y146" s="4">
        <f>(Y120+Y53)*$G20</f>
        <v>370.68429448745542</v>
      </c>
      <c r="Z146" s="38"/>
    </row>
    <row r="149" spans="1:29" x14ac:dyDescent="0.2">
      <c r="A149" s="24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1175.6211533849464</v>
      </c>
    </row>
    <row r="151" spans="1:29" x14ac:dyDescent="0.2">
      <c r="A151" s="38" t="s">
        <v>277</v>
      </c>
      <c r="B151" s="3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1794899.2617115006</v>
      </c>
      <c r="Z151" s="38"/>
    </row>
    <row r="152" spans="1:29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D17:D18"/>
    <mergeCell ref="D69:D71"/>
    <mergeCell ref="D74:D77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8:D29"/>
    <mergeCell ref="B37:B40"/>
    <mergeCell ref="A37:A40"/>
    <mergeCell ref="B61:B64"/>
    <mergeCell ref="A67:A70"/>
    <mergeCell ref="B67:B70"/>
    <mergeCell ref="B42:B45"/>
    <mergeCell ref="A42:A45"/>
    <mergeCell ref="A61:A64"/>
    <mergeCell ref="A55:A58"/>
    <mergeCell ref="B55:B58"/>
    <mergeCell ref="A100:A103"/>
    <mergeCell ref="B100:B103"/>
    <mergeCell ref="A48:A51"/>
    <mergeCell ref="B48:B51"/>
    <mergeCell ref="D48:D51"/>
    <mergeCell ref="A78:A82"/>
    <mergeCell ref="B78:B82"/>
    <mergeCell ref="B85:B88"/>
    <mergeCell ref="A95:A98"/>
    <mergeCell ref="B95:B98"/>
    <mergeCell ref="A90:A93"/>
    <mergeCell ref="B90:B93"/>
    <mergeCell ref="A72:A75"/>
    <mergeCell ref="B72:B75"/>
    <mergeCell ref="A85:A88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2026-01-30T15:28:18Z</dcterms:modified>
</cp:coreProperties>
</file>