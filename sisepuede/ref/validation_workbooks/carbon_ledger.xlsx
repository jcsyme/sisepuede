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D29F1DFB-7242-B94B-ADE9-ABFF08AE6623}" xr6:coauthVersionLast="47" xr6:coauthVersionMax="47" xr10:uidLastSave="{00000000-0000-0000-0000-000000000000}"/>
  <bookViews>
    <workbookView xWindow="5380" yWindow="760" windowWidth="34560" windowHeight="2004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5" i="3" l="1"/>
  <c r="H115" i="3"/>
  <c r="H122" i="3"/>
  <c r="G122" i="3"/>
  <c r="H113" i="3"/>
  <c r="H95" i="3"/>
  <c r="G113" i="3"/>
  <c r="J109" i="3"/>
  <c r="J112" i="3" s="1"/>
  <c r="J111" i="3"/>
  <c r="H112" i="3"/>
  <c r="J110" i="3"/>
  <c r="H110" i="3"/>
  <c r="K111" i="3" s="1"/>
  <c r="G8" i="3"/>
  <c r="J8" i="3"/>
  <c r="G13" i="3"/>
  <c r="J7" i="3" s="1"/>
  <c r="G110" i="3"/>
  <c r="H109" i="3"/>
  <c r="N62" i="3"/>
  <c r="K62" i="3"/>
  <c r="H49" i="3"/>
  <c r="H114" i="3" l="1"/>
  <c r="G83" i="3"/>
  <c r="G81" i="3"/>
  <c r="G82" i="3"/>
  <c r="G80" i="3"/>
  <c r="K44" i="3"/>
  <c r="K45" i="3"/>
  <c r="I41" i="3"/>
  <c r="I40" i="3"/>
  <c r="J87" i="3"/>
  <c r="K39" i="3"/>
  <c r="I38" i="3"/>
  <c r="H62" i="3"/>
  <c r="H86" i="3" s="1"/>
  <c r="H100" i="3"/>
  <c r="H99" i="3"/>
  <c r="K75" i="3" s="1"/>
  <c r="H98" i="3"/>
  <c r="H38" i="3"/>
  <c r="G22" i="3"/>
  <c r="G23" i="3" s="1"/>
  <c r="H13" i="3"/>
  <c r="K7" i="3" s="1"/>
  <c r="K110" i="3" s="1"/>
  <c r="H10" i="3"/>
  <c r="K87" i="3"/>
  <c r="G30" i="3"/>
  <c r="Y150" i="3"/>
  <c r="J30" i="3"/>
  <c r="Z16" i="3"/>
  <c r="Y16" i="3"/>
  <c r="W16" i="3"/>
  <c r="V16" i="3"/>
  <c r="T16" i="3"/>
  <c r="S16" i="3"/>
  <c r="Q16" i="3"/>
  <c r="P16" i="3"/>
  <c r="N16" i="3"/>
  <c r="M16" i="3"/>
  <c r="K16" i="3"/>
  <c r="J16" i="3"/>
  <c r="H16" i="3"/>
  <c r="G16" i="3"/>
  <c r="H22" i="3"/>
  <c r="K74" i="3" s="1"/>
  <c r="N71" i="3" l="1"/>
  <c r="H97" i="3"/>
  <c r="H68" i="3"/>
  <c r="I39" i="3"/>
  <c r="G114" i="3"/>
  <c r="H27" i="3"/>
  <c r="K10" i="3"/>
  <c r="K13" i="3"/>
  <c r="K26" i="3" s="1"/>
  <c r="H26" i="3"/>
  <c r="H11" i="3" s="1"/>
  <c r="H47" i="3"/>
  <c r="H51" i="3"/>
  <c r="H57" i="3"/>
  <c r="H91" i="3" s="1"/>
  <c r="H56" i="3"/>
  <c r="K88" i="3"/>
  <c r="H50" i="3"/>
  <c r="N40" i="3"/>
  <c r="N70" i="3" s="1"/>
  <c r="K69" i="3"/>
  <c r="N46" i="3"/>
  <c r="N59" i="3" s="1"/>
  <c r="N88" i="3"/>
  <c r="H52" i="3"/>
  <c r="K46" i="3"/>
  <c r="N45" i="3"/>
  <c r="N58" i="3" s="1"/>
  <c r="H58" i="3"/>
  <c r="H92" i="3" s="1"/>
  <c r="H59" i="3"/>
  <c r="H93" i="3" s="1"/>
  <c r="Q46" i="3"/>
  <c r="Q59" i="3" s="1"/>
  <c r="I37" i="3"/>
  <c r="L37" i="3"/>
  <c r="H30" i="3"/>
  <c r="G109" i="3"/>
  <c r="G112" i="3" s="1"/>
  <c r="AF10" i="3"/>
  <c r="Z109" i="3"/>
  <c r="Y109" i="3"/>
  <c r="W109" i="3"/>
  <c r="V109" i="3"/>
  <c r="T109" i="3"/>
  <c r="S109" i="3"/>
  <c r="Q109" i="3"/>
  <c r="P109" i="3"/>
  <c r="N109" i="3"/>
  <c r="M109" i="3"/>
  <c r="K109" i="3"/>
  <c r="Q89" i="3"/>
  <c r="N89" i="3"/>
  <c r="Z65" i="3"/>
  <c r="Z89" i="3" s="1"/>
  <c r="Z64" i="3"/>
  <c r="Z88" i="3" s="1"/>
  <c r="Z63" i="3"/>
  <c r="Z87" i="3" s="1"/>
  <c r="Z62" i="3"/>
  <c r="W62" i="3"/>
  <c r="X37" i="3"/>
  <c r="K89" i="3"/>
  <c r="H88" i="3"/>
  <c r="H87" i="3"/>
  <c r="H89" i="3"/>
  <c r="J89" i="3"/>
  <c r="Q41" i="3"/>
  <c r="U37" i="3"/>
  <c r="R37" i="3"/>
  <c r="O37" i="3"/>
  <c r="Q64" i="3"/>
  <c r="Q88" i="3" s="1"/>
  <c r="N63" i="3"/>
  <c r="N87" i="3" s="1"/>
  <c r="T62" i="3"/>
  <c r="Q62" i="3"/>
  <c r="H8" i="3"/>
  <c r="K8" i="3" s="1"/>
  <c r="J86" i="3" l="1"/>
  <c r="K86" i="3" s="1"/>
  <c r="G137" i="3"/>
  <c r="G138" i="3" s="1"/>
  <c r="G118" i="3"/>
  <c r="G120" i="3" s="1"/>
  <c r="G121" i="3" s="1"/>
  <c r="K59" i="3"/>
  <c r="K76" i="3"/>
  <c r="G27" i="3"/>
  <c r="G127" i="3" s="1"/>
  <c r="G140" i="3" s="1"/>
  <c r="K112" i="3"/>
  <c r="H150" i="3" s="1"/>
  <c r="H53" i="3"/>
  <c r="H54" i="3" s="1"/>
  <c r="H60" i="3"/>
  <c r="H94" i="3" s="1"/>
  <c r="Q71" i="3"/>
  <c r="G150" i="3"/>
  <c r="K57" i="3"/>
  <c r="H104" i="3"/>
  <c r="J88" i="3"/>
  <c r="K58" i="3"/>
  <c r="H105" i="3"/>
  <c r="H103" i="3"/>
  <c r="H23" i="3"/>
  <c r="J13" i="3" l="1"/>
  <c r="H123" i="3"/>
  <c r="H149" i="3" s="1"/>
  <c r="G123" i="3"/>
  <c r="G124" i="3" s="1"/>
  <c r="H119" i="3"/>
  <c r="H102" i="3"/>
  <c r="M7" i="3"/>
  <c r="J27" i="3"/>
  <c r="H118" i="3"/>
  <c r="N8" i="3"/>
  <c r="M13" i="3" l="1"/>
  <c r="P7" i="3" s="1"/>
  <c r="P110" i="3" s="1"/>
  <c r="H120" i="3"/>
  <c r="H121" i="3" s="1"/>
  <c r="H124" i="3"/>
  <c r="H126" i="3" s="1"/>
  <c r="G149" i="3"/>
  <c r="G125" i="3"/>
  <c r="G130" i="3" s="1"/>
  <c r="M110" i="3"/>
  <c r="H127" i="3"/>
  <c r="H137" i="3"/>
  <c r="H138" i="3" s="1"/>
  <c r="K27" i="3"/>
  <c r="K11" i="3"/>
  <c r="N7" i="3"/>
  <c r="Q8" i="3"/>
  <c r="J38" i="3" l="1"/>
  <c r="J40" i="3"/>
  <c r="J41" i="3"/>
  <c r="J39" i="3"/>
  <c r="M27" i="3"/>
  <c r="P13" i="3"/>
  <c r="K51" i="3"/>
  <c r="N110" i="3"/>
  <c r="N13" i="3"/>
  <c r="N27" i="3" s="1"/>
  <c r="H140" i="3"/>
  <c r="H148" i="3"/>
  <c r="G126" i="3"/>
  <c r="G148" i="3" s="1"/>
  <c r="K50" i="3"/>
  <c r="K52" i="3"/>
  <c r="N10" i="3"/>
  <c r="T8" i="3"/>
  <c r="W63" i="3"/>
  <c r="W87" i="3" s="1"/>
  <c r="W64" i="3"/>
  <c r="W88" i="3" s="1"/>
  <c r="T63" i="3"/>
  <c r="T87" i="3" s="1"/>
  <c r="T65" i="3"/>
  <c r="T89" i="3" s="1"/>
  <c r="W65" i="3"/>
  <c r="W89" i="3" s="1"/>
  <c r="T64" i="3"/>
  <c r="T88" i="3" s="1"/>
  <c r="Q63" i="3"/>
  <c r="Q87" i="3" s="1"/>
  <c r="AF14" i="3"/>
  <c r="AF17" i="3"/>
  <c r="AF18" i="3"/>
  <c r="AF19" i="3"/>
  <c r="AF20" i="3"/>
  <c r="AF22" i="3"/>
  <c r="AF23" i="3"/>
  <c r="AF24" i="3"/>
  <c r="AF25" i="3"/>
  <c r="AF26" i="3"/>
  <c r="AF27" i="3"/>
  <c r="AF28" i="3"/>
  <c r="AF12" i="3"/>
  <c r="AF9" i="3"/>
  <c r="AF11" i="3"/>
  <c r="AF8"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K38" i="3" l="1"/>
  <c r="K68" i="3" s="1"/>
  <c r="K43" i="3"/>
  <c r="S7" i="3"/>
  <c r="P27" i="3"/>
  <c r="G141" i="3"/>
  <c r="N26" i="3"/>
  <c r="G153" i="3"/>
  <c r="Q7" i="3"/>
  <c r="Q110" i="3" s="1"/>
  <c r="Q13" i="3"/>
  <c r="Q27" i="3" s="1"/>
  <c r="Q10" i="3"/>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K56" i="3" l="1"/>
  <c r="K60" i="3" s="1"/>
  <c r="K47" i="3"/>
  <c r="K73" i="3"/>
  <c r="J83" i="3" s="1"/>
  <c r="S13" i="3"/>
  <c r="S110" i="3"/>
  <c r="H141" i="3"/>
  <c r="H142" i="3" s="1"/>
  <c r="G142" i="3"/>
  <c r="G131" i="3"/>
  <c r="G132" i="3" s="1"/>
  <c r="G133" i="3" s="1"/>
  <c r="K49" i="3"/>
  <c r="K53" i="3" s="1"/>
  <c r="K54" i="3" s="1"/>
  <c r="L39" i="3"/>
  <c r="L40" i="3"/>
  <c r="N11" i="3"/>
  <c r="Q26" i="3"/>
  <c r="T7" i="3"/>
  <c r="T13" i="3" s="1"/>
  <c r="T27" i="3" s="1"/>
  <c r="Z8" i="3"/>
  <c r="L38"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V7" i="3" l="1"/>
  <c r="S27" i="3"/>
  <c r="H81" i="3"/>
  <c r="H80" i="3"/>
  <c r="J80" i="3"/>
  <c r="J81" i="3"/>
  <c r="K77" i="3"/>
  <c r="J82" i="3"/>
  <c r="H134" i="3"/>
  <c r="H145" i="3" s="1"/>
  <c r="K113" i="3" s="1"/>
  <c r="G134" i="3"/>
  <c r="M39" i="3"/>
  <c r="N39" i="3" s="1"/>
  <c r="N69" i="3" s="1"/>
  <c r="T110" i="3"/>
  <c r="H82" i="3"/>
  <c r="H153" i="3"/>
  <c r="T10" i="3"/>
  <c r="M38" i="3"/>
  <c r="T26" i="3"/>
  <c r="W7" i="3"/>
  <c r="Z7" i="3" s="1"/>
  <c r="Z13" i="3" s="1"/>
  <c r="Z27" i="3" s="1"/>
  <c r="Q11" i="3"/>
  <c r="L41" i="3"/>
  <c r="P8" i="3"/>
  <c r="Q3" i="2"/>
  <c r="AA4" i="2" s="1"/>
  <c r="H135" i="3" l="1"/>
  <c r="G145" i="3"/>
  <c r="J113" i="3" s="1"/>
  <c r="J114" i="3" s="1"/>
  <c r="J122" i="3" s="1"/>
  <c r="G135" i="3"/>
  <c r="H146" i="3"/>
  <c r="V13" i="3"/>
  <c r="V27" i="3" s="1"/>
  <c r="V110" i="3"/>
  <c r="H147" i="3"/>
  <c r="N38" i="3"/>
  <c r="G147" i="3"/>
  <c r="G155" i="3"/>
  <c r="W10" i="3"/>
  <c r="W110" i="3"/>
  <c r="W13" i="3"/>
  <c r="W27" i="3" s="1"/>
  <c r="Z26" i="3"/>
  <c r="T11" i="3"/>
  <c r="Z10" i="3"/>
  <c r="Z11" i="3" s="1"/>
  <c r="Z110" i="3"/>
  <c r="M40" i="3"/>
  <c r="N51" i="3" s="1"/>
  <c r="M41" i="3"/>
  <c r="N52" i="3" s="1"/>
  <c r="S8" i="3"/>
  <c r="F4" i="2"/>
  <c r="R7" i="2"/>
  <c r="G4" i="2"/>
  <c r="K4" i="2"/>
  <c r="J4" i="2"/>
  <c r="O38" i="3" l="1"/>
  <c r="P38" i="3" s="1"/>
  <c r="N68" i="3"/>
  <c r="Q38" i="3"/>
  <c r="G146" i="3"/>
  <c r="W26" i="3"/>
  <c r="W11" i="3" s="1"/>
  <c r="O39" i="3"/>
  <c r="P39" i="3" s="1"/>
  <c r="Q39" i="3" s="1"/>
  <c r="Q69" i="3" s="1"/>
  <c r="G156" i="3"/>
  <c r="H83" i="3"/>
  <c r="V8" i="3"/>
  <c r="Y7" i="3"/>
  <c r="Y110" i="3" s="1"/>
  <c r="R38" i="3"/>
  <c r="S38" i="3" s="1"/>
  <c r="T38" i="3" s="1"/>
  <c r="U4" i="2"/>
  <c r="R8" i="2"/>
  <c r="Q68" i="3" l="1"/>
  <c r="T68" i="3" s="1"/>
  <c r="M111" i="3"/>
  <c r="O40" i="3"/>
  <c r="P40" i="3" s="1"/>
  <c r="Q40" i="3" s="1"/>
  <c r="Q70" i="3" s="1"/>
  <c r="O41" i="3"/>
  <c r="P41" i="3" s="1"/>
  <c r="Q52" i="3" s="1"/>
  <c r="K114" i="3"/>
  <c r="K122" i="3" s="1"/>
  <c r="R39" i="3"/>
  <c r="S39" i="3" s="1"/>
  <c r="T39" i="3" s="1"/>
  <c r="T69" i="3" s="1"/>
  <c r="Y8" i="3"/>
  <c r="Y13" i="3"/>
  <c r="U38" i="3"/>
  <c r="V38" i="3" s="1"/>
  <c r="W38" i="3" s="1"/>
  <c r="O4" i="2"/>
  <c r="P4" i="2" s="1"/>
  <c r="X5" i="2" s="1"/>
  <c r="Z5" i="2" s="1"/>
  <c r="J5" i="2" s="1"/>
  <c r="R9" i="2"/>
  <c r="K123" i="3" l="1"/>
  <c r="K124" i="3" s="1"/>
  <c r="W68" i="3"/>
  <c r="N111" i="3"/>
  <c r="N112" i="3" s="1"/>
  <c r="K150" i="3" s="1"/>
  <c r="R41" i="3"/>
  <c r="R40" i="3"/>
  <c r="S40" i="3" s="1"/>
  <c r="T40" i="3" s="1"/>
  <c r="T70" i="3" s="1"/>
  <c r="Y27" i="3"/>
  <c r="M112" i="3"/>
  <c r="J150" i="3" s="1"/>
  <c r="U39" i="3"/>
  <c r="V39" i="3" s="1"/>
  <c r="W39" i="3" s="1"/>
  <c r="W69" i="3" s="1"/>
  <c r="X38" i="3"/>
  <c r="Y38" i="3" s="1"/>
  <c r="Z38" i="3" s="1"/>
  <c r="Q4" i="2"/>
  <c r="Y5" i="2" s="1"/>
  <c r="AA5" i="2" s="1"/>
  <c r="F5" i="2"/>
  <c r="R10" i="2"/>
  <c r="Z68" i="3" l="1"/>
  <c r="J118" i="3"/>
  <c r="J115" i="3"/>
  <c r="J127" i="3" s="1"/>
  <c r="S41" i="3"/>
  <c r="T41" i="3" s="1"/>
  <c r="T71" i="3" s="1"/>
  <c r="K115" i="3"/>
  <c r="K127" i="3" s="1"/>
  <c r="J120" i="3"/>
  <c r="J121" i="3" s="1"/>
  <c r="K118" i="3"/>
  <c r="U41" i="3"/>
  <c r="U40" i="3"/>
  <c r="V40" i="3" s="1"/>
  <c r="W40" i="3" s="1"/>
  <c r="W70" i="3" s="1"/>
  <c r="X39" i="3"/>
  <c r="Y39" i="3" s="1"/>
  <c r="Z39" i="3" s="1"/>
  <c r="Z69" i="3" s="1"/>
  <c r="R11" i="2"/>
  <c r="G5" i="2"/>
  <c r="U5" i="2" s="1"/>
  <c r="O5" i="2" s="1"/>
  <c r="Q5" i="2" s="1"/>
  <c r="K5" i="2"/>
  <c r="K137" i="3" l="1"/>
  <c r="K138" i="3" s="1"/>
  <c r="J123" i="3"/>
  <c r="J124" i="3" s="1"/>
  <c r="J137" i="3"/>
  <c r="J138" i="3" s="1"/>
  <c r="V41" i="3"/>
  <c r="W41" i="3" s="1"/>
  <c r="W71" i="3" s="1"/>
  <c r="X40" i="3"/>
  <c r="Y40" i="3" s="1"/>
  <c r="Z40" i="3" s="1"/>
  <c r="Z70" i="3" s="1"/>
  <c r="Y6" i="2"/>
  <c r="AA6" i="2" s="1"/>
  <c r="K6" i="2" s="1"/>
  <c r="R12" i="2"/>
  <c r="P5" i="2"/>
  <c r="X6" i="2" s="1"/>
  <c r="Z6" i="2" s="1"/>
  <c r="J6" i="2" s="1"/>
  <c r="K149" i="3" l="1"/>
  <c r="J149" i="3"/>
  <c r="J140" i="3"/>
  <c r="X41" i="3"/>
  <c r="K126" i="3"/>
  <c r="J126" i="3"/>
  <c r="J125" i="3"/>
  <c r="K140" i="3"/>
  <c r="Y41" i="3"/>
  <c r="Z41" i="3" s="1"/>
  <c r="Z71" i="3" s="1"/>
  <c r="G6" i="2"/>
  <c r="R13" i="2"/>
  <c r="F6" i="2"/>
  <c r="U6" i="2" s="1"/>
  <c r="W6" i="2" s="1"/>
  <c r="O6" i="2" s="1"/>
  <c r="J141" i="3" l="1"/>
  <c r="K141" i="3" s="1"/>
  <c r="K148" i="3"/>
  <c r="J148" i="3"/>
  <c r="J153" i="3" s="1"/>
  <c r="J142" i="3"/>
  <c r="J130" i="3"/>
  <c r="R14" i="2"/>
  <c r="Y7" i="2"/>
  <c r="AA7" i="2" s="1"/>
  <c r="K142" i="3" l="1"/>
  <c r="J131" i="3"/>
  <c r="J134" i="3" s="1"/>
  <c r="J145" i="3" s="1"/>
  <c r="J146" i="3" s="1"/>
  <c r="X7" i="2"/>
  <c r="Z7" i="2" s="1"/>
  <c r="R15" i="2"/>
  <c r="G7" i="2"/>
  <c r="K7" i="2"/>
  <c r="J135" i="3" l="1"/>
  <c r="J132" i="3"/>
  <c r="J133" i="3" s="1"/>
  <c r="J147" i="3"/>
  <c r="K134" i="3"/>
  <c r="J7" i="2"/>
  <c r="F7" i="2"/>
  <c r="U7" i="2" s="1"/>
  <c r="O7" i="2" s="1"/>
  <c r="R16" i="2"/>
  <c r="J155" i="3" l="1"/>
  <c r="K81" i="3"/>
  <c r="K92" i="3" s="1"/>
  <c r="K80" i="3"/>
  <c r="K91" i="3" s="1"/>
  <c r="K82" i="3"/>
  <c r="K153" i="3"/>
  <c r="K135" i="3"/>
  <c r="M113" i="3"/>
  <c r="M114" i="3" s="1"/>
  <c r="K147" i="3"/>
  <c r="J156" i="3"/>
  <c r="K83" i="3"/>
  <c r="K94" i="3" s="1"/>
  <c r="P7" i="2"/>
  <c r="X8" i="2" s="1"/>
  <c r="Z8" i="2" s="1"/>
  <c r="Q7" i="2"/>
  <c r="Y8" i="2" s="1"/>
  <c r="AA8" i="2" s="1"/>
  <c r="G8" i="2" s="1"/>
  <c r="J8" i="2"/>
  <c r="R17" i="2"/>
  <c r="F8" i="2"/>
  <c r="K97" i="3" l="1"/>
  <c r="K102" i="3" s="1"/>
  <c r="K98" i="3"/>
  <c r="K93" i="3"/>
  <c r="K99" i="3" s="1"/>
  <c r="K104" i="3" s="1"/>
  <c r="K100" i="3"/>
  <c r="P111" i="3"/>
  <c r="K8" i="2"/>
  <c r="W8" i="2"/>
  <c r="R18" i="2"/>
  <c r="K95" i="3" l="1"/>
  <c r="K145" i="3" s="1"/>
  <c r="N113" i="3" s="1"/>
  <c r="K119" i="3"/>
  <c r="K120" i="3" s="1"/>
  <c r="K121" i="3" s="1"/>
  <c r="N75" i="3"/>
  <c r="N76" i="3"/>
  <c r="K105" i="3"/>
  <c r="M89" i="3"/>
  <c r="N44" i="3"/>
  <c r="M88" i="3"/>
  <c r="P112" i="3"/>
  <c r="M150" i="3" s="1"/>
  <c r="O8" i="2"/>
  <c r="Q8" i="2" s="1"/>
  <c r="Y9" i="2" s="1"/>
  <c r="AA9" i="2" s="1"/>
  <c r="R19" i="2"/>
  <c r="M86" i="3" l="1"/>
  <c r="N86" i="3" s="1"/>
  <c r="N43" i="3"/>
  <c r="N56" i="3" s="1"/>
  <c r="K146" i="3"/>
  <c r="N50" i="3"/>
  <c r="N57" i="3"/>
  <c r="M87" i="3"/>
  <c r="M122" i="3"/>
  <c r="M118" i="3"/>
  <c r="M120" i="3" s="1"/>
  <c r="M121" i="3" s="1"/>
  <c r="K103" i="3"/>
  <c r="M115" i="3"/>
  <c r="M127" i="3" s="1"/>
  <c r="G9" i="2"/>
  <c r="K9" i="2"/>
  <c r="P8" i="2"/>
  <c r="X9" i="2" s="1"/>
  <c r="Z9" i="2" s="1"/>
  <c r="J9" i="2" s="1"/>
  <c r="F9" i="2"/>
  <c r="U9" i="2" s="1"/>
  <c r="W9" i="2" s="1"/>
  <c r="O9" i="2" s="1"/>
  <c r="P9" i="2" s="1"/>
  <c r="X10" i="2" s="1"/>
  <c r="Z10" i="2" s="1"/>
  <c r="J10" i="2" s="1"/>
  <c r="R20" i="2"/>
  <c r="Q111" i="3" l="1"/>
  <c r="Q112" i="3" s="1"/>
  <c r="N150" i="3" s="1"/>
  <c r="N114" i="3"/>
  <c r="N49" i="3"/>
  <c r="N53" i="3" s="1"/>
  <c r="N73" i="3"/>
  <c r="M80" i="3" s="1"/>
  <c r="N115" i="3"/>
  <c r="N127" i="3" s="1"/>
  <c r="N60" i="3"/>
  <c r="N74" i="3"/>
  <c r="M123" i="3"/>
  <c r="M124" i="3" s="1"/>
  <c r="M137" i="3"/>
  <c r="M138" i="3" s="1"/>
  <c r="N47" i="3"/>
  <c r="Q9" i="2"/>
  <c r="Y10" i="2" s="1"/>
  <c r="AA10" i="2" s="1"/>
  <c r="G10" i="2" s="1"/>
  <c r="R21" i="2"/>
  <c r="F10" i="2"/>
  <c r="N54" i="3" l="1"/>
  <c r="M82" i="3"/>
  <c r="N122" i="3"/>
  <c r="N123" i="3" s="1"/>
  <c r="N118" i="3"/>
  <c r="M149" i="3"/>
  <c r="N137" i="3"/>
  <c r="N138" i="3" s="1"/>
  <c r="M140" i="3"/>
  <c r="M81" i="3"/>
  <c r="M83" i="3"/>
  <c r="N77" i="3"/>
  <c r="U10" i="2"/>
  <c r="W10" i="2" s="1"/>
  <c r="O10" i="2" s="1"/>
  <c r="Q10" i="2" s="1"/>
  <c r="K10" i="2"/>
  <c r="R22" i="2"/>
  <c r="N149" i="3" l="1"/>
  <c r="N140" i="3"/>
  <c r="M141" i="3" s="1"/>
  <c r="N124" i="3"/>
  <c r="N126" i="3" s="1"/>
  <c r="Y11" i="2"/>
  <c r="P10" i="2"/>
  <c r="X11" i="2" s="1"/>
  <c r="Z11" i="2" s="1"/>
  <c r="J11" i="2" s="1"/>
  <c r="R23" i="2"/>
  <c r="M125" i="3" l="1"/>
  <c r="N148" i="3" s="1"/>
  <c r="M126" i="3"/>
  <c r="M142" i="3"/>
  <c r="N141" i="3"/>
  <c r="N142" i="3" s="1"/>
  <c r="AA11" i="2"/>
  <c r="G11" i="2" s="1"/>
  <c r="F11" i="2"/>
  <c r="U11" i="2" s="1"/>
  <c r="W11" i="2" s="1"/>
  <c r="O11" i="2" s="1"/>
  <c r="P11" i="2" s="1"/>
  <c r="X12" i="2" s="1"/>
  <c r="Z12" i="2" s="1"/>
  <c r="J12" i="2" s="1"/>
  <c r="R24" i="2"/>
  <c r="M130" i="3" l="1"/>
  <c r="M131" i="3" s="1"/>
  <c r="M134" i="3" s="1"/>
  <c r="M135" i="3" s="1"/>
  <c r="M148" i="3"/>
  <c r="M153" i="3" s="1"/>
  <c r="K11" i="2"/>
  <c r="Q11" i="2"/>
  <c r="R25" i="2"/>
  <c r="F12" i="2"/>
  <c r="N134" i="3" l="1"/>
  <c r="M145" i="3"/>
  <c r="M147" i="3"/>
  <c r="M132" i="3"/>
  <c r="M133" i="3" s="1"/>
  <c r="N153" i="3" s="1"/>
  <c r="Y12" i="2"/>
  <c r="AA12" i="2" s="1"/>
  <c r="R26" i="2"/>
  <c r="M155" i="3" l="1"/>
  <c r="M156" i="3" s="1"/>
  <c r="P113" i="3"/>
  <c r="M146" i="3"/>
  <c r="N135" i="3"/>
  <c r="N147" i="3"/>
  <c r="N83" i="3"/>
  <c r="N94" i="3" s="1"/>
  <c r="N100" i="3" s="1"/>
  <c r="P89" i="3" s="1"/>
  <c r="N82" i="3"/>
  <c r="N93" i="3" s="1"/>
  <c r="N81" i="3"/>
  <c r="N92" i="3" s="1"/>
  <c r="N98" i="3" s="1"/>
  <c r="Q44" i="3" s="1"/>
  <c r="Q50" i="3" s="1"/>
  <c r="N80" i="3"/>
  <c r="G12" i="2"/>
  <c r="U12" i="2" s="1"/>
  <c r="W12" i="2" s="1"/>
  <c r="O12" i="2" s="1"/>
  <c r="Q12" i="2" s="1"/>
  <c r="K12" i="2"/>
  <c r="R27" i="2"/>
  <c r="S111" i="3" l="1"/>
  <c r="S112" i="3" s="1"/>
  <c r="P150" i="3" s="1"/>
  <c r="P114" i="3"/>
  <c r="N99" i="3"/>
  <c r="P88" i="3" s="1"/>
  <c r="N91" i="3"/>
  <c r="N103" i="3"/>
  <c r="Q76" i="3"/>
  <c r="Q57" i="3"/>
  <c r="Q74" i="3"/>
  <c r="P87" i="3"/>
  <c r="N105" i="3"/>
  <c r="Y13" i="2"/>
  <c r="AA13" i="2" s="1"/>
  <c r="G13" i="2" s="1"/>
  <c r="P12" i="2"/>
  <c r="X13" i="2" s="1"/>
  <c r="Z13" i="2" s="1"/>
  <c r="J13" i="2" s="1"/>
  <c r="R28" i="2"/>
  <c r="N97" i="3" l="1"/>
  <c r="N95" i="3"/>
  <c r="N145" i="3" s="1"/>
  <c r="Q113" i="3" s="1"/>
  <c r="N104" i="3"/>
  <c r="Q45" i="3"/>
  <c r="Q51" i="3" s="1"/>
  <c r="P118" i="3"/>
  <c r="P120" i="3" s="1"/>
  <c r="P121" i="3" s="1"/>
  <c r="P122" i="3"/>
  <c r="P123" i="3" s="1"/>
  <c r="P124" i="3" s="1"/>
  <c r="P115" i="3"/>
  <c r="N146" i="3"/>
  <c r="N102" i="3"/>
  <c r="N119" i="3"/>
  <c r="N120" i="3" s="1"/>
  <c r="N121" i="3" s="1"/>
  <c r="Q43" i="3"/>
  <c r="Q56" i="3" s="1"/>
  <c r="P86" i="3"/>
  <c r="Q86" i="3" s="1"/>
  <c r="Q75" i="3"/>
  <c r="K13" i="2"/>
  <c r="F13" i="2"/>
  <c r="U13" i="2" s="1"/>
  <c r="W13" i="2" s="1"/>
  <c r="O13" i="2" s="1"/>
  <c r="Q13" i="2" s="1"/>
  <c r="Y14" i="2" s="1"/>
  <c r="AA14" i="2" s="1"/>
  <c r="G14" i="2" s="1"/>
  <c r="R30" i="2"/>
  <c r="R29" i="2"/>
  <c r="Q114" i="3" l="1"/>
  <c r="Q118" i="3" s="1"/>
  <c r="P149" i="3"/>
  <c r="Q58" i="3"/>
  <c r="T111" i="3"/>
  <c r="T112" i="3" s="1"/>
  <c r="Q150" i="3" s="1"/>
  <c r="P127" i="3"/>
  <c r="P137" i="3"/>
  <c r="P138" i="3" s="1"/>
  <c r="Q122" i="3"/>
  <c r="Q123" i="3" s="1"/>
  <c r="Q115" i="3"/>
  <c r="Q137" i="3" s="1"/>
  <c r="Q138" i="3" s="1"/>
  <c r="Q60" i="3"/>
  <c r="Q73" i="3"/>
  <c r="P80" i="3" s="1"/>
  <c r="Q49" i="3"/>
  <c r="Q53" i="3" s="1"/>
  <c r="Q47" i="3"/>
  <c r="K14" i="2"/>
  <c r="P13" i="2"/>
  <c r="X14" i="2" s="1"/>
  <c r="Z14" i="2" s="1"/>
  <c r="J14" i="2" s="1"/>
  <c r="Q127" i="3" l="1"/>
  <c r="Q140" i="3" s="1"/>
  <c r="P140" i="3"/>
  <c r="P82" i="3"/>
  <c r="Q77" i="3"/>
  <c r="Q54" i="3"/>
  <c r="Q149" i="3" s="1"/>
  <c r="P83" i="3"/>
  <c r="P81" i="3"/>
  <c r="F14" i="2"/>
  <c r="U14" i="2" s="1"/>
  <c r="W14" i="2" s="1"/>
  <c r="O14" i="2" s="1"/>
  <c r="P14" i="2" s="1"/>
  <c r="X15" i="2" s="1"/>
  <c r="Z15" i="2" s="1"/>
  <c r="J15" i="2" s="1"/>
  <c r="P141" i="3" l="1"/>
  <c r="P142" i="3" s="1"/>
  <c r="Q124" i="3"/>
  <c r="Q126" i="3" s="1"/>
  <c r="F15" i="2"/>
  <c r="Q14" i="2"/>
  <c r="Y15" i="2" s="1"/>
  <c r="AA15" i="2" s="1"/>
  <c r="G15" i="2" s="1"/>
  <c r="U15" i="2" s="1"/>
  <c r="W15" i="2" s="1"/>
  <c r="O15" i="2" s="1"/>
  <c r="Q15" i="2" s="1"/>
  <c r="Q141" i="3" l="1"/>
  <c r="Q142" i="3" s="1"/>
  <c r="P125" i="3"/>
  <c r="P130" i="3" s="1"/>
  <c r="P131" i="3" s="1"/>
  <c r="P134" i="3" s="1"/>
  <c r="P135" i="3" s="1"/>
  <c r="P126" i="3"/>
  <c r="K15" i="2"/>
  <c r="Y16" i="2" s="1"/>
  <c r="AA16" i="2" s="1"/>
  <c r="G16" i="2" s="1"/>
  <c r="P15" i="2"/>
  <c r="X16" i="2" s="1"/>
  <c r="Z16" i="2" s="1"/>
  <c r="J16" i="2" s="1"/>
  <c r="Q148" i="3" l="1"/>
  <c r="P148" i="3"/>
  <c r="P153" i="3" s="1"/>
  <c r="P132" i="3"/>
  <c r="P133" i="3" s="1"/>
  <c r="Q81" i="3" s="1"/>
  <c r="Q92" i="3" s="1"/>
  <c r="Q98" i="3" s="1"/>
  <c r="Q134" i="3"/>
  <c r="P147" i="3"/>
  <c r="P145" i="3"/>
  <c r="P146" i="3" s="1"/>
  <c r="Q153" i="3"/>
  <c r="K16" i="2"/>
  <c r="F16" i="2"/>
  <c r="U16" i="2" s="1"/>
  <c r="W16" i="2" s="1"/>
  <c r="O16" i="2" s="1"/>
  <c r="P16" i="2" s="1"/>
  <c r="X17" i="2" s="1"/>
  <c r="Z17" i="2" s="1"/>
  <c r="J17" i="2" s="1"/>
  <c r="P155" i="3" l="1"/>
  <c r="P156" i="3" s="1"/>
  <c r="Q82" i="3"/>
  <c r="Q93" i="3" s="1"/>
  <c r="Q80" i="3"/>
  <c r="Q91" i="3" s="1"/>
  <c r="Q97" i="3" s="1"/>
  <c r="S86" i="3" s="1"/>
  <c r="T86" i="3" s="1"/>
  <c r="Q135" i="3"/>
  <c r="Q147" i="3"/>
  <c r="Q83" i="3"/>
  <c r="Q94" i="3" s="1"/>
  <c r="Q100" i="3" s="1"/>
  <c r="S89" i="3" s="1"/>
  <c r="S113" i="3"/>
  <c r="S114" i="3" s="1"/>
  <c r="Q99" i="3"/>
  <c r="T45" i="3" s="1"/>
  <c r="T51" i="3" s="1"/>
  <c r="Q103" i="3"/>
  <c r="S87" i="3"/>
  <c r="T44" i="3"/>
  <c r="T50" i="3" s="1"/>
  <c r="Q16" i="2"/>
  <c r="Y17" i="2" s="1"/>
  <c r="AA17" i="2" s="1"/>
  <c r="K17" i="2" s="1"/>
  <c r="F17" i="2"/>
  <c r="Q95" i="3" l="1"/>
  <c r="Q145" i="3" s="1"/>
  <c r="T113" i="3" s="1"/>
  <c r="T43" i="3"/>
  <c r="T49" i="3" s="1"/>
  <c r="T46" i="3"/>
  <c r="T52" i="3" s="1"/>
  <c r="Q105" i="3"/>
  <c r="S88" i="3"/>
  <c r="Q104" i="3"/>
  <c r="V111" i="3"/>
  <c r="V112" i="3" s="1"/>
  <c r="S150" i="3" s="1"/>
  <c r="Q146" i="3"/>
  <c r="Q119" i="3"/>
  <c r="Q120" i="3" s="1"/>
  <c r="Q121" i="3" s="1"/>
  <c r="Q102" i="3"/>
  <c r="T74" i="3"/>
  <c r="T73" i="3"/>
  <c r="T57" i="3"/>
  <c r="T75" i="3"/>
  <c r="T58" i="3"/>
  <c r="G17" i="2"/>
  <c r="U17" i="2" s="1"/>
  <c r="W17" i="2" s="1"/>
  <c r="O17" i="2" s="1"/>
  <c r="P17" i="2" s="1"/>
  <c r="X18" i="2" s="1"/>
  <c r="Z18" i="2" s="1"/>
  <c r="J18" i="2" s="1"/>
  <c r="T53" i="3" l="1"/>
  <c r="T114" i="3"/>
  <c r="T47" i="3"/>
  <c r="T54" i="3" s="1"/>
  <c r="T76" i="3"/>
  <c r="S83" i="3" s="1"/>
  <c r="T56" i="3"/>
  <c r="T59" i="3"/>
  <c r="W111" i="3"/>
  <c r="W112" i="3" s="1"/>
  <c r="T150" i="3" s="1"/>
  <c r="S122" i="3"/>
  <c r="S123" i="3" s="1"/>
  <c r="S124" i="3" s="1"/>
  <c r="S118" i="3"/>
  <c r="S120" i="3" s="1"/>
  <c r="S121" i="3" s="1"/>
  <c r="S115" i="3"/>
  <c r="T122" i="3"/>
  <c r="T123" i="3" s="1"/>
  <c r="T115" i="3"/>
  <c r="T127" i="3" s="1"/>
  <c r="T118" i="3"/>
  <c r="S81" i="3"/>
  <c r="S80" i="3"/>
  <c r="S82" i="3"/>
  <c r="Q17" i="2"/>
  <c r="Y18" i="2" s="1"/>
  <c r="AA18" i="2" s="1"/>
  <c r="G18" i="2" s="1"/>
  <c r="F18" i="2"/>
  <c r="T60" i="3" l="1"/>
  <c r="T77" i="3"/>
  <c r="T137" i="3"/>
  <c r="S149" i="3"/>
  <c r="S127" i="3"/>
  <c r="S137" i="3"/>
  <c r="S138" i="3" s="1"/>
  <c r="T149" i="3"/>
  <c r="T138" i="3"/>
  <c r="T140" i="3" s="1"/>
  <c r="T124" i="3"/>
  <c r="K18" i="2"/>
  <c r="U18" i="2"/>
  <c r="W18" i="2" s="1"/>
  <c r="O18" i="2" s="1"/>
  <c r="Q18" i="2" s="1"/>
  <c r="S140" i="3" l="1"/>
  <c r="S141" i="3" s="1"/>
  <c r="S126" i="3"/>
  <c r="S125" i="3"/>
  <c r="T126" i="3"/>
  <c r="Y19" i="2"/>
  <c r="AA19" i="2" s="1"/>
  <c r="G19" i="2" s="1"/>
  <c r="P18" i="2"/>
  <c r="X19" i="2" s="1"/>
  <c r="Z19" i="2" s="1"/>
  <c r="J19" i="2" s="1"/>
  <c r="T141" i="3" l="1"/>
  <c r="T142" i="3" s="1"/>
  <c r="S142" i="3"/>
  <c r="T148" i="3"/>
  <c r="S130" i="3"/>
  <c r="S131" i="3" s="1"/>
  <c r="S148" i="3"/>
  <c r="S153" i="3" s="1"/>
  <c r="K19" i="2"/>
  <c r="F19" i="2"/>
  <c r="U19" i="2" s="1"/>
  <c r="W19" i="2" s="1"/>
  <c r="O19" i="2" s="1"/>
  <c r="P19" i="2" s="1"/>
  <c r="X20" i="2" s="1"/>
  <c r="Z20" i="2" s="1"/>
  <c r="T134" i="3" l="1"/>
  <c r="S132" i="3"/>
  <c r="S133" i="3" s="1"/>
  <c r="T135" i="3" s="1"/>
  <c r="S134" i="3"/>
  <c r="S135" i="3" s="1"/>
  <c r="T153" i="3"/>
  <c r="Q19" i="2"/>
  <c r="Y20" i="2" s="1"/>
  <c r="AA20" i="2" s="1"/>
  <c r="G20" i="2" s="1"/>
  <c r="J20" i="2"/>
  <c r="F20" i="2"/>
  <c r="S155" i="3" l="1"/>
  <c r="S156" i="3" s="1"/>
  <c r="S147" i="3"/>
  <c r="T80" i="3"/>
  <c r="T91" i="3" s="1"/>
  <c r="T82" i="3"/>
  <c r="T93" i="3" s="1"/>
  <c r="T99" i="3" s="1"/>
  <c r="T83" i="3"/>
  <c r="T94" i="3" s="1"/>
  <c r="T147" i="3"/>
  <c r="S145" i="3"/>
  <c r="T81" i="3"/>
  <c r="T92" i="3" s="1"/>
  <c r="T98" i="3" s="1"/>
  <c r="T103" i="3" s="1"/>
  <c r="K20" i="2"/>
  <c r="U20" i="2"/>
  <c r="W20" i="2" s="1"/>
  <c r="T97" i="3" l="1"/>
  <c r="T95" i="3"/>
  <c r="T145" i="3" s="1"/>
  <c r="W113" i="3" s="1"/>
  <c r="T100" i="3"/>
  <c r="W46" i="3" s="1"/>
  <c r="W44" i="3"/>
  <c r="W50" i="3" s="1"/>
  <c r="V87" i="3"/>
  <c r="V113" i="3"/>
  <c r="S146" i="3"/>
  <c r="T102" i="3"/>
  <c r="W43" i="3"/>
  <c r="W49" i="3" s="1"/>
  <c r="V89" i="3"/>
  <c r="V88" i="3"/>
  <c r="W45" i="3"/>
  <c r="W51" i="3" s="1"/>
  <c r="V86" i="3"/>
  <c r="W86" i="3" s="1"/>
  <c r="T104" i="3"/>
  <c r="O20" i="2"/>
  <c r="P20" i="2" s="1"/>
  <c r="X21" i="2" s="1"/>
  <c r="Z21" i="2" s="1"/>
  <c r="T105" i="3" l="1"/>
  <c r="T119" i="3"/>
  <c r="T120" i="3" s="1"/>
  <c r="T121" i="3" s="1"/>
  <c r="Y111" i="3"/>
  <c r="Y112" i="3" s="1"/>
  <c r="V150" i="3" s="1"/>
  <c r="V114" i="3"/>
  <c r="W57" i="3"/>
  <c r="W74" i="3"/>
  <c r="V118" i="3"/>
  <c r="V120" i="3" s="1"/>
  <c r="V121" i="3" s="1"/>
  <c r="W73" i="3"/>
  <c r="V80" i="3" s="1"/>
  <c r="V115" i="3"/>
  <c r="V127" i="3" s="1"/>
  <c r="V122" i="3"/>
  <c r="V123" i="3" s="1"/>
  <c r="V124" i="3" s="1"/>
  <c r="W75" i="3"/>
  <c r="T146" i="3"/>
  <c r="W56" i="3"/>
  <c r="W58" i="3"/>
  <c r="W52" i="3"/>
  <c r="W53" i="3" s="1"/>
  <c r="W76" i="3"/>
  <c r="W59" i="3"/>
  <c r="W47" i="3"/>
  <c r="J21" i="2"/>
  <c r="F21" i="2"/>
  <c r="Q20" i="2"/>
  <c r="Y21" i="2" s="1"/>
  <c r="AA21" i="2" s="1"/>
  <c r="G21" i="2" s="1"/>
  <c r="Z111" i="3" l="1"/>
  <c r="Z112" i="3" s="1"/>
  <c r="W150" i="3" s="1"/>
  <c r="W114" i="3"/>
  <c r="W118" i="3" s="1"/>
  <c r="V83" i="3"/>
  <c r="V81" i="3"/>
  <c r="V82" i="3"/>
  <c r="W60" i="3"/>
  <c r="V137" i="3"/>
  <c r="V138" i="3" s="1"/>
  <c r="V140" i="3" s="1"/>
  <c r="V149" i="3"/>
  <c r="W122" i="3"/>
  <c r="W115" i="3"/>
  <c r="W77" i="3"/>
  <c r="W54" i="3"/>
  <c r="U21" i="2"/>
  <c r="W21" i="2" s="1"/>
  <c r="O21" i="2" s="1"/>
  <c r="Q21" i="2" s="1"/>
  <c r="K21" i="2"/>
  <c r="W123" i="3" l="1"/>
  <c r="W149" i="3" s="1"/>
  <c r="W127" i="3"/>
  <c r="W137" i="3"/>
  <c r="W138" i="3" s="1"/>
  <c r="P21" i="2"/>
  <c r="X22" i="2" s="1"/>
  <c r="Z22" i="2" s="1"/>
  <c r="J22" i="2" s="1"/>
  <c r="Y22" i="2"/>
  <c r="AA22" i="2" s="1"/>
  <c r="G22" i="2" s="1"/>
  <c r="F22" i="2"/>
  <c r="U22" i="2" s="1"/>
  <c r="W22" i="2" s="1"/>
  <c r="O22" i="2" s="1"/>
  <c r="Q22" i="2" s="1"/>
  <c r="W124" i="3" l="1"/>
  <c r="V125" i="3" s="1"/>
  <c r="W140" i="3"/>
  <c r="V141" i="3" s="1"/>
  <c r="V142" i="3" s="1"/>
  <c r="K22" i="2"/>
  <c r="Y23" i="2" s="1"/>
  <c r="AA23" i="2" s="1"/>
  <c r="P22" i="2"/>
  <c r="X23" i="2" s="1"/>
  <c r="Z23" i="2" s="1"/>
  <c r="J23" i="2" s="1"/>
  <c r="W126" i="3" l="1"/>
  <c r="W148" i="3" s="1"/>
  <c r="V126" i="3"/>
  <c r="V148" i="3" s="1"/>
  <c r="V153" i="3" s="1"/>
  <c r="V130" i="3"/>
  <c r="V131" i="3" s="1"/>
  <c r="V134" i="3" s="1"/>
  <c r="V135" i="3" s="1"/>
  <c r="W141" i="3"/>
  <c r="W142" i="3" s="1"/>
  <c r="G23" i="2"/>
  <c r="K23" i="2"/>
  <c r="F23" i="2"/>
  <c r="U23" i="2" s="1"/>
  <c r="W23" i="2" s="1"/>
  <c r="O23" i="2" s="1"/>
  <c r="Q23" i="2" s="1"/>
  <c r="Y24" i="2" s="1"/>
  <c r="AA24" i="2" s="1"/>
  <c r="V132" i="3" l="1"/>
  <c r="V133" i="3" s="1"/>
  <c r="W80" i="3" s="1"/>
  <c r="W134" i="3"/>
  <c r="V145" i="3"/>
  <c r="V147" i="3"/>
  <c r="W153" i="3"/>
  <c r="P23" i="2"/>
  <c r="X24" i="2" s="1"/>
  <c r="Z24" i="2" s="1"/>
  <c r="J24" i="2" s="1"/>
  <c r="G24" i="2"/>
  <c r="K24" i="2"/>
  <c r="V155" i="3" l="1"/>
  <c r="V156" i="3" s="1"/>
  <c r="W83" i="3"/>
  <c r="W94" i="3" s="1"/>
  <c r="W82" i="3"/>
  <c r="W93" i="3" s="1"/>
  <c r="W81" i="3"/>
  <c r="W147" i="3"/>
  <c r="Y113" i="3"/>
  <c r="V146" i="3"/>
  <c r="W135" i="3"/>
  <c r="W92" i="3"/>
  <c r="W98" i="3" s="1"/>
  <c r="Z44" i="3" s="1"/>
  <c r="W91" i="3"/>
  <c r="F24" i="2"/>
  <c r="U24" i="2" s="1"/>
  <c r="W24" i="2" s="1"/>
  <c r="O24" i="2" s="1"/>
  <c r="P24" i="2" s="1"/>
  <c r="X25" i="2" s="1"/>
  <c r="Z25" i="2" s="1"/>
  <c r="J25" i="2" s="1"/>
  <c r="W97" i="3" l="1"/>
  <c r="W95" i="3"/>
  <c r="W145" i="3" s="1"/>
  <c r="Z113" i="3" s="1"/>
  <c r="Y114" i="3"/>
  <c r="Y118" i="3" s="1"/>
  <c r="Y120" i="3" s="1"/>
  <c r="Y121" i="3" s="1"/>
  <c r="W100" i="3"/>
  <c r="W105" i="3" s="1"/>
  <c r="W99" i="3"/>
  <c r="W104" i="3" s="1"/>
  <c r="Y115" i="3"/>
  <c r="Y127" i="3" s="1"/>
  <c r="Y122" i="3"/>
  <c r="Y123" i="3" s="1"/>
  <c r="Y124" i="3" s="1"/>
  <c r="Z43" i="3"/>
  <c r="Y86" i="3"/>
  <c r="Z86" i="3" s="1"/>
  <c r="Z150" i="3" s="1"/>
  <c r="W102" i="3"/>
  <c r="W103" i="3"/>
  <c r="Z74" i="3"/>
  <c r="Y88" i="3"/>
  <c r="Y87" i="3"/>
  <c r="Z50" i="3"/>
  <c r="Z57" i="3"/>
  <c r="Q24" i="2"/>
  <c r="Y25" i="2" s="1"/>
  <c r="AA25" i="2" s="1"/>
  <c r="G25" i="2" s="1"/>
  <c r="F25" i="2"/>
  <c r="Z46" i="3" l="1"/>
  <c r="Z52" i="3" s="1"/>
  <c r="Z45" i="3"/>
  <c r="Z51" i="3" s="1"/>
  <c r="Y89" i="3"/>
  <c r="W119" i="3"/>
  <c r="W120" i="3" s="1"/>
  <c r="W121" i="3" s="1"/>
  <c r="Y137" i="3"/>
  <c r="Y138" i="3" s="1"/>
  <c r="Y140" i="3" s="1"/>
  <c r="W146" i="3"/>
  <c r="Y149" i="3"/>
  <c r="Z75" i="3"/>
  <c r="Z49" i="3"/>
  <c r="Z53" i="3" s="1"/>
  <c r="Z56" i="3"/>
  <c r="Z73" i="3"/>
  <c r="Y80" i="3" s="1"/>
  <c r="Z47" i="3"/>
  <c r="Z76" i="3"/>
  <c r="Z59" i="3"/>
  <c r="K25" i="2"/>
  <c r="U25" i="2"/>
  <c r="W25" i="2" s="1"/>
  <c r="O25" i="2" s="1"/>
  <c r="Q25" i="2" s="1"/>
  <c r="Y26" i="2" s="1"/>
  <c r="AA26" i="2" s="1"/>
  <c r="G26" i="2" s="1"/>
  <c r="Z58" i="3" l="1"/>
  <c r="Z114" i="3"/>
  <c r="Z118" i="3" s="1"/>
  <c r="Z60" i="3"/>
  <c r="Y83" i="3"/>
  <c r="Y82" i="3"/>
  <c r="Y81" i="3"/>
  <c r="Z77" i="3"/>
  <c r="Z54" i="3"/>
  <c r="P25" i="2"/>
  <c r="X26" i="2" s="1"/>
  <c r="Z26" i="2" s="1"/>
  <c r="J26" i="2" s="1"/>
  <c r="K26" i="2"/>
  <c r="Z115" i="3" l="1"/>
  <c r="Z137" i="3" s="1"/>
  <c r="Z138" i="3" s="1"/>
  <c r="Z122" i="3"/>
  <c r="Z123" i="3" s="1"/>
  <c r="Z124" i="3" s="1"/>
  <c r="Z126" i="3" s="1"/>
  <c r="F26" i="2"/>
  <c r="U26" i="2" s="1"/>
  <c r="W26" i="2" s="1"/>
  <c r="O26" i="2" s="1"/>
  <c r="Q26" i="2" s="1"/>
  <c r="Y27" i="2" s="1"/>
  <c r="AA27" i="2" s="1"/>
  <c r="Z127" i="3" l="1"/>
  <c r="Z140" i="3" s="1"/>
  <c r="Y141" i="3" s="1"/>
  <c r="Z149" i="3"/>
  <c r="Y125" i="3"/>
  <c r="Y126" i="3"/>
  <c r="P26" i="2"/>
  <c r="X27" i="2" s="1"/>
  <c r="Z27" i="2" s="1"/>
  <c r="J27" i="2" s="1"/>
  <c r="G27" i="2"/>
  <c r="K27" i="2"/>
  <c r="Y130" i="3" l="1"/>
  <c r="Y131" i="3" s="1"/>
  <c r="Z141" i="3"/>
  <c r="Z142" i="3" s="1"/>
  <c r="Y142" i="3"/>
  <c r="Z148" i="3"/>
  <c r="Y148" i="3"/>
  <c r="Y153" i="3" s="1"/>
  <c r="F27" i="2"/>
  <c r="U27" i="2" s="1"/>
  <c r="W27" i="2" s="1"/>
  <c r="O27" i="2" s="1"/>
  <c r="P27" i="2" s="1"/>
  <c r="X28" i="2" s="1"/>
  <c r="Z28" i="2" s="1"/>
  <c r="J28" i="2" s="1"/>
  <c r="Z134" i="3" l="1"/>
  <c r="Y132" i="3"/>
  <c r="Y133" i="3" s="1"/>
  <c r="Z153" i="3" s="1"/>
  <c r="Y134" i="3"/>
  <c r="Q27" i="2"/>
  <c r="Y28" i="2" s="1"/>
  <c r="AA28" i="2" s="1"/>
  <c r="G28" i="2" s="1"/>
  <c r="F28" i="2"/>
  <c r="Y135" i="3" l="1"/>
  <c r="Y155" i="3"/>
  <c r="Y156" i="3" s="1"/>
  <c r="Y145" i="3"/>
  <c r="Y146" i="3" s="1"/>
  <c r="Y147" i="3"/>
  <c r="Z147" i="3"/>
  <c r="Z82" i="3"/>
  <c r="Z93" i="3" s="1"/>
  <c r="Z99" i="3" s="1"/>
  <c r="Z80" i="3"/>
  <c r="Z91" i="3" s="1"/>
  <c r="Z81" i="3"/>
  <c r="Z92" i="3" s="1"/>
  <c r="Z98" i="3" s="1"/>
  <c r="Z83" i="3"/>
  <c r="Z94" i="3" s="1"/>
  <c r="Z100" i="3" s="1"/>
  <c r="Z135" i="3"/>
  <c r="U28" i="2"/>
  <c r="W28" i="2" s="1"/>
  <c r="O28" i="2" s="1"/>
  <c r="Q28" i="2" s="1"/>
  <c r="K28" i="2"/>
  <c r="Z97" i="3" l="1"/>
  <c r="Z119" i="3" s="1"/>
  <c r="Z120" i="3" s="1"/>
  <c r="Z121" i="3" s="1"/>
  <c r="Z95" i="3"/>
  <c r="Z145" i="3" s="1"/>
  <c r="Z146" i="3" s="1"/>
  <c r="Z104" i="3"/>
  <c r="Z105" i="3"/>
  <c r="Z103" i="3"/>
  <c r="Y29" i="2"/>
  <c r="AA29" i="2" s="1"/>
  <c r="G29" i="2" s="1"/>
  <c r="P28" i="2"/>
  <c r="X29" i="2" s="1"/>
  <c r="Z29" i="2" s="1"/>
  <c r="J29" i="2" s="1"/>
  <c r="Z102" i="3" l="1"/>
  <c r="K29" i="2"/>
  <c r="F29" i="2"/>
  <c r="U29" i="2" s="1"/>
  <c r="W29" i="2" s="1"/>
  <c r="O29" i="2" s="1"/>
  <c r="P29" i="2" s="1"/>
  <c r="X30" i="2" s="1"/>
  <c r="Z30" i="2" s="1"/>
  <c r="J30" i="2" s="1"/>
  <c r="F30" i="2" l="1"/>
  <c r="Q29" i="2"/>
  <c r="Y30" i="2" s="1"/>
  <c r="AA30" i="2" s="1"/>
  <c r="G30" i="2" l="1"/>
  <c r="U30" i="2" s="1"/>
  <c r="W30" i="2" s="1"/>
  <c r="O30" i="2" s="1"/>
  <c r="Q30" i="2" s="1"/>
  <c r="K30" i="2"/>
  <c r="P30" i="2" l="1"/>
</calcChain>
</file>

<file path=xl/sharedStrings.xml><?xml version="1.0" encoding="utf-8"?>
<sst xmlns="http://schemas.openxmlformats.org/spreadsheetml/2006/main" count="728" uniqueCount="482">
  <si>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</si>
  <si>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</si>
  <si>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</si>
  <si>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</si>
  <si>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</si>
  <si>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</si>
  <si>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</si>
  <si>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</si>
  <si>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</si>
  <si>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</si>
  <si>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</si>
  <si>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</si>
  <si>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</si>
  <si>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</si>
  <si>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</si>
  <si>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</si>
  <si>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</si>
  <si>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</si>
  <si>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</si>
  <si>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</si>
  <si>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</si>
  <si>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</si>
  <si>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</si>
  <si>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</si>
  <si>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</si>
  <si>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</si>
  <si>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</si>
  <si>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</si>
  <si>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</si>
  <si>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</si>
  <si>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</si>
  <si>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</si>
  <si>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</si>
  <si>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</si>
  <si>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</si>
  <si>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</si>
  <si>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</si>
  <si>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</si>
  <si>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</si>
  <si>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</si>
  <si>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</si>
  <si>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</si>
  <si>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</si>
  <si>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</si>
  <si>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</si>
  <si>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</si>
  <si>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</si>
  <si>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</si>
  <si>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</si>
  <si>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</si>
  <si>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</si>
  <si>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</si>
  <si>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</si>
  <si>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</si>
  <si>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</si>
  <si>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</si>
  <si>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</si>
  <si>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</si>
  <si>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</si>
  <si>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</si>
  <si>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</si>
  <si>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</si>
  <si>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</si>
  <si>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</si>
  <si>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</si>
  <si>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</si>
  <si>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</si>
  <si>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</si>
  <si>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</si>
  <si>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</si>
  <si>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</si>
  <si>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</si>
  <si>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</si>
  <si>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</si>
  <si>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</si>
  <si>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</si>
  <si>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</si>
  <si>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</si>
  <si>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</si>
  <si>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</si>
  <si>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</si>
  <si>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</si>
  <si>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</si>
  <si>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</si>
  <si>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</si>
  <si>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</si>
  <si>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</si>
  <si>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</si>
  <si>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</si>
  <si>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</si>
  <si>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</si>
  <si>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</si>
  <si>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</si>
  <si>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</si>
  <si>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</si>
  <si>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</si>
  <si>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</si>
  <si>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</si>
  <si>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</si>
  <si>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</si>
  <si>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</si>
  <si>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</si>
  <si>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</si>
  <si>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</si>
  <si>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</si>
  <si>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</si>
  <si>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</si>
  <si>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</si>
  <si>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</si>
  <si>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</si>
  <si>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</si>
  <si>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</si>
  <si>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</si>
  <si>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</si>
  <si>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</si>
  <si>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</si>
  <si>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</si>
  <si>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</si>
  <si>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</si>
  <si>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</si>
  <si>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</si>
  <si>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</si>
  <si>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</si>
  <si>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</si>
  <si>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</si>
  <si>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</si>
  <si>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</si>
  <si>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</si>
  <si>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</si>
  <si>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</si>
  <si>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</si>
  <si>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</si>
  <si>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</si>
  <si>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</si>
  <si>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</si>
  <si>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</si>
  <si>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</si>
  <si>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</si>
  <si>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</si>
  <si>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</si>
  <si>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</si>
  <si>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</si>
  <si>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</si>
  <si>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</si>
  <si>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</si>
  <si>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</si>
  <si>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</si>
  <si>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</si>
  <si>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</si>
  <si>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</si>
  <si>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</si>
  <si>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</si>
  <si>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</si>
  <si>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</si>
  <si>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</si>
  <si>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</si>
  <si>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</si>
  <si>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</si>
  <si>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</si>
  <si>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</si>
  <si>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</si>
  <si>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</si>
  <si>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</si>
  <si>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</si>
  <si>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</si>
  <si>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</si>
  <si>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</si>
  <si>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</si>
  <si>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</si>
  <si>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</si>
  <si>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</si>
  <si>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</si>
  <si>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</si>
  <si>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</si>
  <si>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</si>
  <si>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</si>
  <si>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</si>
  <si>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</si>
  <si>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</si>
  <si>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</si>
  <si>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</si>
  <si>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</si>
  <si>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</si>
  <si>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</si>
  <si>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</si>
  <si>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</si>
  <si>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</si>
  <si>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</si>
  <si>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</si>
  <si>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</si>
  <si>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</si>
  <si>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</si>
  <si>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</si>
  <si>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</si>
  <si>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</si>
  <si>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</si>
  <si>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</si>
  <si>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</si>
  <si>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</si>
  <si>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</si>
  <si>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</si>
  <si>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</si>
  <si>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arr_young_biomass_c_loss_from_decomposition (T x T)</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</si>
  <si>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</si>
  <si>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</si>
  <si>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</si>
  <si>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</si>
  <si>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</si>
  <si>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</si>
  <si>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</si>
  <si>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</si>
  <si>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</si>
  <si>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</si>
  <si>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</si>
  <si>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vec_biomass_c_removed_from_young</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</si>
  <si>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</si>
  <si>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</si>
  <si>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</si>
  <si>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</si>
  <si>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</si>
  <si>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</si>
  <si>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</si>
  <si>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</si>
  <si>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</si>
  <si>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</si>
  <si>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</si>
  <si>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</si>
  <si>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</si>
  <si>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</si>
  <si>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vec_frac_biomass_ag_decomposition</t>
  </si>
  <si>
    <t>vec_young_sf_curve</t>
  </si>
  <si>
    <t>arr_young_biomass_c_available_for_removals_mask (T x T)</t>
  </si>
  <si>
    <t>vec_young_biomass_c_available_for_removals_total</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</si>
  <si>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</si>
  <si>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</si>
  <si>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</si>
  <si>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</si>
  <si>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</si>
  <si>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</si>
  <si>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</si>
  <si>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</si>
  <si>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</si>
  <si>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</si>
  <si>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</si>
  <si>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</si>
  <si>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</si>
  <si>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</si>
  <si>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</si>
  <si>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</si>
  <si>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</si>
  <si>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</si>
  <si>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</si>
  <si>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</si>
  <si>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vec_biomass_c_removals_from_converted</t>
  </si>
  <si>
    <t>arr_biomass_c_removals_from_converted_land_allocation</t>
  </si>
  <si>
    <t>vec_biomass_c_removals_from_forest_demanded</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</si>
  <si>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</si>
  <si>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</si>
  <si>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</si>
  <si>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</si>
  <si>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</si>
  <si>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</si>
  <si>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</si>
  <si>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</si>
  <si>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</si>
  <si>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</si>
  <si>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</si>
  <si>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</si>
  <si>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</si>
  <si>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arr_biomass_c_ag_lost_decomposition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</si>
  <si>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</si>
  <si>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</si>
  <si>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</si>
  <si>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</si>
  <si>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</si>
  <si>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</si>
  <si>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</si>
  <si>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</si>
  <si>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</si>
  <si>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A_{in}(t)</t>
  </si>
  <si>
    <t>\hat{a}^{(y)}_{out}(t)</t>
  </si>
  <si>
    <t>a^{(y)}_{out}(t)</t>
  </si>
  <si>
    <t>\hat{\alpha}(t)</t>
  </si>
  <si>
    <t>arr_biomass_c_average_bg_stock_in_conversion_targets</t>
  </si>
  <si>
    <t>arr_biomass_c_total_growth</t>
  </si>
  <si>
    <t>arr_biomass_c_bg_lost_decomposition</t>
  </si>
  <si>
    <t>this has been modified to use a logistic ramp rather than alinear</t>
  </si>
  <si>
    <t>d(t)</t>
  </si>
  <si>
    <t>\overline{Y}_{conv}(t, u)</t>
  </si>
  <si>
    <t>\overline{y}_{conv}(t)</t>
  </si>
  <si>
    <t>\underline{Y}_{conv}(t, u)</t>
  </si>
  <si>
    <t>\underline{y}_{conv}(t)</t>
  </si>
  <si>
    <t>\overline{Y}^*(t, u)</t>
  </si>
  <si>
    <t>-</t>
  </si>
  <si>
    <t xml:space="preserve">Fractional threshold for stock loss (compared to undisturbed forest levels) below which sequestration declines. </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</si>
  <si>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</si>
  <si>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</si>
  <si>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</si>
  <si>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</si>
  <si>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Total area of forest protected.</t>
  </si>
  <si>
    <t>Area of young (newly planted) forest that is protected.</t>
  </si>
  <si>
    <t>Area of remaining (from simulation initialization) forest that is protected.</t>
  </si>
  <si>
    <t>Fraction of biomass per time period lost to decomposition. This is estimated from the NPP fit funtion under the assumption that primary forests exist in steady state (i.e., that there is no net growth of biomass if left undistributed).</t>
  </si>
  <si>
    <t>Total biomass (mass units) removals needed to satisfy fuelwood and harvested wood products demands.</t>
  </si>
  <si>
    <t>Latex Variable</t>
  </si>
  <si>
    <t>Variable Description</t>
  </si>
  <si>
    <t>arr_young_area_by_tp_planted (T x T)   [e.g., col K]</t>
  </si>
  <si>
    <t>arr_young_area_by_tp_planted_cumvals (T x T)   [e.g., col I]</t>
  </si>
  <si>
    <t>arr_young_area_by_tp_planted_drops (T x T)   [e.g., col J]</t>
  </si>
  <si>
    <t>\overline{Y}_{alloc}(t, u)</t>
  </si>
  <si>
    <t>\Psi^{(y)}(t, u)</t>
  </si>
  <si>
    <t>\overline{Y}(t, u)</t>
  </si>
  <si>
    <t>\Delta_0\overline{Y}(t, u)</t>
  </si>
  <si>
    <t>\Delta\overline{Y}(t, u)</t>
  </si>
  <si>
    <t>\underline{Y}(t, u)</t>
  </si>
  <si>
    <t>L</t>
  </si>
  <si>
    <t>A^{(y)}(t, u)</t>
  </si>
  <si>
    <t>\hat{A}^{(y)}(t, u)</t>
  </si>
  <si>
    <t>\chi(t)</t>
  </si>
  <si>
    <t>M</t>
  </si>
  <si>
    <t>\overline{y}(t)</t>
  </si>
  <si>
    <t>\Delta_0\overline{b}</t>
  </si>
  <si>
    <t>Vector (length 2) storing nominal sequestration factor (mass of biomass growth per time period) associated with forests. Used in NPP fit from integration target.</t>
  </si>
  <si>
    <t>\overline{y}_{availconv}(t)</t>
  </si>
  <si>
    <t>\overline{y}_{presconv}(t)</t>
  </si>
  <si>
    <t>\overline{Y}_{presconv}(t, u)</t>
  </si>
  <si>
    <t>r</t>
  </si>
  <si>
    <t>r_{conv}(t)</t>
  </si>
  <si>
    <t>Mass of biomass removals from converted land at time $t$.</t>
  </si>
  <si>
    <t>\Phi_{conv}</t>
  </si>
  <si>
    <t>Matrix storing total biomass available (i.e., excluding dead storage) in original forests by type (column) excluding land converted out at time period $t$. Excludes young forests.</t>
  </si>
  <si>
    <t>u</t>
  </si>
  <si>
    <t>Vector ($T $) giving adjusted--based on availability in buffer zone--total quantity of biomass available for removals.</t>
  </si>
  <si>
    <t>\Phi_{avail}</t>
  </si>
  <si>
    <t>\Psi^{(0)}_{rmvsat}</t>
  </si>
  <si>
    <t>\underline{L}_{conv}</t>
  </si>
  <si>
    <t>\tilde{A}^{(y)}(t, u)</t>
  </si>
  <si>
    <t>\underline{L}_{rmv}(t, v)</t>
  </si>
  <si>
    <t>\overline{L}_{conv}(t, v)</t>
  </si>
  <si>
    <t>G(t, v)</t>
  </si>
  <si>
    <t>s_{rmv}(t)</t>
  </si>
  <si>
    <t>A</t>
  </si>
  <si>
    <t>a</t>
  </si>
  <si>
    <t>G</t>
  </si>
  <si>
    <t>B</t>
  </si>
  <si>
    <t>b</t>
  </si>
  <si>
    <t>d</t>
  </si>
  <si>
    <t>Y</t>
  </si>
  <si>
    <t>y</t>
  </si>
  <si>
    <t>R</t>
  </si>
  <si>
    <t>s</t>
  </si>
  <si>
    <t>Sort Class</t>
  </si>
  <si>
    <t>z:\chi</t>
  </si>
  <si>
    <t>z:\eta</t>
  </si>
  <si>
    <t>z:\alpha</t>
  </si>
  <si>
    <t>z:\gamma</t>
  </si>
  <si>
    <t>z:\delta</t>
  </si>
  <si>
    <t>z:\Psi</t>
  </si>
  <si>
    <t>z:\Phi</t>
  </si>
  <si>
    <t>\overline{Y}_{avail}(t, u)</t>
  </si>
  <si>
    <t>\tilde{\Psi}^{(0)}(t, v)</t>
  </si>
  <si>
    <t>\tilde{b}^{(0)}</t>
  </si>
  <si>
    <t>\tilde{B}^{(0)}_{avail}</t>
  </si>
  <si>
    <t>n_tps_no_withdrawals_new_growth</t>
  </si>
  <si>
    <t>n_{wait}</t>
  </si>
  <si>
    <t>Number (integer) giving number of time periods that must pass after planting a forest to allow withdrawals.</t>
  </si>
  <si>
    <t>n</t>
  </si>
  <si>
    <t>Total of land converted away from type during time $t$. $A(0)$ is an input vector.</t>
  </si>
  <si>
    <t xml:space="preserve">Matrix ($n_T \times 2$) storing area remaining from land use type at beginning of simulation at beginning of time $t$.  </t>
  </si>
  <si>
    <t>Matrix ($n_T \times 2$) storing area of land use at beginning of time $t$. $A(0)$ is an input vector.</t>
  </si>
  <si>
    <t>Matrix ($n_T \times 2$) storing average above ground stock contained In land use classes that forests transition into; used to estimate above-ground conversion losses of stock.</t>
  </si>
  <si>
    <t>Matrix ($n_T \times 2$) soring average below ground stock contained In land use classes that forests transition into; used to estimate below-ground conversion losses of stock.</t>
  </si>
  <si>
    <t>Matrix ($n_T \times 2$) storing above ground biomass stock left from start of simulation if untouched (without degradation).</t>
  </si>
  <si>
    <t xml:space="preserve">Matrix ($n_T \times 2$) storing adjustment factor for sequestration; responds to stock level compared to steady-state level. </t>
  </si>
  <si>
    <t>Matrix ($n_T \times 2$) storing sequestration factor in original forests (as adjusted due to degradation).</t>
  </si>
  <si>
    <t>Matrix ($n_T \times 2$) storing biomass stock remaining from forests present at the start of the simulation.</t>
  </si>
  <si>
    <t>Matrix ($n_T \times 2$) storing average (mass per unit area) biomass stock remaining from forests present at the start of the simulation.</t>
  </si>
  <si>
    <t>Matrix ($n_T \times 2$) storing average (mass per unit area) biomass stock remaining from forests present at the start of the simulation \emph{excluding} dead storage.</t>
  </si>
  <si>
    <t>Matrix ($n_T \times 2$) storing total mass of biomass from original forests converted away in each time period.</t>
  </si>
  <si>
    <t>Row-stochastic matrix ($n_T \times 2$) storing allocation of removals by forest type (column) at time $t$ (row).</t>
  </si>
  <si>
    <t>Matrix ($n_T \times 2$) storing removals from original forests by type (columns), excluding conversions.</t>
  </si>
  <si>
    <t>Matrix ($n_T \times 2$) giving fraction of original forest stock available when compared to healthy (unperturbed) baseline.</t>
  </si>
  <si>
    <t>Matrix ($n_T \times 2$) giving fraction of removals satisfiable at time $t$ for forest type $v$.</t>
  </si>
  <si>
    <t>Matrix ($n_T \times 2$) giving adjusted--based on availability in buffer zone--quantity of biomass available for removals by forest type.</t>
  </si>
  <si>
    <t>Matrix ($n_T \times 2$) giving allocation of adjusted--based on availability in buffer zone--quantity of biomass available for removals by forest type.</t>
  </si>
  <si>
    <t>Matrix ($n_T \times 2$) giving total loss of above-ground biomass stock due to decomposition at time $t$ for forest type $v$.</t>
  </si>
  <si>
    <t>Matrix ($n_T \times 2$) giving total loss of below-ground biomass stock due to decomposition at time $t$ for forest type $v$.</t>
  </si>
  <si>
    <t>Matrix ($n_T \times 2$) giving total loss of below-ground biomass stock due to above-ground removals at time $t$ for forest type $v$.</t>
  </si>
  <si>
    <t>Matrix ($n_T \times 2$) giving total loss of above-ground biomass stock due to land use conversion at time $t$ for forest type $v$.</t>
  </si>
  <si>
    <t>Matrix ($n_T \times 2$) giving total loss of below-ground biomass stock due to land use conversion at time $t$ for forest type $v$.</t>
  </si>
  <si>
    <t>Matrix ($n_T \times 2$) giving total growth of above-ground biomass stock during time $t$ for forest type $v$.</t>
  </si>
  <si>
    <t>Matrix ($n_T \times n_T$) storing cumulative area in young forests at time $t$. Used to determine how much area is removed from each young forest area if conversion is applicable.</t>
  </si>
  <si>
    <t>Matrix ($n_T \times n_T$) storing how much area of young forest planted in time $t$ remains in time $u$.</t>
  </si>
  <si>
    <t>Matrix ($n_T \times n_T$) storing how much forest area in each time period (column $u$) has to be dropped due to conversion into young forests. Only applicable if all other secondary forest has been elimnated.</t>
  </si>
  <si>
    <t>Matrix ($n_T \times n_T$) storing total mass of biomass in young forests converted away in each time period by time period planted. Used to help ensure that earliest plantations are converted first.</t>
  </si>
  <si>
    <t>Matrix ($n_T \times n_T$) storing total above-ground mass of biomass preserved in each area of young forest planted by time period planted $u$.</t>
  </si>
  <si>
    <t xml:space="preserve">Matrix ($n_T \times n_T$) storing total young biomass that is converted to other (non-forest) land use types by time period planted. </t>
  </si>
  <si>
    <t>Matrix ($n_T \times n_T$) storing the sequestration factors (which come from AFOLU NPP curve estimates) for unperturbed young forests by time period planted.</t>
  </si>
  <si>
    <t>Matrix ($n_T \times n_T$) storing counterfactual for young biomass above-ground stock if untouched at time $t$ for biomass planted at time $u$.</t>
  </si>
  <si>
    <t>Matrix ($n_T \times n_T$) used to determine whether young biomass is available for harvest. Determined based on number of years of growth required to make biomass available.</t>
  </si>
  <si>
    <t>Matrix ($n_T \times n_T$) storing total above-ground mass of biomas allocated for removal in time $t$ from biomass planted at time $u$.</t>
  </si>
  <si>
    <t>Matrix ($n_T \times n_T$) used in auxialiary calculations for total above-ground mass of biomas allocated for removal in time $t$ from biomass planted at time $u$.</t>
  </si>
  <si>
    <t>Matrix ($n_T \times n_T$) storing the adjusted sequestration factors (which come from AFOLU NPP curve estimates) for forests by time period planted. Adjustments are based off of the level of average stock depletion.</t>
  </si>
  <si>
    <t>Matrix ($n_T \times n_T$) storing the loss of biomass in young forests due to decomposition. Decomposition rates are determined as a function of the NPP curve and an assumption that primary forests are in steady state.</t>
  </si>
  <si>
    <t>Matrix ($n_T \times n_T$) storing total above-ground biomass stock at time $t$ for young forests planted at time $u$.</t>
  </si>
  <si>
    <t>Matrix ($n_T \times n_T$) storing total below-ground biomass stock at time $t$ for young forests planted at time $u$.</t>
  </si>
  <si>
    <t xml:space="preserve">Vector ($n_T$) storing total mass of above-ground biomass in young forests converted in time $t$. </t>
  </si>
  <si>
    <t>Vector ($n_T$) storing total above-ground mass of biomass preserved in each time period.</t>
  </si>
  <si>
    <t>Vector ($n_T$) storing total biomass from conversion that is available to satisfy harvested wood product (HWP) and fuelwood (FW) demands.</t>
  </si>
  <si>
    <t>Vector ($n_T$)  storing total young biomass that is converted to other (non-forest) land use types at time $t$.</t>
  </si>
  <si>
    <t>Vector ($n_T$) storing how much biomass is available at time $t$ from young forests.</t>
  </si>
  <si>
    <t>Vector ($n_T$) storing total above-ground biomass stock in young forests at the start of time period $t$.</t>
  </si>
  <si>
    <t xml:space="preserve">Vector ($n_T$) storing demand for removals from all forests, excluding those from conversions. </t>
  </si>
  <si>
    <t>Vector ($n_T$) storing removals from original forests, excluding conversions.  Always $\leq d_{rmv}$.</t>
  </si>
  <si>
    <t>Vector ($n_T$) storing unmet demand for removals from original forests.</t>
  </si>
  <si>
    <t>Vector ($n_T$) storing removals from young forests, excluding conversions.  Always $\leq d_{rmv}$.</t>
  </si>
  <si>
    <t>Vector ($n_T$) giving total removals supplied.</t>
  </si>
  <si>
    <t>arr_frac_biomass_dead_storage</t>
  </si>
  <si>
    <t>arr_frac_biomass_buffer</t>
  </si>
  <si>
    <t>\check{\alpha}(t, v)</t>
  </si>
  <si>
    <t>\bar{\alpha}(t, v)</t>
  </si>
  <si>
    <t>Matrix ($n_T \times 2$)  storing fraction of biomass that represents dead storage. Is set in SISEPUEDE to be max of exogenous specification and amount implied by average stock in conversion targets (cannot have biomass below transition targets and remain forest).</t>
  </si>
  <si>
    <t xml:space="preserve">Matrix ($n_T \times 2$) storing fraction of biomass in buffer zone; dead storage + buffer gives the fractional threshold for slowing removals. </t>
  </si>
  <si>
    <t>written</t>
  </si>
  <si>
    <t>x</t>
  </si>
  <si>
    <t>a^{(y)}_{prot}(t)</t>
  </si>
  <si>
    <t>A_{prot}(t, v)</t>
  </si>
  <si>
    <t>A_{prot}^*(t, v)</t>
  </si>
  <si>
    <t>\Delta_0\overline{y}(u)</t>
  </si>
  <si>
    <t>Vector ($n_T$) storing the sequestration factors for young forests $u$ time periods after planting.</t>
  </si>
  <si>
    <t>vec_young_sf_curve_specification (T)</t>
  </si>
  <si>
    <t>z:\tau</t>
  </si>
  <si>
    <t>\delta</t>
  </si>
  <si>
    <t xml:space="preserve">Matrix ($n_T \times n_T$) storing the adjustment factor for young forest factors; applied to unadjusted young forest sequestration factor $R^{(y)}_0(t, u)$ based on depletion levels. </t>
  </si>
  <si>
    <t>arr_young_sf_adjustment_factor (T x T)   [e.g., col J]</t>
  </si>
  <si>
    <t>arr_young_sf_adjusted_by_tp_planted (T x T)   [e.g., col K]</t>
  </si>
  <si>
    <t>arr_young_biomass_c_stock_removal_allocation_aux (T x T)   [e.g., col G]</t>
  </si>
  <si>
    <t>arr_young_biomass_c_stock_removal_allocation (T x T)   [e.g., col H]</t>
  </si>
  <si>
    <t>\overline{y}_{avail}(t)</t>
  </si>
  <si>
    <t>r^{(y)}_{rmv}(t)</t>
  </si>
  <si>
    <t>R^{(0)}_{rmv}(t, v)</t>
  </si>
  <si>
    <t>R_{rmv}(t, v)</t>
  </si>
  <si>
    <t>u^{(0)}_{rmv}(t)</t>
  </si>
  <si>
    <t>r^{(0)}_{rmv}(t)</t>
  </si>
  <si>
    <t>d_{rmv}(t)</t>
  </si>
  <si>
    <t>\overline{Y}_{aux}(t, u)</t>
  </si>
  <si>
    <t>Matrix ($n_T \times 2$) storing removals from all forests by type (columns), excluding conversions. Removals from young secondary forests are added to those removals from original secondary forests.</t>
  </si>
  <si>
    <t>\Psi^{(0)}(t, v)</t>
  </si>
  <si>
    <t>A^*(t, v)</t>
  </si>
  <si>
    <t>A(t, v)</t>
  </si>
  <si>
    <t>A_{out}(t, v)</t>
  </si>
  <si>
    <t>A^*(t + 1, v)</t>
  </si>
  <si>
    <t>\overline{\eta}(t, v)</t>
  </si>
  <si>
    <t>\underline{\eta}(t, v)</t>
  </si>
  <si>
    <t>\overline{b}^{(0)}(v)</t>
  </si>
  <si>
    <t>\overline{L}_{dcmp}(t, v)</t>
  </si>
  <si>
    <t>\underline{L}_{dcmp}(t, v)</t>
  </si>
  <si>
    <t>vec_young_biomass_c_loss_from_decomposition (T)</t>
  </si>
  <si>
    <t>Vector ($n_T$) storing the total loss of biomass in young forests due to decomposition.</t>
  </si>
  <si>
    <t>l</t>
  </si>
  <si>
    <t>\overline{l}^{(y)}_{dcmp}(t)</t>
  </si>
  <si>
    <t>\overline{L}^{(y)}_{dcmp}(t, u)</t>
  </si>
  <si>
    <t>Matrix ($n_T \times 2$) storing total above-ground biomass stock in all forests at the start of time period $t$.</t>
  </si>
  <si>
    <t>Matrix ($n_T \times 2$) storing total below-ground biomass stock in all forests at the start of time period $t$.</t>
  </si>
  <si>
    <t>\overline{B}_{conv}(t, v)</t>
  </si>
  <si>
    <t>\underline{M}(t, v)</t>
  </si>
  <si>
    <t>\overline{M}(t, v)</t>
  </si>
  <si>
    <t>\overline{B}_{presconv}(t, v)</t>
  </si>
  <si>
    <t>\overline{B}_{availconv}(t, v)</t>
  </si>
  <si>
    <t>\overline{B}^{(0)}_{avail}(t, v)</t>
  </si>
  <si>
    <t>\overline{\overline{B}}(t, v)</t>
  </si>
  <si>
    <t>\overline{\overline{B}}'(t, v)</t>
  </si>
  <si>
    <t>\Delta\overline{B}(t, v)</t>
  </si>
  <si>
    <t>\overline{M}_0^*(t, v)</t>
  </si>
  <si>
    <t>\overline{M}_0(t, v)</t>
  </si>
  <si>
    <t>\tau(v)</t>
  </si>
  <si>
    <t>Vector (dim $2$) storing avrage biomass stock per unit area required to be considered forest.</t>
  </si>
  <si>
    <t>\overline{B_{avail}}(v)</t>
  </si>
  <si>
    <t>\gamma(v)</t>
  </si>
  <si>
    <t>Vector (dim $2$) storing available stock factor per unit area in healthy forest. Used to determine when average stocks fall below thresholds.</t>
  </si>
  <si>
    <t xml:space="preserve">Vector (dim $2$) storing initial steady-state storage in each class. Used in integration targets for NPP curve and as initial carbon storage condition. </t>
  </si>
  <si>
    <t>Vector (dim $2$) storing ratio of below-ground carbon stock to above-ground carbon stock in each forest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</si>
</sst>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6">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
      <patternFill patternType="solid">
        <fgColor theme="5" tint="-0.249977111117893"/>
        <bgColor indexed="64"/>
      </patternFill>
    </fill>
  </fills>
  <borders count="1">
    <border>
      <left/>
      <right/>
      <top/>
      <bottom/>
      <diagonal/>
    </border>
  </borders>
  <cellStyleXfs count="1">
    <xf numFmtId="0" fontId="0" fillId="0" borderId="0"/>
  </cellStyleXfs>
  <cellXfs count="62">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6" fillId="14" borderId="0" xfId="0" applyFont="1" applyFill="1" applyAlignment="1">
      <alignment horizontal="right" vertical="center"/>
    </xf>
    <xf numFmtId="0" fontId="3" fillId="6" borderId="0" xfId="0" applyFont="1" applyFill="1" applyAlignment="1">
      <alignment vertical="center"/>
    </xf>
    <xf numFmtId="0" fontId="3" fillId="13" borderId="0" xfId="0" applyFont="1" applyFill="1" applyAlignment="1">
      <alignment vertical="center" wrapText="1"/>
    </xf>
    <xf numFmtId="0" fontId="3" fillId="13" borderId="0" xfId="0" applyFont="1" applyFill="1" applyAlignment="1">
      <alignment vertical="center"/>
    </xf>
    <xf numFmtId="0" fontId="3" fillId="13" borderId="0" xfId="0" applyFont="1" applyFill="1" applyAlignment="1">
      <alignment horizontal="center" vertical="center"/>
    </xf>
    <xf numFmtId="0" fontId="6" fillId="14" borderId="0" xfId="0" applyFont="1" applyFill="1" applyAlignment="1">
      <alignment horizontal="center" vertical="center"/>
    </xf>
    <xf numFmtId="0" fontId="3" fillId="13" borderId="0" xfId="0" applyFont="1" applyFill="1" applyAlignment="1">
      <alignment horizontal="right"/>
    </xf>
    <xf numFmtId="0" fontId="3" fillId="13" borderId="0" xfId="0" applyFont="1" applyFill="1" applyAlignment="1">
      <alignment horizontal="left" vertical="center"/>
    </xf>
    <xf numFmtId="0" fontId="3" fillId="0" borderId="0" xfId="0" applyFont="1" applyAlignment="1">
      <alignment vertical="center"/>
    </xf>
    <xf numFmtId="0" fontId="3" fillId="0" borderId="0" xfId="0" applyFont="1" applyAlignment="1">
      <alignment horizontal="center" vertical="center"/>
    </xf>
    <xf numFmtId="0" fontId="3" fillId="13" borderId="0" xfId="0" applyFont="1" applyFill="1" applyAlignment="1">
      <alignment horizontal="right" vertical="center" wrapText="1"/>
    </xf>
    <xf numFmtId="0" fontId="3" fillId="9" borderId="0" xfId="0" applyFont="1" applyFill="1" applyAlignment="1">
      <alignment horizontal="center" vertical="center"/>
    </xf>
    <xf numFmtId="0" fontId="3" fillId="13" borderId="0" xfId="0" applyFont="1" applyFill="1" applyAlignment="1">
      <alignment horizontal="right" vertical="center"/>
    </xf>
    <xf numFmtId="0" fontId="0" fillId="3" borderId="0" xfId="0" applyFill="1" applyAlignment="1">
      <alignment horizontal="center" vertical="center" wrapText="1"/>
    </xf>
    <xf numFmtId="0" fontId="2" fillId="4" borderId="0" xfId="0" applyFont="1" applyFill="1" applyAlignment="1">
      <alignment horizontal="center"/>
    </xf>
    <xf numFmtId="0" fontId="0" fillId="3" borderId="0" xfId="0" applyFill="1" applyAlignment="1">
      <alignment horizontal="center" vertical="center"/>
    </xf>
    <xf numFmtId="0" fontId="2" fillId="4" borderId="0" xfId="0" applyFont="1" applyFill="1" applyAlignment="1">
      <alignment horizontal="center" vertical="center"/>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xf numFmtId="0" fontId="3" fillId="3" borderId="0" xfId="0" applyFont="1" applyFill="1" applyAlignment="1">
      <alignment horizontal="center" vertical="center"/>
    </xf>
    <xf numFmtId="0" fontId="3" fillId="15"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56" t="s">
        <v>23</v>
      </c>
      <c r="B1" s="56"/>
      <c r="C1" s="57" t="s">
        <v>26</v>
      </c>
      <c r="D1" s="57"/>
      <c r="E1" s="57"/>
      <c r="F1" s="56" t="s">
        <v>30</v>
      </c>
      <c r="G1" s="56"/>
      <c r="H1" s="57" t="s">
        <v>27</v>
      </c>
      <c r="I1" s="57"/>
      <c r="J1" s="56" t="s">
        <v>28</v>
      </c>
      <c r="K1" s="56"/>
      <c r="L1" s="58" t="s">
        <v>29</v>
      </c>
      <c r="M1" s="58"/>
      <c r="N1" s="54" t="s">
        <v>31</v>
      </c>
      <c r="O1" s="54"/>
      <c r="P1" s="54"/>
      <c r="Q1" s="54"/>
      <c r="R1" s="58" t="s">
        <v>48</v>
      </c>
      <c r="S1" s="58"/>
      <c r="T1" s="58"/>
      <c r="U1" s="59" t="s">
        <v>44</v>
      </c>
      <c r="V1" s="59"/>
      <c r="W1" s="4" t="s">
        <v>46</v>
      </c>
      <c r="X1" s="4" t="s">
        <v>47</v>
      </c>
      <c r="AC1" s="56" t="s">
        <v>36</v>
      </c>
      <c r="AD1" s="56"/>
      <c r="AE1" s="56"/>
      <c r="AF1" s="56"/>
      <c r="AG1" s="56"/>
      <c r="AH1" s="56"/>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C1:AH1"/>
    <mergeCell ref="C1:E1"/>
    <mergeCell ref="L1:M1"/>
    <mergeCell ref="U1:V1"/>
    <mergeCell ref="R1:T1"/>
    <mergeCell ref="A1:B1"/>
    <mergeCell ref="F1:G1"/>
    <mergeCell ref="H1:I1"/>
    <mergeCell ref="J1:K1"/>
    <mergeCell ref="N1:Q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65"/>
  <sheetViews>
    <sheetView tabSelected="1" topLeftCell="A115" zoomScaleNormal="93" workbookViewId="0">
      <selection activeCell="B118" sqref="B118"/>
    </sheetView>
  </sheetViews>
  <sheetFormatPr baseColWidth="10" defaultRowHeight="16" x14ac:dyDescent="0.2"/>
  <cols>
    <col min="1" max="1" width="6.5" style="48" customWidth="1"/>
    <col min="2" max="2" width="62.1640625" style="24" customWidth="1"/>
    <col min="3" max="3" width="2" style="27" customWidth="1"/>
    <col min="4" max="4" width="4.1640625" style="23" hidden="1" customWidth="1"/>
    <col min="5" max="5" width="27" style="22" hidden="1" customWidth="1"/>
    <col min="6" max="6" width="15.6640625" style="10" hidden="1" customWidth="1"/>
    <col min="7" max="7" width="11" style="4" customWidth="1"/>
    <col min="8" max="8" width="15.1640625" style="4" customWidth="1"/>
    <col min="9" max="9" width="11.5" style="5" customWidth="1"/>
    <col min="10" max="11" width="13.33203125" style="4" customWidth="1"/>
    <col min="12" max="12" width="11.83203125" style="5" hidden="1" customWidth="1"/>
    <col min="13" max="14" width="13.33203125" style="4" hidden="1" customWidth="1"/>
    <col min="15" max="15" width="21.1640625" style="5" hidden="1" customWidth="1"/>
    <col min="16" max="16" width="21.1640625" style="4" hidden="1" customWidth="1"/>
    <col min="17" max="17" width="13.33203125" style="4" hidden="1" customWidth="1"/>
    <col min="18" max="18" width="22.83203125" style="5" hidden="1" customWidth="1"/>
    <col min="19" max="20" width="13.33203125" style="4" hidden="1" customWidth="1"/>
    <col min="21" max="21" width="9.1640625" style="5" hidden="1" customWidth="1"/>
    <col min="22" max="22" width="13.33203125" style="4" hidden="1" customWidth="1"/>
    <col min="23" max="23" width="12.5" style="4" hidden="1" customWidth="1"/>
    <col min="24" max="24" width="9.1640625" style="5" hidden="1" customWidth="1"/>
    <col min="25" max="26" width="13.33203125" style="4" hidden="1" customWidth="1"/>
    <col min="27" max="27" width="24" style="24" customWidth="1"/>
    <col min="28" max="28" width="64.5" style="47" customWidth="1"/>
    <col min="29" max="29" width="14.6640625" style="48" customWidth="1"/>
    <col min="30" max="30" width="14.6640625" customWidth="1"/>
    <col min="31" max="33" width="14.1640625" customWidth="1"/>
    <col min="34" max="34" width="4.1640625" customWidth="1"/>
    <col min="35" max="35" width="3.33203125" customWidth="1"/>
  </cols>
  <sheetData>
    <row r="1" spans="1:41" s="7" customFormat="1" x14ac:dyDescent="0.2">
      <c r="A1" s="60"/>
      <c r="B1" s="24"/>
      <c r="C1" s="27"/>
      <c r="D1" s="23"/>
      <c r="E1" s="22"/>
      <c r="F1" s="10"/>
      <c r="G1" s="5" t="s">
        <v>59</v>
      </c>
      <c r="H1" s="5" t="s">
        <v>61</v>
      </c>
      <c r="I1" s="5">
        <v>1</v>
      </c>
      <c r="J1" s="5"/>
      <c r="K1" s="5"/>
      <c r="L1" s="5"/>
      <c r="M1" s="5"/>
      <c r="N1" s="5"/>
      <c r="O1" s="5"/>
      <c r="P1" s="5"/>
      <c r="Q1" s="5"/>
      <c r="R1" s="5"/>
      <c r="S1" s="5"/>
      <c r="T1" s="5"/>
      <c r="U1" s="5"/>
      <c r="V1" s="5"/>
      <c r="W1" s="5"/>
      <c r="X1" s="5"/>
      <c r="Y1" s="5"/>
      <c r="Z1" s="5"/>
      <c r="AA1" s="24"/>
      <c r="AB1" s="40"/>
      <c r="AC1" s="27"/>
    </row>
    <row r="2" spans="1:41" s="7" customFormat="1" x14ac:dyDescent="0.2">
      <c r="A2" s="60"/>
      <c r="B2" s="24"/>
      <c r="C2" s="27"/>
      <c r="D2" s="23"/>
      <c r="E2" s="22"/>
      <c r="F2" s="10"/>
      <c r="G2" s="5" t="s">
        <v>60</v>
      </c>
      <c r="H2" s="5" t="s">
        <v>62</v>
      </c>
      <c r="I2" s="54">
        <v>150</v>
      </c>
      <c r="J2" s="54"/>
      <c r="K2" s="5"/>
      <c r="L2" s="5"/>
      <c r="M2" s="5"/>
      <c r="N2" s="5"/>
      <c r="O2" s="5"/>
      <c r="P2" s="5"/>
      <c r="Q2" s="4">
        <v>249700</v>
      </c>
      <c r="R2" s="5"/>
      <c r="S2" s="5"/>
      <c r="T2" s="5"/>
      <c r="U2" s="5"/>
      <c r="V2" s="5"/>
      <c r="W2" s="5"/>
      <c r="X2" s="5"/>
      <c r="Y2" s="5"/>
      <c r="Z2" s="5"/>
      <c r="AA2" s="24"/>
      <c r="AB2" s="40"/>
      <c r="AC2" s="27"/>
    </row>
    <row r="3" spans="1:41" s="7" customFormat="1" x14ac:dyDescent="0.2">
      <c r="A3" s="60"/>
      <c r="B3" s="24"/>
      <c r="C3" s="27"/>
      <c r="D3" s="23"/>
      <c r="E3" s="22"/>
      <c r="F3" s="10"/>
      <c r="G3" s="5"/>
      <c r="H3" s="5" t="s">
        <v>63</v>
      </c>
      <c r="I3" s="54">
        <v>30</v>
      </c>
      <c r="J3" s="54"/>
      <c r="K3" s="5"/>
      <c r="L3" s="5"/>
      <c r="M3" s="5"/>
      <c r="N3" s="5"/>
      <c r="O3" s="5"/>
      <c r="P3" s="5"/>
      <c r="Q3" s="5"/>
      <c r="R3" s="5"/>
      <c r="S3" s="5"/>
      <c r="T3" s="5"/>
      <c r="U3" s="5"/>
      <c r="V3" s="5"/>
      <c r="W3" s="5"/>
      <c r="X3" s="5"/>
      <c r="Y3" s="5"/>
      <c r="Z3" s="5"/>
      <c r="AA3" s="24"/>
      <c r="AB3" s="40"/>
      <c r="AC3" s="27"/>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40"/>
      <c r="AC4" s="27"/>
      <c r="AE4" s="53" t="s">
        <v>89</v>
      </c>
      <c r="AF4" s="53"/>
      <c r="AG4" s="53"/>
      <c r="AL4" t="s">
        <v>94</v>
      </c>
      <c r="AM4" t="s">
        <v>96</v>
      </c>
      <c r="AN4" t="s">
        <v>98</v>
      </c>
      <c r="AO4" t="s">
        <v>100</v>
      </c>
    </row>
    <row r="5" spans="1:41" ht="36" customHeight="1" x14ac:dyDescent="0.2">
      <c r="A5" s="61" t="s">
        <v>423</v>
      </c>
      <c r="B5" s="24" t="s">
        <v>155</v>
      </c>
      <c r="C5" s="30" t="s">
        <v>161</v>
      </c>
      <c r="E5" s="7" t="s">
        <v>153</v>
      </c>
      <c r="F5" s="7" t="s">
        <v>154</v>
      </c>
      <c r="G5" s="55" t="s">
        <v>51</v>
      </c>
      <c r="H5" s="55"/>
      <c r="I5" s="17"/>
      <c r="J5" s="55" t="s">
        <v>64</v>
      </c>
      <c r="K5" s="55"/>
      <c r="M5" s="55" t="s">
        <v>65</v>
      </c>
      <c r="N5" s="55"/>
      <c r="P5" s="55" t="s">
        <v>78</v>
      </c>
      <c r="Q5" s="55"/>
      <c r="S5" s="55" t="s">
        <v>83</v>
      </c>
      <c r="T5" s="55"/>
      <c r="V5" s="55" t="s">
        <v>84</v>
      </c>
      <c r="W5" s="55"/>
      <c r="Y5" s="55" t="s">
        <v>135</v>
      </c>
      <c r="Z5" s="55"/>
      <c r="AA5" s="24" t="s">
        <v>304</v>
      </c>
      <c r="AB5" s="40" t="s">
        <v>305</v>
      </c>
      <c r="AC5" s="27" t="s">
        <v>351</v>
      </c>
      <c r="AD5" s="36" t="s">
        <v>230</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40"/>
      <c r="AC6" s="27"/>
      <c r="AE6" s="19">
        <v>0</v>
      </c>
      <c r="AF6" s="19">
        <f>SUM(AE$6:AE6)</f>
        <v>0</v>
      </c>
      <c r="AG6" s="19">
        <v>2</v>
      </c>
      <c r="AL6" t="s">
        <v>94</v>
      </c>
      <c r="AM6" t="s">
        <v>97</v>
      </c>
      <c r="AN6" t="s">
        <v>98</v>
      </c>
      <c r="AO6" t="s">
        <v>102</v>
      </c>
    </row>
    <row r="7" spans="1:41" ht="34" x14ac:dyDescent="0.2">
      <c r="A7" s="61" t="s">
        <v>424</v>
      </c>
      <c r="B7" s="38" t="s">
        <v>156</v>
      </c>
      <c r="C7" s="28" t="s">
        <v>174</v>
      </c>
      <c r="F7" s="10" t="s">
        <v>67</v>
      </c>
      <c r="G7" s="4">
        <v>50000</v>
      </c>
      <c r="H7" s="4">
        <v>250000</v>
      </c>
      <c r="J7" s="4">
        <f>G13</f>
        <v>49950</v>
      </c>
      <c r="K7" s="4">
        <f>H13</f>
        <v>249900</v>
      </c>
      <c r="M7" s="4">
        <f>J13</f>
        <v>49888</v>
      </c>
      <c r="N7" s="4">
        <f>K13</f>
        <v>249790</v>
      </c>
      <c r="P7" s="4">
        <f>M13</f>
        <v>49830</v>
      </c>
      <c r="Q7" s="4">
        <f>N13</f>
        <v>249696</v>
      </c>
      <c r="S7" s="4">
        <f>P13</f>
        <v>49760</v>
      </c>
      <c r="T7" s="4">
        <f>Q13</f>
        <v>249504</v>
      </c>
      <c r="V7" s="4">
        <f>S13</f>
        <v>49660</v>
      </c>
      <c r="W7" s="4">
        <f>T13</f>
        <v>249465</v>
      </c>
      <c r="Y7" s="4">
        <f>V7-V9</f>
        <v>49562</v>
      </c>
      <c r="Z7" s="4">
        <f>MAX(W7-W9,0)</f>
        <v>249360</v>
      </c>
      <c r="AA7" s="38" t="s">
        <v>448</v>
      </c>
      <c r="AB7" s="42" t="s">
        <v>368</v>
      </c>
      <c r="AC7" s="43" t="s">
        <v>341</v>
      </c>
      <c r="AE7" s="19">
        <v>0.01</v>
      </c>
      <c r="AF7" s="19">
        <f>SUM(AE$6:AE7)</f>
        <v>0.01</v>
      </c>
      <c r="AG7" s="19">
        <v>2</v>
      </c>
      <c r="AL7" t="s">
        <v>94</v>
      </c>
      <c r="AM7" t="s">
        <v>97</v>
      </c>
      <c r="AN7" t="s">
        <v>99</v>
      </c>
      <c r="AO7" t="s">
        <v>103</v>
      </c>
    </row>
    <row r="8" spans="1:41" ht="17" x14ac:dyDescent="0.2">
      <c r="A8" s="61" t="s">
        <v>424</v>
      </c>
      <c r="B8" s="38" t="s">
        <v>157</v>
      </c>
      <c r="C8" s="31" t="s">
        <v>162</v>
      </c>
      <c r="F8" s="10" t="s">
        <v>114</v>
      </c>
      <c r="G8" s="4">
        <f>G7</f>
        <v>50000</v>
      </c>
      <c r="H8" s="4">
        <f>H7</f>
        <v>250000</v>
      </c>
      <c r="J8" s="4">
        <f>J7</f>
        <v>49950</v>
      </c>
      <c r="K8" s="4">
        <f>H8-H9+H12</f>
        <v>249985</v>
      </c>
      <c r="M8" s="4">
        <f>M7</f>
        <v>49888</v>
      </c>
      <c r="N8" s="4">
        <f>K8-K9+K12</f>
        <v>249955</v>
      </c>
      <c r="P8" s="4">
        <f>P7</f>
        <v>49830</v>
      </c>
      <c r="Q8" s="4">
        <f>N8-N9+N12</f>
        <v>249953</v>
      </c>
      <c r="S8" s="4">
        <f>S7</f>
        <v>49760</v>
      </c>
      <c r="T8" s="4">
        <f>Q8-Q9+Q12</f>
        <v>249804</v>
      </c>
      <c r="V8" s="4">
        <f>V7</f>
        <v>49660</v>
      </c>
      <c r="W8" s="4">
        <f>T8-T9+T12</f>
        <v>249857</v>
      </c>
      <c r="Y8" s="4">
        <f>Y7</f>
        <v>49562</v>
      </c>
      <c r="Z8" s="4">
        <f>W8-W9+W12</f>
        <v>249801</v>
      </c>
      <c r="AA8" s="38" t="s">
        <v>449</v>
      </c>
      <c r="AB8" s="42" t="s">
        <v>369</v>
      </c>
      <c r="AC8" s="43" t="s">
        <v>341</v>
      </c>
      <c r="AE8" s="19">
        <v>0.05</v>
      </c>
      <c r="AF8" s="19">
        <f>SUM(AE$6:AE8)</f>
        <v>6.0000000000000005E-2</v>
      </c>
      <c r="AG8" s="19">
        <v>2</v>
      </c>
      <c r="AL8" t="s">
        <v>95</v>
      </c>
      <c r="AM8" t="s">
        <v>96</v>
      </c>
      <c r="AN8" t="s">
        <v>99</v>
      </c>
      <c r="AO8" t="s">
        <v>104</v>
      </c>
    </row>
    <row r="9" spans="1:41" ht="34" x14ac:dyDescent="0.2">
      <c r="A9" s="61" t="s">
        <v>424</v>
      </c>
      <c r="B9" s="38" t="s">
        <v>222</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450</v>
      </c>
      <c r="AB9" s="42" t="s">
        <v>367</v>
      </c>
      <c r="AC9" s="43" t="s">
        <v>341</v>
      </c>
      <c r="AE9" s="19">
        <v>0.12</v>
      </c>
      <c r="AF9" s="19">
        <f>SUM(AE$6:AE9)</f>
        <v>0.18</v>
      </c>
      <c r="AG9" s="19">
        <v>2</v>
      </c>
      <c r="AL9" t="s">
        <v>95</v>
      </c>
      <c r="AM9" t="s">
        <v>97</v>
      </c>
      <c r="AN9" t="s">
        <v>99</v>
      </c>
      <c r="AO9" t="s">
        <v>105</v>
      </c>
    </row>
    <row r="10" spans="1:41" ht="85" x14ac:dyDescent="0.2">
      <c r="A10" s="61" t="s">
        <v>424</v>
      </c>
      <c r="B10" s="38" t="s">
        <v>221</v>
      </c>
      <c r="C10" s="28" t="s">
        <v>174</v>
      </c>
      <c r="F10" s="10" t="s">
        <v>145</v>
      </c>
      <c r="H10" s="4">
        <f>-MIN(H7-H9,0)</f>
        <v>0</v>
      </c>
      <c r="K10" s="4">
        <f>-MIN(K7-K9,0)</f>
        <v>0</v>
      </c>
      <c r="N10" s="4">
        <f>-MIN(N7-N9,0)</f>
        <v>0</v>
      </c>
      <c r="Q10" s="4">
        <f>-MIN(Q7-Q9,0)</f>
        <v>0</v>
      </c>
      <c r="T10" s="4">
        <f>-MIN(T7-T9,0)</f>
        <v>0</v>
      </c>
      <c r="W10" s="4">
        <f>-MIN(W7-W9,0)</f>
        <v>0</v>
      </c>
      <c r="Z10" s="4">
        <f>-MIN(Z7-Z9,0)</f>
        <v>0</v>
      </c>
      <c r="AA10" s="38" t="s">
        <v>280</v>
      </c>
      <c r="AB10" s="42" t="s">
        <v>295</v>
      </c>
      <c r="AC10" s="43" t="s">
        <v>342</v>
      </c>
      <c r="AE10" s="19">
        <v>0.2</v>
      </c>
      <c r="AF10" s="19">
        <f>SUM(AE$6:AE10)</f>
        <v>0.38</v>
      </c>
      <c r="AG10" s="19">
        <v>20</v>
      </c>
    </row>
    <row r="11" spans="1:41" ht="51" x14ac:dyDescent="0.2">
      <c r="A11" s="61" t="s">
        <v>424</v>
      </c>
      <c r="B11" s="38" t="s">
        <v>219</v>
      </c>
      <c r="C11" s="28" t="s">
        <v>174</v>
      </c>
      <c r="F11" s="10" t="s">
        <v>113</v>
      </c>
      <c r="H11" s="4">
        <f>MAX(H10-H26,0)</f>
        <v>0</v>
      </c>
      <c r="K11" s="4">
        <f>MAX(K10-K26,0)</f>
        <v>0</v>
      </c>
      <c r="N11" s="4">
        <f>MAX(N10-N26,0)</f>
        <v>0</v>
      </c>
      <c r="Q11" s="4">
        <f>MAX(Q10-Q26,0)</f>
        <v>0</v>
      </c>
      <c r="T11" s="4">
        <f>MAX(T10-T26,0)</f>
        <v>0</v>
      </c>
      <c r="W11" s="4">
        <f>MAX(W10-W26,0)</f>
        <v>0</v>
      </c>
      <c r="Z11" s="4">
        <f>MAX(Z10-Z26,0)</f>
        <v>0</v>
      </c>
      <c r="AA11" s="38" t="s">
        <v>281</v>
      </c>
      <c r="AB11" s="42" t="s">
        <v>296</v>
      </c>
      <c r="AC11" s="43" t="s">
        <v>342</v>
      </c>
      <c r="AE11" s="19">
        <v>0.2</v>
      </c>
      <c r="AF11" s="19">
        <f>SUM(AE$6:AE11)</f>
        <v>0.58000000000000007</v>
      </c>
      <c r="AG11" s="19">
        <v>20</v>
      </c>
    </row>
    <row r="12" spans="1:41" ht="34" x14ac:dyDescent="0.2">
      <c r="A12" s="61" t="s">
        <v>424</v>
      </c>
      <c r="B12" s="38" t="s">
        <v>220</v>
      </c>
      <c r="C12" s="31" t="s">
        <v>162</v>
      </c>
      <c r="F12" s="10" t="s">
        <v>66</v>
      </c>
      <c r="H12" s="4">
        <v>85</v>
      </c>
      <c r="K12" s="4">
        <v>80</v>
      </c>
      <c r="N12" s="4">
        <v>92</v>
      </c>
      <c r="Q12" s="4">
        <v>43</v>
      </c>
      <c r="T12" s="4">
        <v>92</v>
      </c>
      <c r="W12" s="4">
        <v>49</v>
      </c>
      <c r="Z12" s="4">
        <v>110</v>
      </c>
      <c r="AA12" s="38" t="s">
        <v>279</v>
      </c>
      <c r="AB12" s="42" t="s">
        <v>297</v>
      </c>
      <c r="AC12" s="43" t="s">
        <v>341</v>
      </c>
      <c r="AE12" s="19">
        <v>0.36</v>
      </c>
      <c r="AF12" s="19">
        <f>SUM(AE$6:AE12)</f>
        <v>0.94000000000000006</v>
      </c>
      <c r="AG12" s="19">
        <v>20</v>
      </c>
    </row>
    <row r="13" spans="1:41" ht="17" customHeight="1" x14ac:dyDescent="0.2">
      <c r="A13" s="61" t="s">
        <v>424</v>
      </c>
      <c r="B13" s="38" t="s">
        <v>158</v>
      </c>
      <c r="C13" s="28" t="s">
        <v>174</v>
      </c>
      <c r="F13" s="10" t="s">
        <v>143</v>
      </c>
      <c r="G13" s="4">
        <f>MAX(G7-G9,0)</f>
        <v>49950</v>
      </c>
      <c r="H13" s="4">
        <f>MAX(H7-H9,0)</f>
        <v>249900</v>
      </c>
      <c r="J13" s="4">
        <f>MAX(J7-J9,0)</f>
        <v>49888</v>
      </c>
      <c r="K13" s="4">
        <f>MAX(K7-K9,0)</f>
        <v>249790</v>
      </c>
      <c r="M13" s="4">
        <f>MAX(M7-M9,0)</f>
        <v>49830</v>
      </c>
      <c r="N13" s="4">
        <f>MAX(N7-N9,0)</f>
        <v>249696</v>
      </c>
      <c r="P13" s="4">
        <f>MAX(P7-P9,0)</f>
        <v>49760</v>
      </c>
      <c r="Q13" s="4">
        <f>MAX(Q7-Q9,0)</f>
        <v>249504</v>
      </c>
      <c r="S13" s="4">
        <f>MAX(S7-S9,0)</f>
        <v>49660</v>
      </c>
      <c r="T13" s="4">
        <f>MAX(T7-T9,0)</f>
        <v>249465</v>
      </c>
      <c r="V13" s="4">
        <f>MAX(V7-V9,0)</f>
        <v>49562</v>
      </c>
      <c r="W13" s="4">
        <f>MAX(W7-W9,0)</f>
        <v>249360</v>
      </c>
      <c r="Y13" s="4">
        <f>MAX(Y7-Y9,0)</f>
        <v>49464</v>
      </c>
      <c r="Z13" s="4">
        <f>MAX(Z7-Z9,0)</f>
        <v>249244</v>
      </c>
      <c r="AA13" s="38" t="s">
        <v>451</v>
      </c>
      <c r="AB13" s="42" t="s">
        <v>293</v>
      </c>
      <c r="AC13" s="43" t="s">
        <v>341</v>
      </c>
      <c r="AE13" s="19"/>
      <c r="AF13" s="19"/>
      <c r="AG13" s="19"/>
    </row>
    <row r="14" spans="1:41" ht="32" customHeight="1" x14ac:dyDescent="0.2">
      <c r="A14" s="61" t="s">
        <v>424</v>
      </c>
      <c r="B14" s="38" t="s">
        <v>223</v>
      </c>
      <c r="C14" s="31" t="s">
        <v>162</v>
      </c>
      <c r="F14" s="10" t="s">
        <v>54</v>
      </c>
      <c r="G14" s="4">
        <v>0.7</v>
      </c>
      <c r="J14" s="4">
        <v>0.7</v>
      </c>
      <c r="M14" s="4">
        <v>0.7</v>
      </c>
      <c r="P14" s="4">
        <v>0.7</v>
      </c>
      <c r="S14" s="4">
        <v>0.7</v>
      </c>
      <c r="V14" s="4">
        <v>0.7</v>
      </c>
      <c r="Y14" s="4">
        <v>0.7</v>
      </c>
      <c r="AA14" s="38" t="s">
        <v>318</v>
      </c>
      <c r="AB14" s="42" t="s">
        <v>298</v>
      </c>
      <c r="AC14" s="43" t="s">
        <v>352</v>
      </c>
      <c r="AE14" s="19">
        <v>0.6</v>
      </c>
      <c r="AF14" s="19">
        <f>SUM(AE$6:AE14)</f>
        <v>1.54</v>
      </c>
      <c r="AG14" s="19">
        <v>20</v>
      </c>
    </row>
    <row r="15" spans="1:41" ht="32" customHeight="1" x14ac:dyDescent="0.2">
      <c r="A15" s="61" t="s">
        <v>424</v>
      </c>
      <c r="B15" s="38" t="s">
        <v>244</v>
      </c>
      <c r="C15" s="31" t="s">
        <v>162</v>
      </c>
      <c r="E15" s="22" t="s">
        <v>243</v>
      </c>
      <c r="F15" s="10" t="s">
        <v>242</v>
      </c>
      <c r="G15" s="4">
        <v>5</v>
      </c>
      <c r="H15" s="4">
        <v>10</v>
      </c>
      <c r="J15" s="4">
        <v>5.0999999999999996</v>
      </c>
      <c r="K15" s="4">
        <v>9.8000000000000007</v>
      </c>
      <c r="M15" s="4">
        <v>5.2</v>
      </c>
      <c r="N15" s="4">
        <v>9.8000000000000007</v>
      </c>
      <c r="P15" s="4">
        <v>4.7</v>
      </c>
      <c r="Q15" s="4">
        <v>9.9</v>
      </c>
      <c r="S15" s="4">
        <v>5.2</v>
      </c>
      <c r="T15" s="4">
        <v>10.1</v>
      </c>
      <c r="V15" s="4">
        <v>4.0999999999999996</v>
      </c>
      <c r="W15" s="4">
        <v>11</v>
      </c>
      <c r="Y15" s="4">
        <v>5.0999999999999996</v>
      </c>
      <c r="Z15" s="4">
        <v>9</v>
      </c>
      <c r="AA15" s="38" t="s">
        <v>452</v>
      </c>
      <c r="AB15" s="42" t="s">
        <v>370</v>
      </c>
      <c r="AC15" s="43" t="s">
        <v>353</v>
      </c>
      <c r="AE15" s="19"/>
      <c r="AF15" s="19"/>
      <c r="AG15" s="19"/>
    </row>
    <row r="16" spans="1:41" ht="32" customHeight="1" x14ac:dyDescent="0.2">
      <c r="A16" s="61" t="s">
        <v>424</v>
      </c>
      <c r="B16" s="38" t="s">
        <v>283</v>
      </c>
      <c r="C16" s="31" t="s">
        <v>162</v>
      </c>
      <c r="G16" s="4">
        <f>G15*0.187</f>
        <v>0.93500000000000005</v>
      </c>
      <c r="H16" s="4">
        <f>H15*0.192</f>
        <v>1.92</v>
      </c>
      <c r="J16" s="4">
        <f>J15*0.187</f>
        <v>0.95369999999999988</v>
      </c>
      <c r="K16" s="4">
        <f>K15*0.192</f>
        <v>1.8816000000000002</v>
      </c>
      <c r="M16" s="4">
        <f>M15*0.187</f>
        <v>0.97240000000000004</v>
      </c>
      <c r="N16" s="4">
        <f>N15*0.192</f>
        <v>1.8816000000000002</v>
      </c>
      <c r="P16" s="4">
        <f>P15*0.187</f>
        <v>0.87890000000000001</v>
      </c>
      <c r="Q16" s="4">
        <f>Q15*0.192</f>
        <v>1.9008</v>
      </c>
      <c r="S16" s="4">
        <f>S15*0.187</f>
        <v>0.97240000000000004</v>
      </c>
      <c r="T16" s="4">
        <f>T15*0.192</f>
        <v>1.9392</v>
      </c>
      <c r="V16" s="4">
        <f>V15*0.187</f>
        <v>0.76669999999999994</v>
      </c>
      <c r="W16" s="4">
        <f>W15*0.192</f>
        <v>2.1120000000000001</v>
      </c>
      <c r="Y16" s="4">
        <f>Y15*0.187</f>
        <v>0.95369999999999988</v>
      </c>
      <c r="Z16" s="4">
        <f>Z15*0.192</f>
        <v>1.728</v>
      </c>
      <c r="AA16" s="38" t="s">
        <v>453</v>
      </c>
      <c r="AB16" s="42" t="s">
        <v>371</v>
      </c>
      <c r="AC16" s="43" t="s">
        <v>353</v>
      </c>
      <c r="AE16" s="19"/>
      <c r="AF16" s="19"/>
      <c r="AG16" s="19"/>
    </row>
    <row r="17" spans="1:33" ht="136" x14ac:dyDescent="0.2">
      <c r="A17" s="61" t="s">
        <v>424</v>
      </c>
      <c r="B17" s="38" t="s">
        <v>417</v>
      </c>
      <c r="C17" s="31" t="s">
        <v>162</v>
      </c>
      <c r="F17" s="10" t="s">
        <v>225</v>
      </c>
      <c r="G17" s="4">
        <v>0.33057704999999998</v>
      </c>
      <c r="H17" s="4">
        <v>0.37800893000000002</v>
      </c>
      <c r="AA17" s="38" t="s">
        <v>419</v>
      </c>
      <c r="AB17" s="42" t="s">
        <v>421</v>
      </c>
      <c r="AC17" s="43" t="s">
        <v>354</v>
      </c>
      <c r="AE17" s="19">
        <v>1.8</v>
      </c>
      <c r="AF17" s="19">
        <f>SUM(AE$6:AE17)</f>
        <v>3.34</v>
      </c>
      <c r="AG17" s="19">
        <v>20</v>
      </c>
    </row>
    <row r="18" spans="1:33" ht="102" x14ac:dyDescent="0.2">
      <c r="A18" s="61" t="s">
        <v>424</v>
      </c>
      <c r="B18" s="38" t="s">
        <v>418</v>
      </c>
      <c r="C18" s="31" t="s">
        <v>162</v>
      </c>
      <c r="E18" s="52" t="s">
        <v>118</v>
      </c>
      <c r="F18" s="10" t="s">
        <v>117</v>
      </c>
      <c r="G18" s="4">
        <v>0.43057705000000002</v>
      </c>
      <c r="H18" s="4">
        <v>0.47800893</v>
      </c>
      <c r="AA18" s="38" t="s">
        <v>420</v>
      </c>
      <c r="AB18" s="42" t="s">
        <v>422</v>
      </c>
      <c r="AC18" s="43" t="s">
        <v>354</v>
      </c>
      <c r="AE18" s="19">
        <v>3</v>
      </c>
      <c r="AF18" s="19">
        <f>SUM(AE$6:AE18)</f>
        <v>6.34</v>
      </c>
      <c r="AG18" s="19">
        <v>20</v>
      </c>
    </row>
    <row r="19" spans="1:33" ht="136" x14ac:dyDescent="0.2">
      <c r="A19" s="61" t="s">
        <v>424</v>
      </c>
      <c r="B19" s="38" t="s">
        <v>224</v>
      </c>
      <c r="C19" s="31" t="s">
        <v>162</v>
      </c>
      <c r="E19" s="52"/>
      <c r="F19" s="10" t="s">
        <v>138</v>
      </c>
      <c r="G19" s="4">
        <v>0.67</v>
      </c>
      <c r="AA19" s="39" t="s">
        <v>282</v>
      </c>
      <c r="AB19" s="42" t="s">
        <v>294</v>
      </c>
      <c r="AC19" s="43" t="s">
        <v>354</v>
      </c>
      <c r="AE19" s="19">
        <v>6</v>
      </c>
      <c r="AF19" s="19">
        <f>SUM(AE$6:AE19)</f>
        <v>12.34</v>
      </c>
      <c r="AG19" s="19">
        <v>20</v>
      </c>
    </row>
    <row r="20" spans="1:33" ht="34" x14ac:dyDescent="0.2">
      <c r="A20" s="61" t="s">
        <v>424</v>
      </c>
      <c r="B20" s="38" t="s">
        <v>226</v>
      </c>
      <c r="C20" s="31" t="s">
        <v>162</v>
      </c>
      <c r="F20" s="10" t="s">
        <v>116</v>
      </c>
      <c r="G20" s="4">
        <v>150</v>
      </c>
      <c r="H20" s="4">
        <v>100</v>
      </c>
      <c r="AA20" s="38" t="s">
        <v>454</v>
      </c>
      <c r="AB20" s="42" t="s">
        <v>480</v>
      </c>
      <c r="AC20" s="43" t="s">
        <v>344</v>
      </c>
      <c r="AE20" s="19">
        <v>10</v>
      </c>
      <c r="AF20" s="19">
        <f>SUM(AE$6:AE20)</f>
        <v>22.34</v>
      </c>
      <c r="AG20" s="19">
        <v>20</v>
      </c>
    </row>
    <row r="21" spans="1:33" ht="51" x14ac:dyDescent="0.2">
      <c r="A21" s="61" t="s">
        <v>424</v>
      </c>
      <c r="B21" s="38" t="s">
        <v>228</v>
      </c>
      <c r="C21" s="31" t="s">
        <v>162</v>
      </c>
      <c r="F21" s="10" t="s">
        <v>173</v>
      </c>
      <c r="G21" s="4">
        <v>0.3</v>
      </c>
      <c r="H21" s="4">
        <v>0.25</v>
      </c>
      <c r="AA21" s="38" t="s">
        <v>478</v>
      </c>
      <c r="AB21" s="42" t="s">
        <v>481</v>
      </c>
      <c r="AC21" s="44" t="s">
        <v>355</v>
      </c>
      <c r="AE21" s="19"/>
      <c r="AF21" s="19"/>
      <c r="AG21" s="19"/>
    </row>
    <row r="22" spans="1:33" ht="34" x14ac:dyDescent="0.2">
      <c r="A22" s="61" t="s">
        <v>424</v>
      </c>
      <c r="B22" s="38" t="s">
        <v>275</v>
      </c>
      <c r="C22" s="32" t="s">
        <v>174</v>
      </c>
      <c r="F22" s="10" t="s">
        <v>115</v>
      </c>
      <c r="G22" s="4">
        <f>G$20*$G$17</f>
        <v>49.586557499999998</v>
      </c>
      <c r="H22" s="4">
        <f>H$20*$H$17</f>
        <v>37.800893000000002</v>
      </c>
      <c r="AA22" s="38" t="s">
        <v>475</v>
      </c>
      <c r="AB22" s="42" t="s">
        <v>476</v>
      </c>
      <c r="AC22" s="43" t="s">
        <v>431</v>
      </c>
      <c r="AE22" s="19">
        <v>12</v>
      </c>
      <c r="AF22" s="19">
        <f>SUM(AE$6:AE22)</f>
        <v>34.340000000000003</v>
      </c>
      <c r="AG22" s="19">
        <v>20</v>
      </c>
    </row>
    <row r="23" spans="1:33" ht="34" x14ac:dyDescent="0.2">
      <c r="A23" s="61" t="s">
        <v>424</v>
      </c>
      <c r="B23" s="38" t="s">
        <v>227</v>
      </c>
      <c r="C23" s="32" t="s">
        <v>174</v>
      </c>
      <c r="F23" s="10" t="s">
        <v>175</v>
      </c>
      <c r="G23" s="4">
        <f>G20-G22</f>
        <v>100.4134425</v>
      </c>
      <c r="H23" s="4">
        <f>H20-H22</f>
        <v>62.199106999999998</v>
      </c>
      <c r="AA23" s="38" t="s">
        <v>477</v>
      </c>
      <c r="AB23" s="42" t="s">
        <v>479</v>
      </c>
      <c r="AC23" s="43" t="s">
        <v>344</v>
      </c>
      <c r="AE23" s="19">
        <v>13.5</v>
      </c>
      <c r="AF23" s="19">
        <f>SUM(AE$6:AE23)</f>
        <v>47.84</v>
      </c>
      <c r="AG23" s="19">
        <v>20</v>
      </c>
    </row>
    <row r="24" spans="1:33" x14ac:dyDescent="0.2">
      <c r="AB24" s="40"/>
      <c r="AC24" s="43"/>
      <c r="AE24" s="19">
        <v>12</v>
      </c>
      <c r="AF24" s="19">
        <f>SUM(AE$6:AE24)</f>
        <v>59.84</v>
      </c>
      <c r="AG24" s="19">
        <v>20</v>
      </c>
    </row>
    <row r="25" spans="1:33" ht="17" x14ac:dyDescent="0.2">
      <c r="A25" s="61" t="s">
        <v>424</v>
      </c>
      <c r="B25" s="38" t="s">
        <v>159</v>
      </c>
      <c r="C25" s="31" t="s">
        <v>162</v>
      </c>
      <c r="F25" s="10" t="s">
        <v>52</v>
      </c>
      <c r="G25" s="4">
        <v>5000</v>
      </c>
      <c r="H25" s="4">
        <v>50000</v>
      </c>
      <c r="J25" s="4">
        <v>5000</v>
      </c>
      <c r="K25" s="4">
        <v>50000</v>
      </c>
      <c r="M25" s="4">
        <v>5500</v>
      </c>
      <c r="N25" s="4">
        <v>50000</v>
      </c>
      <c r="P25" s="4">
        <v>6000</v>
      </c>
      <c r="Q25" s="4">
        <v>50000</v>
      </c>
      <c r="S25" s="4">
        <v>6500</v>
      </c>
      <c r="T25" s="4">
        <v>49000</v>
      </c>
      <c r="V25" s="4">
        <v>7200</v>
      </c>
      <c r="W25" s="4">
        <v>49500</v>
      </c>
      <c r="Y25" s="4">
        <v>7200</v>
      </c>
      <c r="Z25" s="4">
        <v>49500</v>
      </c>
      <c r="AA25" s="38" t="s">
        <v>426</v>
      </c>
      <c r="AB25" s="42" t="s">
        <v>299</v>
      </c>
      <c r="AC25" s="43" t="s">
        <v>341</v>
      </c>
      <c r="AE25" s="19">
        <v>10</v>
      </c>
      <c r="AF25" s="19">
        <f>SUM(AE$6:AE25)</f>
        <v>69.84</v>
      </c>
      <c r="AG25" s="19">
        <v>20</v>
      </c>
    </row>
    <row r="26" spans="1:33" ht="34" x14ac:dyDescent="0.2">
      <c r="A26" s="61" t="s">
        <v>424</v>
      </c>
      <c r="B26" s="38" t="s">
        <v>274</v>
      </c>
      <c r="C26" s="33" t="s">
        <v>163</v>
      </c>
      <c r="F26" s="14" t="s">
        <v>108</v>
      </c>
      <c r="H26" s="4">
        <f>MAX(H$25-H$13, 0)</f>
        <v>0</v>
      </c>
      <c r="K26" s="4">
        <f>MAX(K$25-K$13, 0)</f>
        <v>0</v>
      </c>
      <c r="N26" s="4">
        <f>MAX(N$25-N$13, 0)</f>
        <v>0</v>
      </c>
      <c r="Q26" s="4">
        <f>MAX(Q$25-Q$13, 0)</f>
        <v>0</v>
      </c>
      <c r="T26" s="4">
        <f>MAX(T$25-T$13, 0)</f>
        <v>0</v>
      </c>
      <c r="W26" s="4">
        <f>MAX(W$25-W$13, 0)</f>
        <v>0</v>
      </c>
      <c r="Z26" s="4">
        <f>MAX(Z$25-Z$13, 0)</f>
        <v>0</v>
      </c>
      <c r="AA26" s="38" t="s">
        <v>425</v>
      </c>
      <c r="AB26" s="42" t="s">
        <v>300</v>
      </c>
      <c r="AC26" s="43" t="s">
        <v>342</v>
      </c>
      <c r="AE26" s="19">
        <v>6</v>
      </c>
      <c r="AF26" s="19">
        <f>SUM(AE$6:AE26)</f>
        <v>75.84</v>
      </c>
      <c r="AG26" s="19">
        <v>20</v>
      </c>
    </row>
    <row r="27" spans="1:33" ht="34" x14ac:dyDescent="0.2">
      <c r="A27" s="61" t="s">
        <v>424</v>
      </c>
      <c r="B27" s="38" t="s">
        <v>160</v>
      </c>
      <c r="C27" s="33" t="s">
        <v>163</v>
      </c>
      <c r="F27" s="14" t="s">
        <v>144</v>
      </c>
      <c r="G27" s="4">
        <f>MIN(G13,G25)</f>
        <v>5000</v>
      </c>
      <c r="H27" s="4">
        <f>MIN(H13,H25)</f>
        <v>50000</v>
      </c>
      <c r="J27" s="4">
        <f>MIN(J13,J25)</f>
        <v>5000</v>
      </c>
      <c r="K27" s="4">
        <f>MIN(K13,K25)</f>
        <v>50000</v>
      </c>
      <c r="M27" s="4">
        <f>MIN(M13,M25)</f>
        <v>5500</v>
      </c>
      <c r="N27" s="4">
        <f>MIN(N13,N25)</f>
        <v>50000</v>
      </c>
      <c r="P27" s="4">
        <f>MIN(P13,P25)</f>
        <v>6000</v>
      </c>
      <c r="Q27" s="4">
        <f>MIN(Q13,Q25)</f>
        <v>50000</v>
      </c>
      <c r="S27" s="4">
        <f>MIN(S13,S25)</f>
        <v>6500</v>
      </c>
      <c r="T27" s="4">
        <f>MIN(T13,T25)</f>
        <v>49000</v>
      </c>
      <c r="V27" s="4">
        <f>MIN(V13,V25)</f>
        <v>7200</v>
      </c>
      <c r="W27" s="4">
        <f>MIN(W13,W25)</f>
        <v>49500</v>
      </c>
      <c r="Y27" s="4">
        <f>MIN(Y13,Y25)</f>
        <v>7200</v>
      </c>
      <c r="Z27" s="4">
        <f>MIN(Z13,Z25)</f>
        <v>49500</v>
      </c>
      <c r="AA27" s="38" t="s">
        <v>427</v>
      </c>
      <c r="AB27" s="42" t="s">
        <v>301</v>
      </c>
      <c r="AC27" s="43" t="s">
        <v>341</v>
      </c>
      <c r="AE27" s="19">
        <v>3</v>
      </c>
      <c r="AF27" s="19">
        <f>SUM(AE$6:AE27)</f>
        <v>78.84</v>
      </c>
      <c r="AG27" s="19">
        <v>20</v>
      </c>
    </row>
    <row r="28" spans="1:33" ht="51" x14ac:dyDescent="0.2">
      <c r="F28" s="15" t="s">
        <v>169</v>
      </c>
      <c r="G28" s="8"/>
      <c r="H28" s="8"/>
      <c r="J28" s="8"/>
      <c r="K28" s="8"/>
      <c r="M28" s="8"/>
      <c r="N28" s="8"/>
      <c r="P28" s="8"/>
      <c r="Q28" s="8"/>
      <c r="S28" s="8"/>
      <c r="T28" s="8"/>
      <c r="V28" s="8"/>
      <c r="W28" s="8"/>
      <c r="Y28" s="8"/>
      <c r="Z28" s="8"/>
      <c r="AB28" s="40"/>
      <c r="AC28" s="43"/>
      <c r="AE28" s="19">
        <v>1.8</v>
      </c>
      <c r="AF28" s="19">
        <f>SUM(AE$6:AE28)</f>
        <v>80.64</v>
      </c>
      <c r="AG28" s="19">
        <v>20</v>
      </c>
    </row>
    <row r="29" spans="1:33" ht="73" customHeight="1" x14ac:dyDescent="0.2">
      <c r="A29" s="61" t="s">
        <v>424</v>
      </c>
      <c r="B29" s="38" t="s">
        <v>273</v>
      </c>
      <c r="C29" s="31" t="s">
        <v>162</v>
      </c>
      <c r="E29" s="52" t="s">
        <v>170</v>
      </c>
      <c r="F29" s="25" t="s">
        <v>68</v>
      </c>
      <c r="G29" s="4">
        <v>0.3</v>
      </c>
      <c r="H29" s="4">
        <v>0.92</v>
      </c>
      <c r="AA29" s="38" t="s">
        <v>321</v>
      </c>
      <c r="AB29" s="42" t="s">
        <v>322</v>
      </c>
      <c r="AC29" s="43" t="s">
        <v>345</v>
      </c>
    </row>
    <row r="30" spans="1:33" ht="73" customHeight="1" x14ac:dyDescent="0.2">
      <c r="A30" s="61" t="s">
        <v>424</v>
      </c>
      <c r="B30" s="38" t="s">
        <v>229</v>
      </c>
      <c r="C30" s="32" t="s">
        <v>174</v>
      </c>
      <c r="E30" s="52"/>
      <c r="F30" s="25" t="s">
        <v>171</v>
      </c>
      <c r="G30" s="4">
        <f>0.00157</f>
        <v>1.57E-3</v>
      </c>
      <c r="H30" s="4">
        <f>G30</f>
        <v>1.57E-3</v>
      </c>
      <c r="J30" s="4">
        <f>G29/G20</f>
        <v>2E-3</v>
      </c>
      <c r="AA30" s="38" t="s">
        <v>432</v>
      </c>
      <c r="AB30" s="42" t="s">
        <v>302</v>
      </c>
      <c r="AC30" s="43" t="s">
        <v>356</v>
      </c>
    </row>
    <row r="31" spans="1:33" ht="18" customHeight="1" x14ac:dyDescent="0.2">
      <c r="E31" s="26"/>
      <c r="AB31" s="40"/>
      <c r="AC31" s="43"/>
    </row>
    <row r="32" spans="1:33" ht="17" x14ac:dyDescent="0.2">
      <c r="F32" s="15" t="s">
        <v>56</v>
      </c>
      <c r="G32" s="8"/>
      <c r="H32" s="8"/>
      <c r="J32" s="8"/>
      <c r="K32" s="8"/>
      <c r="M32" s="8"/>
      <c r="N32" s="8"/>
      <c r="P32" s="8"/>
      <c r="Q32" s="8"/>
      <c r="S32" s="8"/>
      <c r="T32" s="8"/>
      <c r="V32" s="8"/>
      <c r="W32" s="8"/>
      <c r="Y32" s="8"/>
      <c r="Z32" s="8"/>
      <c r="AB32" s="40"/>
      <c r="AC32" s="43"/>
    </row>
    <row r="33" spans="1:30" ht="51" x14ac:dyDescent="0.2">
      <c r="A33" s="61" t="s">
        <v>424</v>
      </c>
      <c r="B33" s="38" t="s">
        <v>168</v>
      </c>
      <c r="C33" s="31" t="s">
        <v>162</v>
      </c>
      <c r="F33" s="10" t="s">
        <v>53</v>
      </c>
      <c r="G33" s="4">
        <v>2000000</v>
      </c>
      <c r="J33" s="4">
        <v>2050000</v>
      </c>
      <c r="M33" s="4">
        <v>2110000</v>
      </c>
      <c r="P33" s="4">
        <v>2210000</v>
      </c>
      <c r="S33" s="4">
        <v>3000000</v>
      </c>
      <c r="V33" s="4">
        <v>25000000</v>
      </c>
      <c r="Y33" s="4">
        <v>2520000</v>
      </c>
      <c r="AA33" s="38" t="s">
        <v>287</v>
      </c>
      <c r="AB33" s="42" t="s">
        <v>303</v>
      </c>
      <c r="AC33" s="43" t="s">
        <v>346</v>
      </c>
    </row>
    <row r="34" spans="1:30" x14ac:dyDescent="0.2">
      <c r="AB34" s="40"/>
      <c r="AC34" s="43"/>
    </row>
    <row r="35" spans="1:30" ht="34" x14ac:dyDescent="0.2">
      <c r="F35" s="11" t="s">
        <v>57</v>
      </c>
      <c r="G35" s="12"/>
      <c r="H35" s="12"/>
      <c r="J35" s="12"/>
      <c r="K35" s="12"/>
      <c r="M35" s="12"/>
      <c r="N35" s="12"/>
      <c r="P35" s="12"/>
      <c r="Q35" s="12"/>
      <c r="S35" s="12"/>
      <c r="T35" s="12"/>
      <c r="V35" s="12"/>
      <c r="W35" s="12"/>
      <c r="Y35" s="12"/>
      <c r="Z35" s="12"/>
      <c r="AB35" s="40"/>
      <c r="AC35" s="43"/>
    </row>
    <row r="36" spans="1:30" ht="51" x14ac:dyDescent="0.2">
      <c r="F36" s="15" t="s">
        <v>139</v>
      </c>
      <c r="G36" s="8" t="s">
        <v>124</v>
      </c>
      <c r="H36" s="8"/>
      <c r="J36" s="4" t="s">
        <v>126</v>
      </c>
      <c r="M36" s="4" t="s">
        <v>126</v>
      </c>
      <c r="O36" s="5" t="s">
        <v>125</v>
      </c>
      <c r="P36" s="4" t="s">
        <v>126</v>
      </c>
      <c r="AB36" s="40"/>
      <c r="AC36" s="43"/>
      <c r="AD36" t="s">
        <v>77</v>
      </c>
    </row>
    <row r="37" spans="1:30" ht="17" x14ac:dyDescent="0.2">
      <c r="B37" s="24" t="s">
        <v>179</v>
      </c>
      <c r="F37" s="14" t="s">
        <v>88</v>
      </c>
      <c r="H37" s="4">
        <v>0</v>
      </c>
      <c r="I37" s="5">
        <f>SUM(K$37:K37)</f>
        <v>0</v>
      </c>
      <c r="K37" s="4">
        <v>0</v>
      </c>
      <c r="L37" s="5">
        <f>SUM(N$37:N37)</f>
        <v>0</v>
      </c>
      <c r="N37" s="4">
        <v>0</v>
      </c>
      <c r="O37" s="5">
        <f>SUM(Q$37:Q37)</f>
        <v>0</v>
      </c>
      <c r="Q37" s="4">
        <v>0</v>
      </c>
      <c r="R37" s="5">
        <f>SUM(T$37:T37)</f>
        <v>0</v>
      </c>
      <c r="T37" s="4">
        <v>0</v>
      </c>
      <c r="U37" s="5">
        <f>SUM(W$37:W37)</f>
        <v>0</v>
      </c>
      <c r="W37" s="4">
        <v>0</v>
      </c>
      <c r="X37" s="5">
        <f>SUM(Z$37:Z37)</f>
        <v>0</v>
      </c>
      <c r="Z37" s="4">
        <v>0</v>
      </c>
      <c r="AB37" s="40"/>
      <c r="AC37" s="43"/>
    </row>
    <row r="38" spans="1:30" ht="17" x14ac:dyDescent="0.2">
      <c r="A38" s="61" t="s">
        <v>424</v>
      </c>
      <c r="B38" s="37" t="s">
        <v>306</v>
      </c>
      <c r="C38" s="50" t="s">
        <v>174</v>
      </c>
      <c r="F38" s="14" t="s">
        <v>87</v>
      </c>
      <c r="G38" s="4">
        <v>0</v>
      </c>
      <c r="H38" s="4">
        <f>H12</f>
        <v>85</v>
      </c>
      <c r="I38" s="5">
        <f>SUM(H$37:H38)</f>
        <v>85</v>
      </c>
      <c r="J38" s="4">
        <f>IF(I38&gt;=K$11, IF(I37&lt;K$11, K$11-I37, 0),H38)</f>
        <v>0</v>
      </c>
      <c r="K38" s="4">
        <f>H38-J38</f>
        <v>85</v>
      </c>
      <c r="L38" s="5">
        <f>SUM(K$37:K38)</f>
        <v>85</v>
      </c>
      <c r="M38" s="4">
        <f>IF(L38&gt;=N$11, IF(L37&lt;N$11, N$11-L37, 0),K38)</f>
        <v>0</v>
      </c>
      <c r="N38" s="4">
        <f>K38-M38</f>
        <v>85</v>
      </c>
      <c r="O38" s="5">
        <f>SUM(N$37:N38)</f>
        <v>85</v>
      </c>
      <c r="P38" s="4">
        <f>IF(O38&gt;=Q$11, IF(O37&lt;Q$11, Q$11-O37, 0),N38)</f>
        <v>0</v>
      </c>
      <c r="Q38" s="4">
        <f>N38-P38</f>
        <v>85</v>
      </c>
      <c r="R38" s="5">
        <f>SUM(Q$37:Q38)</f>
        <v>85</v>
      </c>
      <c r="S38" s="4">
        <f>IF(R38&gt;=T$11, IF(R37&lt;T$11, T$11-R37, 0),Q38)</f>
        <v>0</v>
      </c>
      <c r="T38" s="4">
        <f>Q38-S38</f>
        <v>85</v>
      </c>
      <c r="U38" s="5">
        <f>SUM(T$37:T38)</f>
        <v>85</v>
      </c>
      <c r="V38" s="4">
        <f>IF(U38&gt;=W$11, IF(U37&lt;W$11, W$11-U37, 0),T38)</f>
        <v>0</v>
      </c>
      <c r="W38" s="4">
        <f>T38-V38</f>
        <v>85</v>
      </c>
      <c r="X38" s="5">
        <f>SUM(W$37:W38)</f>
        <v>85</v>
      </c>
      <c r="Y38" s="4">
        <f>IF(X38&gt;=Z$11, IF(X37&lt;Z$11, Z$11-X37, 0),W38)</f>
        <v>0</v>
      </c>
      <c r="Z38" s="4">
        <f>W38-Y38</f>
        <v>85</v>
      </c>
      <c r="AA38" s="38" t="s">
        <v>316</v>
      </c>
      <c r="AB38" s="42" t="s">
        <v>391</v>
      </c>
      <c r="AC38" s="43" t="s">
        <v>341</v>
      </c>
    </row>
    <row r="39" spans="1:30" ht="17" x14ac:dyDescent="0.2">
      <c r="A39" s="61" t="s">
        <v>424</v>
      </c>
      <c r="B39" s="38" t="s">
        <v>307</v>
      </c>
      <c r="C39" s="50"/>
      <c r="F39" s="14" t="s">
        <v>69</v>
      </c>
      <c r="G39" s="4">
        <v>0</v>
      </c>
      <c r="H39" s="4">
        <v>0</v>
      </c>
      <c r="I39" s="5">
        <f>SUM(H$37:H39)</f>
        <v>85</v>
      </c>
      <c r="J39" s="4">
        <f>IF(I39&gt;=K$11, IF(I38&lt;K$11, K$11-I38, 0),H39)</f>
        <v>0</v>
      </c>
      <c r="K39" s="4">
        <f>K12</f>
        <v>80</v>
      </c>
      <c r="L39" s="5">
        <f>SUM(K$37:K39)</f>
        <v>165</v>
      </c>
      <c r="M39" s="4">
        <f>IF(L39&gt;=N$11, IF(L38&lt;N$11, N$11-L38, 0),K39)</f>
        <v>0</v>
      </c>
      <c r="N39" s="4">
        <f>K39-M39</f>
        <v>80</v>
      </c>
      <c r="O39" s="5">
        <f>SUM(N$37:N39)</f>
        <v>165</v>
      </c>
      <c r="P39" s="4">
        <f t="shared" ref="P39:P41" si="0">IF(O39&gt;=Q$11, IF(O38&lt;Q$11, Q$11-O38, 0),N39)</f>
        <v>0</v>
      </c>
      <c r="Q39" s="4">
        <f>N39-P39</f>
        <v>80</v>
      </c>
      <c r="R39" s="5">
        <f>SUM(Q$37:Q39)</f>
        <v>165</v>
      </c>
      <c r="S39" s="4">
        <f t="shared" ref="S39:S41" si="1">IF(R39&gt;=T$11, IF(R38&lt;T$11, T$11-R38, 0),Q39)</f>
        <v>0</v>
      </c>
      <c r="T39" s="4">
        <f>Q39-S39</f>
        <v>80</v>
      </c>
      <c r="U39" s="5">
        <f>SUM(T$37:T39)</f>
        <v>165</v>
      </c>
      <c r="V39" s="4">
        <f t="shared" ref="V39:V41" si="2">IF(U39&gt;=W$11, IF(U38&lt;W$11, W$11-U38, 0),T39)</f>
        <v>0</v>
      </c>
      <c r="W39" s="4">
        <f>T39-V39</f>
        <v>80</v>
      </c>
      <c r="X39" s="5">
        <f>SUM(W$37:W39)</f>
        <v>165</v>
      </c>
      <c r="Y39" s="4">
        <f t="shared" ref="Y39:Y41" si="3">IF(X39&gt;=Z$11, IF(X38&lt;Z$11, Z$11-X38, 0),W39)</f>
        <v>0</v>
      </c>
      <c r="Z39" s="4">
        <f>W39-Y39</f>
        <v>80</v>
      </c>
      <c r="AA39" s="38" t="s">
        <v>317</v>
      </c>
      <c r="AB39" s="42" t="s">
        <v>392</v>
      </c>
      <c r="AC39" s="43" t="s">
        <v>341</v>
      </c>
    </row>
    <row r="40" spans="1:30" ht="17" x14ac:dyDescent="0.2">
      <c r="A40" s="61" t="s">
        <v>424</v>
      </c>
      <c r="B40" s="38" t="s">
        <v>308</v>
      </c>
      <c r="C40" s="50"/>
      <c r="F40" s="14" t="s">
        <v>79</v>
      </c>
      <c r="G40" s="4">
        <v>0</v>
      </c>
      <c r="H40" s="4">
        <v>0</v>
      </c>
      <c r="I40" s="5">
        <f>SUM(H$37:H40)</f>
        <v>85</v>
      </c>
      <c r="J40" s="4">
        <f>IF(I40&gt;=K$11, IF(I39&lt;K$11, K$11-I39, 0),H40)</f>
        <v>0</v>
      </c>
      <c r="K40" s="4">
        <v>0</v>
      </c>
      <c r="L40" s="5">
        <f>SUM(K$37:K40)</f>
        <v>165</v>
      </c>
      <c r="M40" s="4">
        <f t="shared" ref="M40:M41" si="4">IF(L40&gt;=N$11, IF(L39&lt;N$11, N$11-L39, 0),K40)</f>
        <v>0</v>
      </c>
      <c r="N40" s="4">
        <f>N12</f>
        <v>92</v>
      </c>
      <c r="O40" s="5">
        <f>SUM(N$37:N40)</f>
        <v>257</v>
      </c>
      <c r="P40" s="4">
        <f t="shared" si="0"/>
        <v>0</v>
      </c>
      <c r="Q40" s="4">
        <f>N40-P40</f>
        <v>92</v>
      </c>
      <c r="R40" s="5">
        <f>SUM(Q$37:Q40)</f>
        <v>257</v>
      </c>
      <c r="S40" s="4">
        <f t="shared" si="1"/>
        <v>0</v>
      </c>
      <c r="T40" s="4">
        <f>Q40-S40</f>
        <v>92</v>
      </c>
      <c r="U40" s="5">
        <f>SUM(T$37:T40)</f>
        <v>257</v>
      </c>
      <c r="V40" s="4">
        <f t="shared" si="2"/>
        <v>0</v>
      </c>
      <c r="W40" s="4">
        <f>T40-V40</f>
        <v>92</v>
      </c>
      <c r="X40" s="5">
        <f>SUM(W$37:W40)</f>
        <v>257</v>
      </c>
      <c r="Y40" s="4">
        <f t="shared" si="3"/>
        <v>0</v>
      </c>
      <c r="Z40" s="4">
        <f>W40-Y40</f>
        <v>92</v>
      </c>
      <c r="AA40" s="38" t="s">
        <v>336</v>
      </c>
      <c r="AB40" s="42" t="s">
        <v>393</v>
      </c>
      <c r="AC40" s="43" t="s">
        <v>341</v>
      </c>
    </row>
    <row r="41" spans="1:30" ht="17" x14ac:dyDescent="0.2">
      <c r="B41" s="38"/>
      <c r="C41" s="50"/>
      <c r="F41" s="14" t="s">
        <v>80</v>
      </c>
      <c r="G41" s="4">
        <v>0</v>
      </c>
      <c r="H41" s="4">
        <v>0</v>
      </c>
      <c r="I41" s="5">
        <f>SUM(H$37:H41)</f>
        <v>85</v>
      </c>
      <c r="J41" s="4">
        <f>IF(I41&gt;=K$11, IF(I40&lt;K$11, K$11-I40, 0),H41)</f>
        <v>0</v>
      </c>
      <c r="K41" s="4">
        <v>0</v>
      </c>
      <c r="L41" s="5">
        <f>SUM(K$37:K41)</f>
        <v>165</v>
      </c>
      <c r="M41" s="4">
        <f t="shared" si="4"/>
        <v>0</v>
      </c>
      <c r="N41" s="4">
        <v>0</v>
      </c>
      <c r="O41" s="5">
        <f>SUM(N$37:N41)</f>
        <v>257</v>
      </c>
      <c r="P41" s="4">
        <f t="shared" si="0"/>
        <v>0</v>
      </c>
      <c r="Q41" s="4">
        <f>Q12</f>
        <v>43</v>
      </c>
      <c r="R41" s="5">
        <f>SUM(Q$37:Q41)</f>
        <v>300</v>
      </c>
      <c r="S41" s="4">
        <f t="shared" si="1"/>
        <v>0</v>
      </c>
      <c r="T41" s="4">
        <f>Q41-S41</f>
        <v>43</v>
      </c>
      <c r="U41" s="5">
        <f>SUM(T$37:T41)</f>
        <v>300</v>
      </c>
      <c r="V41" s="4">
        <f t="shared" si="2"/>
        <v>0</v>
      </c>
      <c r="W41" s="4">
        <f>T41-V41</f>
        <v>43</v>
      </c>
      <c r="X41" s="5">
        <f>SUM(W$37:W41)</f>
        <v>300</v>
      </c>
      <c r="Y41" s="4">
        <f t="shared" si="3"/>
        <v>0</v>
      </c>
      <c r="Z41" s="4">
        <f>W41-Y41</f>
        <v>43</v>
      </c>
      <c r="AA41" s="38"/>
      <c r="AB41" s="42"/>
      <c r="AC41" s="43"/>
    </row>
    <row r="42" spans="1:30" ht="17" x14ac:dyDescent="0.2">
      <c r="F42" s="14" t="s">
        <v>82</v>
      </c>
      <c r="AB42" s="40"/>
      <c r="AC42" s="43"/>
    </row>
    <row r="43" spans="1:30" ht="34" x14ac:dyDescent="0.2">
      <c r="A43" s="61" t="s">
        <v>424</v>
      </c>
      <c r="B43" s="51" t="s">
        <v>189</v>
      </c>
      <c r="C43" s="50" t="s">
        <v>174</v>
      </c>
      <c r="F43" s="14" t="s">
        <v>193</v>
      </c>
      <c r="H43" s="4">
        <v>0</v>
      </c>
      <c r="K43" s="4">
        <f>IF(H38=0, 0, H97*J38/H38)</f>
        <v>0</v>
      </c>
      <c r="N43" s="4">
        <f>IF(K38=0, 0, K97*M38/K38)</f>
        <v>0</v>
      </c>
      <c r="Q43" s="4">
        <f>IF(N38=0, 0, N97*P38/N38)</f>
        <v>0</v>
      </c>
      <c r="T43" s="4">
        <f>IF(Q38=0, 0, Q97*S38/Q38)</f>
        <v>0</v>
      </c>
      <c r="W43" s="4">
        <f>IF(T38=0, 0, T97*V38/T38)</f>
        <v>0</v>
      </c>
      <c r="Z43" s="4">
        <f>IF(W38=0, 0, W97*Y38/W38)</f>
        <v>0</v>
      </c>
      <c r="AA43" s="38" t="s">
        <v>288</v>
      </c>
      <c r="AB43" s="42" t="s">
        <v>394</v>
      </c>
      <c r="AC43" s="43" t="s">
        <v>347</v>
      </c>
    </row>
    <row r="44" spans="1:30" ht="34" x14ac:dyDescent="0.2">
      <c r="B44" s="51"/>
      <c r="C44" s="50"/>
      <c r="F44" s="14" t="s">
        <v>194</v>
      </c>
      <c r="H44" s="4">
        <v>0</v>
      </c>
      <c r="K44" s="4">
        <f>IF(H39=0, 0, H98*J39/H39)</f>
        <v>0</v>
      </c>
      <c r="N44" s="4">
        <f>IF(K39=0, 0, K98*M39/K39)</f>
        <v>0</v>
      </c>
      <c r="Q44" s="4">
        <f>IF(N39=0, 0, N98*P39/N39)</f>
        <v>0</v>
      </c>
      <c r="T44" s="4">
        <f>IF(Q39=0, 0, Q98*S39/Q39)</f>
        <v>0</v>
      </c>
      <c r="W44" s="4">
        <f>IF(T39=0, 0, T98*V39/T39)</f>
        <v>0</v>
      </c>
      <c r="Z44" s="4">
        <f>IF(W39=0, 0, W98*Y39/W39)</f>
        <v>0</v>
      </c>
      <c r="AA44" s="38"/>
      <c r="AB44" s="42"/>
      <c r="AC44" s="43"/>
    </row>
    <row r="45" spans="1:30" ht="34" x14ac:dyDescent="0.2">
      <c r="B45" s="51"/>
      <c r="C45" s="50"/>
      <c r="F45" s="14" t="s">
        <v>195</v>
      </c>
      <c r="H45" s="4">
        <v>0</v>
      </c>
      <c r="K45" s="4">
        <f>IF(H40=0, 0, H99*J40/H40)</f>
        <v>0</v>
      </c>
      <c r="N45" s="4">
        <f>IF(K40=0, 0, K99*M40/K40)</f>
        <v>0</v>
      </c>
      <c r="Q45" s="4">
        <f>IF(N40=0, 0, N99*P40/N40)</f>
        <v>0</v>
      </c>
      <c r="T45" s="4">
        <f>IF(Q40=0, 0, Q99*S40/Q40)</f>
        <v>0</v>
      </c>
      <c r="W45" s="4">
        <f>IF(T40=0, 0, T99*V40/T40)</f>
        <v>0</v>
      </c>
      <c r="Z45" s="4">
        <f>IF(W40=0, 0, W99*Y40/W40)</f>
        <v>0</v>
      </c>
      <c r="AA45" s="38"/>
      <c r="AB45" s="42"/>
      <c r="AC45" s="43"/>
    </row>
    <row r="46" spans="1:30" ht="34" x14ac:dyDescent="0.2">
      <c r="B46" s="51"/>
      <c r="C46" s="50"/>
      <c r="F46" s="14" t="s">
        <v>196</v>
      </c>
      <c r="H46" s="4">
        <v>0</v>
      </c>
      <c r="K46" s="4">
        <f>IF(H41=0, 0, H100*J41/H41)</f>
        <v>0</v>
      </c>
      <c r="N46" s="4">
        <f>IF(K41=0, 0, K100*M41/K41)</f>
        <v>0</v>
      </c>
      <c r="Q46" s="4">
        <f>IF(N41=0, 0, N100*P41/N41)</f>
        <v>0</v>
      </c>
      <c r="T46" s="4">
        <f>IF(Q41=0, 0, Q100*S41/Q41)</f>
        <v>0</v>
      </c>
      <c r="W46" s="4">
        <f>IF(T41=0, 0, T100*V41/T41)</f>
        <v>0</v>
      </c>
      <c r="Z46" s="4">
        <f>IF(W41=0, 0, W100*Y41/W41)</f>
        <v>0</v>
      </c>
      <c r="AA46" s="38"/>
      <c r="AB46" s="42"/>
      <c r="AC46" s="43"/>
    </row>
    <row r="47" spans="1:30" x14ac:dyDescent="0.2">
      <c r="A47" s="61" t="s">
        <v>424</v>
      </c>
      <c r="B47" s="38" t="s">
        <v>190</v>
      </c>
      <c r="C47" s="28" t="s">
        <v>174</v>
      </c>
      <c r="F47" s="14"/>
      <c r="H47" s="4">
        <f>SUM(H43:H46)</f>
        <v>0</v>
      </c>
      <c r="K47" s="4">
        <f>SUM(K43:K46)</f>
        <v>0</v>
      </c>
      <c r="N47" s="4">
        <f>SUM(N43:N46)</f>
        <v>0</v>
      </c>
      <c r="Q47" s="4">
        <f>SUM(Q43:Q46)</f>
        <v>0</v>
      </c>
      <c r="T47" s="4">
        <f>SUM(T43:T46)</f>
        <v>0</v>
      </c>
      <c r="W47" s="4">
        <f>SUM(W43:W46)</f>
        <v>0</v>
      </c>
      <c r="Z47" s="4">
        <f>SUM(Z43:Z46)</f>
        <v>0</v>
      </c>
      <c r="AA47" s="38" t="s">
        <v>289</v>
      </c>
      <c r="AB47" s="42" t="s">
        <v>406</v>
      </c>
      <c r="AC47" s="43" t="s">
        <v>348</v>
      </c>
    </row>
    <row r="48" spans="1:30" ht="17" x14ac:dyDescent="0.2">
      <c r="F48" s="14" t="s">
        <v>82</v>
      </c>
      <c r="AB48" s="40"/>
      <c r="AC48" s="43"/>
    </row>
    <row r="49" spans="1:29" ht="51" x14ac:dyDescent="0.2">
      <c r="A49" s="61" t="s">
        <v>424</v>
      </c>
      <c r="B49" s="51" t="s">
        <v>258</v>
      </c>
      <c r="C49" s="50" t="s">
        <v>174</v>
      </c>
      <c r="E49" s="52" t="s">
        <v>246</v>
      </c>
      <c r="F49" s="14" t="s">
        <v>245</v>
      </c>
      <c r="H49" s="4">
        <f>MIN(H43,H$15*G38)</f>
        <v>0</v>
      </c>
      <c r="K49" s="4">
        <f>MIN(K43,K$15*J38)</f>
        <v>0</v>
      </c>
      <c r="N49" s="4">
        <f>MIN(N43,N$15*M38)</f>
        <v>0</v>
      </c>
      <c r="Q49" s="4">
        <f>MIN(Q43,Q$15*P38)</f>
        <v>0</v>
      </c>
      <c r="T49" s="4">
        <f>MIN(T43,T$15*S38)</f>
        <v>0</v>
      </c>
      <c r="W49" s="4">
        <f>MIN(W43,W$15*V38)</f>
        <v>0</v>
      </c>
      <c r="Z49" s="4">
        <f>MIN(Z43,Z$15*Y38)</f>
        <v>0</v>
      </c>
      <c r="AA49" s="38" t="s">
        <v>325</v>
      </c>
      <c r="AB49" s="42" t="s">
        <v>395</v>
      </c>
      <c r="AC49" s="43" t="s">
        <v>347</v>
      </c>
    </row>
    <row r="50" spans="1:29" ht="51" x14ac:dyDescent="0.2">
      <c r="B50" s="51"/>
      <c r="C50" s="50"/>
      <c r="E50" s="52"/>
      <c r="F50" s="14" t="s">
        <v>247</v>
      </c>
      <c r="H50" s="4">
        <f>MIN(H44,H$15*G39)</f>
        <v>0</v>
      </c>
      <c r="K50" s="4">
        <f>MIN(K44,K$15*J39)</f>
        <v>0</v>
      </c>
      <c r="N50" s="4">
        <f>MIN(N44,N$15*M39)</f>
        <v>0</v>
      </c>
      <c r="Q50" s="4">
        <f t="shared" ref="Q50" si="5">MIN(Q44,Q$15*P39)</f>
        <v>0</v>
      </c>
      <c r="T50" s="4">
        <f t="shared" ref="T50" si="6">MIN(T44,T$15*S39)</f>
        <v>0</v>
      </c>
      <c r="W50" s="4">
        <f t="shared" ref="W50" si="7">MIN(W44,W$15*V39)</f>
        <v>0</v>
      </c>
      <c r="Z50" s="4">
        <f t="shared" ref="Z50" si="8">MIN(Z44,Z$15*Y39)</f>
        <v>0</v>
      </c>
      <c r="AA50" s="38"/>
      <c r="AB50" s="42"/>
      <c r="AC50" s="43"/>
    </row>
    <row r="51" spans="1:29" ht="51" x14ac:dyDescent="0.2">
      <c r="B51" s="51"/>
      <c r="C51" s="50"/>
      <c r="E51" s="52"/>
      <c r="F51" s="14" t="s">
        <v>248</v>
      </c>
      <c r="H51" s="4">
        <f>MIN(H45,H$15*G40)</f>
        <v>0</v>
      </c>
      <c r="K51" s="4">
        <f>MIN(K45,K$15*J40)</f>
        <v>0</v>
      </c>
      <c r="N51" s="4">
        <f>MIN(N45,N$15*M40)</f>
        <v>0</v>
      </c>
      <c r="Q51" s="4">
        <f>MIN(Q45,Q$15*P40)</f>
        <v>0</v>
      </c>
      <c r="T51" s="4">
        <f>MIN(T45,T$15*S40)</f>
        <v>0</v>
      </c>
      <c r="W51" s="4">
        <f>MIN(W45,W$15*V40)</f>
        <v>0</v>
      </c>
      <c r="Z51" s="4">
        <f>MIN(Z45,Z$15*Y40)</f>
        <v>0</v>
      </c>
      <c r="AA51" s="38"/>
      <c r="AB51" s="42"/>
      <c r="AC51" s="43"/>
    </row>
    <row r="52" spans="1:29" ht="51" x14ac:dyDescent="0.2">
      <c r="B52" s="51"/>
      <c r="C52" s="50"/>
      <c r="E52" s="52"/>
      <c r="F52" s="14" t="s">
        <v>249</v>
      </c>
      <c r="H52" s="4">
        <f>MIN(H46,H$15*G41)</f>
        <v>0</v>
      </c>
      <c r="K52" s="4">
        <f>MIN(K46,K$15*J41)</f>
        <v>0</v>
      </c>
      <c r="N52" s="4">
        <f>MIN(N46,N$15*M41)</f>
        <v>0</v>
      </c>
      <c r="Q52" s="4">
        <f>MIN(Q46,Q$15*P41)</f>
        <v>0</v>
      </c>
      <c r="T52" s="4">
        <f>MIN(T46,T$15*S41)</f>
        <v>0</v>
      </c>
      <c r="W52" s="4">
        <f>MIN(W46,W$15*V41)</f>
        <v>0</v>
      </c>
      <c r="Z52" s="4">
        <f>MIN(Z46,Z$15*Y41)</f>
        <v>0</v>
      </c>
      <c r="AA52" s="38"/>
      <c r="AB52" s="42"/>
      <c r="AC52" s="43"/>
    </row>
    <row r="53" spans="1:29" x14ac:dyDescent="0.2">
      <c r="A53" s="61" t="s">
        <v>424</v>
      </c>
      <c r="B53" s="38" t="s">
        <v>259</v>
      </c>
      <c r="C53" s="28" t="s">
        <v>174</v>
      </c>
      <c r="F53" s="14"/>
      <c r="H53" s="4">
        <f>SUM(H49:H52)</f>
        <v>0</v>
      </c>
      <c r="K53" s="4">
        <f>SUM(K49:K52)</f>
        <v>0</v>
      </c>
      <c r="N53" s="4">
        <f>SUM(N49:N52)</f>
        <v>0</v>
      </c>
      <c r="Q53" s="4">
        <f>SUM(Q49:Q52)</f>
        <v>0</v>
      </c>
      <c r="T53" s="4">
        <f>SUM(T49:T52)</f>
        <v>0</v>
      </c>
      <c r="W53" s="4">
        <f>SUM(W49:W52)</f>
        <v>0</v>
      </c>
      <c r="Z53" s="4">
        <f>SUM(Z49:Z52)</f>
        <v>0</v>
      </c>
      <c r="AA53" s="38" t="s">
        <v>324</v>
      </c>
      <c r="AB53" s="42" t="s">
        <v>407</v>
      </c>
      <c r="AC53" s="43" t="s">
        <v>348</v>
      </c>
    </row>
    <row r="54" spans="1:29" x14ac:dyDescent="0.2">
      <c r="A54" s="61" t="s">
        <v>424</v>
      </c>
      <c r="B54" s="38" t="s">
        <v>261</v>
      </c>
      <c r="C54" s="28"/>
      <c r="F54" s="14"/>
      <c r="H54" s="4">
        <f>H47-H53</f>
        <v>0</v>
      </c>
      <c r="K54" s="4">
        <f>K47-K53</f>
        <v>0</v>
      </c>
      <c r="N54" s="4">
        <f>N47-N53</f>
        <v>0</v>
      </c>
      <c r="Q54" s="4">
        <f>Q47-Q53</f>
        <v>0</v>
      </c>
      <c r="T54" s="4">
        <f>T47-T53</f>
        <v>0</v>
      </c>
      <c r="W54" s="4">
        <f>W47-W53</f>
        <v>0</v>
      </c>
      <c r="Z54" s="4">
        <f>Z47-Z53</f>
        <v>0</v>
      </c>
      <c r="AA54" s="38" t="s">
        <v>323</v>
      </c>
      <c r="AB54" s="42" t="s">
        <v>408</v>
      </c>
      <c r="AC54" s="43" t="s">
        <v>348</v>
      </c>
    </row>
    <row r="55" spans="1:29" x14ac:dyDescent="0.2">
      <c r="F55" s="14"/>
      <c r="AB55" s="42"/>
      <c r="AC55" s="43"/>
    </row>
    <row r="56" spans="1:29" ht="34" x14ac:dyDescent="0.2">
      <c r="A56" s="61" t="s">
        <v>424</v>
      </c>
      <c r="B56" s="51" t="s">
        <v>191</v>
      </c>
      <c r="C56" s="50" t="s">
        <v>174</v>
      </c>
      <c r="F56" s="14" t="s">
        <v>197</v>
      </c>
      <c r="H56" s="4">
        <f>H43*$H$21</f>
        <v>0</v>
      </c>
      <c r="K56" s="4">
        <f>K43*$H$21</f>
        <v>0</v>
      </c>
      <c r="N56" s="4">
        <f>N43*$H$21</f>
        <v>0</v>
      </c>
      <c r="Q56" s="4">
        <f>Q43*$H$21</f>
        <v>0</v>
      </c>
      <c r="T56" s="4">
        <f>T43*$H$21</f>
        <v>0</v>
      </c>
      <c r="W56" s="4">
        <f>W43*$H$21</f>
        <v>0</v>
      </c>
      <c r="Z56" s="4">
        <f>Z43*$H$21</f>
        <v>0</v>
      </c>
      <c r="AA56" s="38" t="s">
        <v>290</v>
      </c>
      <c r="AB56" s="42" t="s">
        <v>396</v>
      </c>
      <c r="AC56" s="43" t="s">
        <v>347</v>
      </c>
    </row>
    <row r="57" spans="1:29" ht="34" x14ac:dyDescent="0.2">
      <c r="B57" s="51"/>
      <c r="C57" s="50"/>
      <c r="F57" s="14" t="s">
        <v>198</v>
      </c>
      <c r="H57" s="4">
        <f>H44*$H$21</f>
        <v>0</v>
      </c>
      <c r="K57" s="4">
        <f>K44*$H$21</f>
        <v>0</v>
      </c>
      <c r="N57" s="4">
        <f>N44*$H$21</f>
        <v>0</v>
      </c>
      <c r="Q57" s="4">
        <f>Q44*$H$21</f>
        <v>0</v>
      </c>
      <c r="T57" s="4">
        <f>T44*$H$21</f>
        <v>0</v>
      </c>
      <c r="W57" s="4">
        <f>W44*$H$21</f>
        <v>0</v>
      </c>
      <c r="Z57" s="4">
        <f>Z44*$H$21</f>
        <v>0</v>
      </c>
      <c r="AA57" s="38"/>
      <c r="AB57" s="42"/>
      <c r="AC57" s="43"/>
    </row>
    <row r="58" spans="1:29" ht="34" x14ac:dyDescent="0.2">
      <c r="B58" s="51"/>
      <c r="C58" s="50"/>
      <c r="F58" s="14" t="s">
        <v>199</v>
      </c>
      <c r="H58" s="4">
        <f>H45*$H$21</f>
        <v>0</v>
      </c>
      <c r="K58" s="4">
        <f>K45*$H$21</f>
        <v>0</v>
      </c>
      <c r="N58" s="4">
        <f>N45*$H$21</f>
        <v>0</v>
      </c>
      <c r="Q58" s="4">
        <f>Q45*$H$21</f>
        <v>0</v>
      </c>
      <c r="T58" s="4">
        <f>T45*$H$21</f>
        <v>0</v>
      </c>
      <c r="W58" s="4">
        <f>W45*$H$21</f>
        <v>0</v>
      </c>
      <c r="Z58" s="4">
        <f>Z45*$H$21</f>
        <v>0</v>
      </c>
      <c r="AA58" s="38"/>
      <c r="AB58" s="42"/>
      <c r="AC58" s="43"/>
    </row>
    <row r="59" spans="1:29" ht="34" x14ac:dyDescent="0.2">
      <c r="B59" s="51"/>
      <c r="C59" s="50"/>
      <c r="F59" s="14" t="s">
        <v>200</v>
      </c>
      <c r="H59" s="4">
        <f>H46*$H$21</f>
        <v>0</v>
      </c>
      <c r="K59" s="4">
        <f>K46*$H$21</f>
        <v>0</v>
      </c>
      <c r="N59" s="4">
        <f>N46*$H$21</f>
        <v>0</v>
      </c>
      <c r="Q59" s="4">
        <f>Q46*$H$21</f>
        <v>0</v>
      </c>
      <c r="T59" s="4">
        <f>T46*$H$21</f>
        <v>0</v>
      </c>
      <c r="W59" s="4">
        <f>W46*$H$21</f>
        <v>0</v>
      </c>
      <c r="Z59" s="4">
        <f>Z46*$H$21</f>
        <v>0</v>
      </c>
      <c r="AA59" s="38"/>
      <c r="AB59" s="42"/>
      <c r="AC59" s="43"/>
    </row>
    <row r="60" spans="1:29" x14ac:dyDescent="0.2">
      <c r="A60" s="61" t="s">
        <v>424</v>
      </c>
      <c r="B60" s="38" t="s">
        <v>192</v>
      </c>
      <c r="C60" s="28" t="s">
        <v>174</v>
      </c>
      <c r="F60" s="14"/>
      <c r="H60" s="4">
        <f>SUM(H56:H59)</f>
        <v>0</v>
      </c>
      <c r="K60" s="4">
        <f>SUM(K56:K59)</f>
        <v>0</v>
      </c>
      <c r="N60" s="4">
        <f>SUM(N56:N59)</f>
        <v>0</v>
      </c>
      <c r="Q60" s="4">
        <f>SUM(Q56:Q59)</f>
        <v>0</v>
      </c>
      <c r="T60" s="4">
        <f>SUM(T56:T59)</f>
        <v>0</v>
      </c>
      <c r="W60" s="4">
        <f>SUM(W56:W59)</f>
        <v>0</v>
      </c>
      <c r="Z60" s="4">
        <f>SUM(Z56:Z59)</f>
        <v>0</v>
      </c>
      <c r="AA60" s="38" t="s">
        <v>291</v>
      </c>
      <c r="AB60" s="42" t="s">
        <v>409</v>
      </c>
      <c r="AC60" s="43" t="s">
        <v>348</v>
      </c>
    </row>
    <row r="61" spans="1:29" x14ac:dyDescent="0.2">
      <c r="F61" s="14"/>
      <c r="AB61" s="42"/>
      <c r="AC61" s="43"/>
    </row>
    <row r="62" spans="1:29" ht="34" x14ac:dyDescent="0.2">
      <c r="A62" s="61" t="s">
        <v>424</v>
      </c>
      <c r="B62" s="51" t="s">
        <v>178</v>
      </c>
      <c r="C62" s="50" t="s">
        <v>174</v>
      </c>
      <c r="F62" s="14" t="s">
        <v>90</v>
      </c>
      <c r="H62" s="4">
        <f>AE6</f>
        <v>0</v>
      </c>
      <c r="K62" s="4">
        <f>AE7</f>
        <v>0.01</v>
      </c>
      <c r="N62" s="4">
        <f>AE8</f>
        <v>0.05</v>
      </c>
      <c r="Q62" s="4">
        <f>AE9</f>
        <v>0.12</v>
      </c>
      <c r="T62" s="4">
        <f>AE11</f>
        <v>0.2</v>
      </c>
      <c r="W62" s="4">
        <f>AE12</f>
        <v>0.36</v>
      </c>
      <c r="Z62" s="4">
        <f>AE14</f>
        <v>0.6</v>
      </c>
      <c r="AA62" s="38" t="s">
        <v>312</v>
      </c>
      <c r="AB62" s="42" t="s">
        <v>397</v>
      </c>
      <c r="AC62" s="43" t="s">
        <v>347</v>
      </c>
    </row>
    <row r="63" spans="1:29" ht="34" x14ac:dyDescent="0.2">
      <c r="B63" s="51"/>
      <c r="C63" s="50"/>
      <c r="F63" s="14" t="s">
        <v>91</v>
      </c>
      <c r="H63" s="4">
        <v>0</v>
      </c>
      <c r="K63" s="4">
        <v>0</v>
      </c>
      <c r="N63" s="4">
        <f>AE7</f>
        <v>0.01</v>
      </c>
      <c r="Q63" s="4">
        <f>AE8</f>
        <v>0.05</v>
      </c>
      <c r="T63" s="4">
        <f>AE9</f>
        <v>0.12</v>
      </c>
      <c r="W63" s="4">
        <f>AE11</f>
        <v>0.2</v>
      </c>
      <c r="Z63" s="4">
        <f>AE12</f>
        <v>0.36</v>
      </c>
      <c r="AA63" s="38"/>
      <c r="AB63" s="42"/>
      <c r="AC63" s="43"/>
    </row>
    <row r="64" spans="1:29" ht="34" x14ac:dyDescent="0.2">
      <c r="B64" s="51"/>
      <c r="C64" s="50"/>
      <c r="F64" s="14" t="s">
        <v>92</v>
      </c>
      <c r="H64" s="4">
        <v>0</v>
      </c>
      <c r="K64" s="4">
        <v>0</v>
      </c>
      <c r="N64" s="4">
        <v>0</v>
      </c>
      <c r="Q64" s="4">
        <f>AE7</f>
        <v>0.01</v>
      </c>
      <c r="T64" s="4">
        <f>AE8</f>
        <v>0.05</v>
      </c>
      <c r="W64" s="4">
        <f>AE9</f>
        <v>0.12</v>
      </c>
      <c r="Z64" s="4">
        <f>AE11</f>
        <v>0.2</v>
      </c>
      <c r="AA64" s="38"/>
      <c r="AB64" s="42"/>
      <c r="AC64" s="43"/>
    </row>
    <row r="65" spans="1:32" ht="34" x14ac:dyDescent="0.2">
      <c r="B65" s="51"/>
      <c r="C65" s="50"/>
      <c r="F65" s="14" t="s">
        <v>93</v>
      </c>
      <c r="H65" s="4">
        <v>0</v>
      </c>
      <c r="K65" s="4">
        <v>0</v>
      </c>
      <c r="N65" s="4">
        <v>0</v>
      </c>
      <c r="Q65" s="4">
        <v>0</v>
      </c>
      <c r="T65" s="4">
        <f>AE7</f>
        <v>0.01</v>
      </c>
      <c r="W65" s="4">
        <f>AE8</f>
        <v>0.05</v>
      </c>
      <c r="Z65" s="4">
        <f>AE9</f>
        <v>0.12</v>
      </c>
      <c r="AA65" s="38"/>
      <c r="AB65" s="42"/>
      <c r="AC65" s="43"/>
    </row>
    <row r="66" spans="1:32" ht="17" x14ac:dyDescent="0.2">
      <c r="A66" s="61" t="s">
        <v>424</v>
      </c>
      <c r="B66" s="38" t="s">
        <v>430</v>
      </c>
      <c r="C66" s="31" t="s">
        <v>162</v>
      </c>
      <c r="F66" s="14" t="s">
        <v>49</v>
      </c>
      <c r="AA66" s="38" t="s">
        <v>428</v>
      </c>
      <c r="AB66" s="42" t="s">
        <v>429</v>
      </c>
      <c r="AC66" s="43" t="s">
        <v>348</v>
      </c>
    </row>
    <row r="67" spans="1:32" x14ac:dyDescent="0.2">
      <c r="F67" s="14"/>
      <c r="AB67" s="42"/>
      <c r="AC67" s="43"/>
    </row>
    <row r="68" spans="1:32" ht="34" x14ac:dyDescent="0.2">
      <c r="A68" s="61" t="s">
        <v>424</v>
      </c>
      <c r="B68" s="51" t="s">
        <v>233</v>
      </c>
      <c r="C68" s="50" t="s">
        <v>174</v>
      </c>
      <c r="F68" s="14" t="s">
        <v>109</v>
      </c>
      <c r="H68" s="4">
        <f>H38*H62</f>
        <v>0</v>
      </c>
      <c r="K68" s="4">
        <f>K38*K62</f>
        <v>0.85</v>
      </c>
      <c r="N68" s="4">
        <f>K68*(1- $G$30)*N38/K38+N38*N62</f>
        <v>5.0986655000000001</v>
      </c>
      <c r="Q68" s="4">
        <f>N68*(1- $G$30)*Q38/N38+Q38*Q62</f>
        <v>15.290660595165001</v>
      </c>
      <c r="T68" s="4">
        <f>Q68*(1- $G$30)*T38/Q38+T38*T62</f>
        <v>32.266654258030592</v>
      </c>
      <c r="W68" s="4">
        <f>T68*(1- $G$30)*W38/T38+W38*W62</f>
        <v>62.815995610845476</v>
      </c>
      <c r="Z68" s="4">
        <f>W68*(1- $G$30)*Z38/W38+Z38*Z62</f>
        <v>113.71737449773646</v>
      </c>
      <c r="AA68" s="38" t="s">
        <v>292</v>
      </c>
      <c r="AB68" s="42" t="s">
        <v>398</v>
      </c>
      <c r="AC68" s="43" t="s">
        <v>347</v>
      </c>
    </row>
    <row r="69" spans="1:32" ht="34" x14ac:dyDescent="0.2">
      <c r="B69" s="51"/>
      <c r="C69" s="50"/>
      <c r="F69" s="14" t="s">
        <v>110</v>
      </c>
      <c r="K69" s="4">
        <f>K39*K63</f>
        <v>0</v>
      </c>
      <c r="N69" s="4">
        <f>K69*(1- $G$30)*N39/K39+N39*N63</f>
        <v>0.8</v>
      </c>
      <c r="Q69" s="4">
        <f>N69*(1- $G$30)*Q39/N39+Q39*Q63</f>
        <v>4.7987440000000001</v>
      </c>
      <c r="T69" s="4">
        <f>Q69*(1- $G$30)*T39/Q39+T39*T63</f>
        <v>14.39120997192</v>
      </c>
      <c r="W69" s="4">
        <f>T69*(1- $G$30)*W39/T39+W39*W63</f>
        <v>30.368615772264086</v>
      </c>
      <c r="Z69" s="4">
        <f>W69*(1- $G$30)*Z39/W39+Z39*Z63</f>
        <v>59.120937045501627</v>
      </c>
      <c r="AA69" s="38"/>
      <c r="AB69" s="42"/>
      <c r="AC69" s="43"/>
    </row>
    <row r="70" spans="1:32" ht="34" x14ac:dyDescent="0.2">
      <c r="B70" s="51"/>
      <c r="C70" s="50"/>
      <c r="E70" s="52"/>
      <c r="F70" s="14" t="s">
        <v>111</v>
      </c>
      <c r="N70" s="4">
        <f>K70*(1- $G$30)+N40*N64</f>
        <v>0</v>
      </c>
      <c r="Q70" s="4">
        <f>N70*(1- $G$30)*Q40/N40+Q40*Q64</f>
        <v>0.92</v>
      </c>
      <c r="T70" s="4">
        <f>Q70*(1- $G$30)*T40/Q40+T40*T64</f>
        <v>5.5185556000000009</v>
      </c>
      <c r="W70" s="4">
        <f>T70*(1- $G$30)*W40/T40+W40*W64</f>
        <v>16.549891467708001</v>
      </c>
      <c r="Z70" s="4">
        <f>W70*(1- $G$30)*Z40/W40+Z40*Z64</f>
        <v>34.923908138103698</v>
      </c>
      <c r="AA70" s="38"/>
      <c r="AB70" s="42"/>
      <c r="AC70" s="43"/>
    </row>
    <row r="71" spans="1:32" ht="34" x14ac:dyDescent="0.2">
      <c r="B71" s="51"/>
      <c r="C71" s="50"/>
      <c r="E71" s="52"/>
      <c r="F71" s="14" t="s">
        <v>112</v>
      </c>
      <c r="N71" s="4">
        <f>K71*(1- $G$30)+N41*N65</f>
        <v>0</v>
      </c>
      <c r="Q71" s="4">
        <f>N71*(1- $G$30)+Q41*Q65</f>
        <v>0</v>
      </c>
      <c r="T71" s="4">
        <f>Q71*(1- $G$30)*T41/Q41+T41*T65</f>
        <v>0.43</v>
      </c>
      <c r="W71" s="4">
        <f>T71*(1- $G$30)*W41/T41+W41*W65</f>
        <v>2.5793249</v>
      </c>
      <c r="Z71" s="4">
        <f>W71*(1- $G$30)*Z41/W41+Z41*Z65</f>
        <v>7.7352753599069999</v>
      </c>
      <c r="AA71" s="38"/>
      <c r="AB71" s="42"/>
      <c r="AC71" s="43"/>
    </row>
    <row r="72" spans="1:32" x14ac:dyDescent="0.2">
      <c r="E72" s="52"/>
      <c r="F72" s="14"/>
      <c r="AB72" s="42"/>
      <c r="AC72" s="43"/>
    </row>
    <row r="73" spans="1:32" ht="34" x14ac:dyDescent="0.2">
      <c r="A73" s="61" t="s">
        <v>424</v>
      </c>
      <c r="B73" s="51" t="s">
        <v>231</v>
      </c>
      <c r="C73" s="50" t="s">
        <v>174</v>
      </c>
      <c r="F73" s="14" t="s">
        <v>127</v>
      </c>
      <c r="H73" s="4">
        <v>0</v>
      </c>
      <c r="K73" s="4">
        <f>INT(J$4-$AG$6 &gt; $E81)*MAX(H97-$H$22*H38-K43,0)</f>
        <v>0</v>
      </c>
      <c r="N73" s="4">
        <f>INT(M$4-$AG$6 &gt; $E81)*MAX(K97-$H$22*K38-N43,0)</f>
        <v>0</v>
      </c>
      <c r="Q73" s="4">
        <f>INT(P$4-$AG$6 &gt; $E81)*MAX(N97-$H$22*N38-Q43,0)</f>
        <v>0</v>
      </c>
      <c r="T73" s="4">
        <f>INT(S$4-$AG$6 &gt; $E81)*MAX(Q97-$H$22*Q38-T43,0)</f>
        <v>0</v>
      </c>
      <c r="W73" s="4">
        <f>INT(V$4-$AG$6 &gt; $E81)*MAX(T97-$H$22*T38-W43,0)</f>
        <v>0</v>
      </c>
      <c r="Z73" s="4">
        <f>INT(Y$4-$AG$6 &gt; $E81)*MAX(W97-$H$22*W38-Z43,0)</f>
        <v>0</v>
      </c>
      <c r="AA73" s="38" t="s">
        <v>359</v>
      </c>
      <c r="AB73" s="42" t="s">
        <v>399</v>
      </c>
      <c r="AC73" s="43" t="s">
        <v>347</v>
      </c>
    </row>
    <row r="74" spans="1:32" ht="34" x14ac:dyDescent="0.2">
      <c r="B74" s="51"/>
      <c r="C74" s="50"/>
      <c r="F74" s="14" t="s">
        <v>128</v>
      </c>
      <c r="H74" s="4">
        <v>0</v>
      </c>
      <c r="K74" s="4">
        <f>INT(J$4-$AG$6 &gt; $E82)*MAX(H98-$H$22*H39-K44,0)</f>
        <v>0</v>
      </c>
      <c r="N74" s="4">
        <f>INT(M$4-$AG$6 &gt; $E82)*MAX(K98-$H$22*K39-N44,0)</f>
        <v>0</v>
      </c>
      <c r="Q74" s="4">
        <f>INT(P$4-$AG$6 &gt; $E82)*MAX(N98-$H$22*N39-Q44,0)</f>
        <v>0</v>
      </c>
      <c r="T74" s="4">
        <f>INT(S$4-$AG$6 &gt; $E82)*MAX(Q98-$H$22*Q39-T44,0)</f>
        <v>0</v>
      </c>
      <c r="W74" s="4">
        <f>INT(V$4-$AG$6 &gt; $E82)*MAX(T98-$H$22*T39-W44,0)</f>
        <v>0</v>
      </c>
      <c r="Z74" s="4">
        <f>INT(Y$4-$AG$6 &gt; $E82)*MAX(W98-$H$22*W39-Z44,0)</f>
        <v>0</v>
      </c>
      <c r="AA74" s="38"/>
      <c r="AB74" s="42"/>
      <c r="AC74" s="43"/>
    </row>
    <row r="75" spans="1:32" ht="34" x14ac:dyDescent="0.2">
      <c r="B75" s="51"/>
      <c r="C75" s="50"/>
      <c r="E75" s="52" t="s">
        <v>152</v>
      </c>
      <c r="F75" s="14" t="s">
        <v>129</v>
      </c>
      <c r="H75" s="4">
        <v>0</v>
      </c>
      <c r="K75" s="4">
        <f>INT(J$4-$AG$6 &gt; $E83)*MAX(H99-$H$22*H40-K45,0)</f>
        <v>0</v>
      </c>
      <c r="N75" s="4">
        <f>INT(M$4-$AG$6 &gt; $E83)*MAX(K99-$H$22*K40-N45,0)</f>
        <v>0</v>
      </c>
      <c r="Q75" s="4">
        <f>INT(P$4-$AG$6 &gt; $E83)*MAX(N99-$H$22*N40-Q45,0)</f>
        <v>0</v>
      </c>
      <c r="T75" s="4">
        <f>INT(S$4-$AG$6 &gt; $E83)*MAX(Q99-$H$22*Q40-T45,0)</f>
        <v>0</v>
      </c>
      <c r="W75" s="4">
        <f>INT(V$4-$AG$6 &gt; $E83)*MAX(T99-$H$22*T40-W45,0)</f>
        <v>0</v>
      </c>
      <c r="Z75" s="4">
        <f>INT(Y$4-$AG$6 &gt; $E83)*MAX(W99-$H$22*W40-Z45,0)</f>
        <v>0</v>
      </c>
      <c r="AA75" s="38"/>
      <c r="AB75" s="42"/>
      <c r="AC75" s="43"/>
    </row>
    <row r="76" spans="1:32" ht="34" x14ac:dyDescent="0.2">
      <c r="B76" s="51"/>
      <c r="C76" s="50"/>
      <c r="E76" s="52"/>
      <c r="F76" s="14" t="s">
        <v>130</v>
      </c>
      <c r="H76" s="4">
        <v>0</v>
      </c>
      <c r="K76" s="4">
        <f>INT(J$4-$AG$6 &gt; $E84)*MAX(H100-$H$22*H41-K46,0)</f>
        <v>0</v>
      </c>
      <c r="N76" s="4">
        <f>INT(M$4-$AG$6 &gt; $E84)*MAX(K100-$H$22*K41-N46,0)</f>
        <v>0</v>
      </c>
      <c r="Q76" s="4">
        <f>INT(P$4-$AG$6 &gt; $E84)*MAX(N100-$H$22*N41-Q46,0)</f>
        <v>0</v>
      </c>
      <c r="T76" s="4">
        <f>INT(S$4-$AG$6 &gt; $E84)*MAX(Q100-$H$22*Q41-T46,0)</f>
        <v>0</v>
      </c>
      <c r="W76" s="4">
        <f>INT(V$4-$AG$6 &gt; $E84)*MAX(T100-$H$22*T41-W46,0)</f>
        <v>0</v>
      </c>
      <c r="Z76" s="4">
        <f>INT(Y$4-$AG$6 &gt; $E84)*MAX(W100-$H$22*W41-Z46,0)</f>
        <v>0</v>
      </c>
      <c r="AA76" s="38"/>
      <c r="AB76" s="42"/>
      <c r="AC76" s="43"/>
    </row>
    <row r="77" spans="1:32" ht="34" x14ac:dyDescent="0.2">
      <c r="A77" s="61" t="s">
        <v>424</v>
      </c>
      <c r="B77" s="38" t="s">
        <v>232</v>
      </c>
      <c r="C77" s="28" t="s">
        <v>174</v>
      </c>
      <c r="E77" s="52"/>
      <c r="F77" s="14" t="s">
        <v>147</v>
      </c>
      <c r="H77" s="4">
        <v>0</v>
      </c>
      <c r="K77" s="4">
        <f>SUM(K73:K76)</f>
        <v>0</v>
      </c>
      <c r="N77" s="4">
        <f>SUM(N73:N76)</f>
        <v>0</v>
      </c>
      <c r="Q77" s="4">
        <f>SUM(Q73:Q76)</f>
        <v>0</v>
      </c>
      <c r="T77" s="4">
        <f>SUM(T73:T76)</f>
        <v>0</v>
      </c>
      <c r="W77" s="4">
        <f>SUM(W73:W76)</f>
        <v>0</v>
      </c>
      <c r="Z77" s="4">
        <f>SUM(Z73:Z76)</f>
        <v>0</v>
      </c>
      <c r="AA77" s="45" t="s">
        <v>438</v>
      </c>
      <c r="AB77" s="42" t="s">
        <v>410</v>
      </c>
      <c r="AC77" s="43" t="s">
        <v>348</v>
      </c>
      <c r="AF77" t="s">
        <v>106</v>
      </c>
    </row>
    <row r="78" spans="1:32" x14ac:dyDescent="0.2">
      <c r="E78" s="52"/>
      <c r="F78" s="14"/>
      <c r="AB78" s="42"/>
      <c r="AC78" s="43"/>
      <c r="AD78" t="s">
        <v>85</v>
      </c>
      <c r="AF78" t="s">
        <v>107</v>
      </c>
    </row>
    <row r="79" spans="1:32" ht="17" customHeight="1" x14ac:dyDescent="0.2">
      <c r="A79" s="61" t="s">
        <v>424</v>
      </c>
      <c r="B79" s="37" t="s">
        <v>437</v>
      </c>
      <c r="C79" s="50" t="s">
        <v>174</v>
      </c>
      <c r="F79" s="14" t="s">
        <v>88</v>
      </c>
      <c r="G79" s="4">
        <v>0</v>
      </c>
      <c r="J79" s="4">
        <v>0</v>
      </c>
      <c r="M79" s="4">
        <v>0</v>
      </c>
      <c r="P79" s="4">
        <v>0</v>
      </c>
      <c r="S79" s="4">
        <v>0</v>
      </c>
      <c r="V79" s="4">
        <v>0</v>
      </c>
      <c r="Y79" s="4">
        <v>0</v>
      </c>
      <c r="AA79" s="38" t="s">
        <v>309</v>
      </c>
      <c r="AB79" s="42" t="s">
        <v>400</v>
      </c>
      <c r="AC79" s="43" t="s">
        <v>347</v>
      </c>
      <c r="AD79" t="s">
        <v>86</v>
      </c>
    </row>
    <row r="80" spans="1:32" ht="34" x14ac:dyDescent="0.2">
      <c r="A80" s="61" t="s">
        <v>424</v>
      </c>
      <c r="B80" s="37" t="s">
        <v>436</v>
      </c>
      <c r="C80" s="50"/>
      <c r="F80" s="14" t="s">
        <v>148</v>
      </c>
      <c r="G80" s="4">
        <f>SUM(H$73:H73)</f>
        <v>0</v>
      </c>
      <c r="H80" s="4">
        <f>IF(G80&gt;=G$133, IF(G79&lt;G$133, G$133-G79, 0),H73)</f>
        <v>0</v>
      </c>
      <c r="J80" s="4">
        <f>SUM(K$73:K73)</f>
        <v>0</v>
      </c>
      <c r="K80" s="4">
        <f>IF(J80&gt;=J$133, IF(J79&lt;J$133, J$133-J79, 0),K73)</f>
        <v>0</v>
      </c>
      <c r="M80" s="4">
        <f>SUM(N$73:N73)</f>
        <v>0</v>
      </c>
      <c r="N80" s="4">
        <f>IF(M80&gt;=M$133, IF(M79&lt;M$133, M$133-M79, 0),N73)</f>
        <v>0</v>
      </c>
      <c r="P80" s="4">
        <f>SUM(Q$73:Q73)</f>
        <v>0</v>
      </c>
      <c r="Q80" s="4">
        <f>IF(P80&gt;=P$133, IF(P79&lt;P$133, P$133-P79, 0),Q73)</f>
        <v>0</v>
      </c>
      <c r="S80" s="4">
        <f>SUM(T$73:T73)</f>
        <v>0</v>
      </c>
      <c r="T80" s="4">
        <f>IF(S80&gt;=S$133, IF(S79&lt;S$133, S$133-S79, 0),T73)</f>
        <v>0</v>
      </c>
      <c r="V80" s="4">
        <f>SUM(W$73:W73)</f>
        <v>0</v>
      </c>
      <c r="W80" s="4">
        <f>IF(V80&gt;=V$133, IF(V79&lt;V$133, V$133-V79, 0),W73)</f>
        <v>0</v>
      </c>
      <c r="Y80" s="4">
        <f>SUM(Z$73:Z73)</f>
        <v>0</v>
      </c>
      <c r="Z80" s="4">
        <f>IF(Y80&gt;=Y$133, IF(Y79&lt;Y$133, Y$133-Y79, 0),Z73)</f>
        <v>0</v>
      </c>
      <c r="AA80" s="38" t="s">
        <v>445</v>
      </c>
      <c r="AB80" s="42" t="s">
        <v>401</v>
      </c>
      <c r="AC80" s="43" t="s">
        <v>347</v>
      </c>
    </row>
    <row r="81" spans="1:29" ht="34" x14ac:dyDescent="0.2">
      <c r="B81" s="41"/>
      <c r="C81" s="50"/>
      <c r="E81" s="22">
        <v>0</v>
      </c>
      <c r="F81" s="14" t="s">
        <v>149</v>
      </c>
      <c r="G81" s="4">
        <f>SUM(H$73:H74)</f>
        <v>0</v>
      </c>
      <c r="H81" s="4">
        <f>IF(G81&gt;=G$133, IF(G80&lt;G$133, G$133-G80, 0),H74)</f>
        <v>0</v>
      </c>
      <c r="J81" s="4">
        <f>SUM(K$73:K74)</f>
        <v>0</v>
      </c>
      <c r="K81" s="4">
        <f>IF(J81&gt;=J$133, IF(J80&lt;J$133, J$133-J80, 0),K74)</f>
        <v>0</v>
      </c>
      <c r="M81" s="4">
        <f>SUM(N$73:N74)</f>
        <v>0</v>
      </c>
      <c r="N81" s="4">
        <f>IF(M81&gt;=M$133, IF(M80&lt;M$133, M$133-M80, 0),N74)</f>
        <v>0</v>
      </c>
      <c r="P81" s="4">
        <f>SUM(Q$73:Q74)</f>
        <v>0</v>
      </c>
      <c r="Q81" s="4">
        <f>IF(P81&gt;=P$133, IF(P80&lt;P$133, P$133-P80, 0),Q74)</f>
        <v>0</v>
      </c>
      <c r="S81" s="4">
        <f>SUM(T$73:T74)</f>
        <v>0</v>
      </c>
      <c r="T81" s="4">
        <f>IF(S81&gt;=S$133, IF(S80&lt;S$133, S$133-S80, 0),T74)</f>
        <v>0</v>
      </c>
      <c r="V81" s="4">
        <f>SUM(W$73:W74)</f>
        <v>0</v>
      </c>
      <c r="W81" s="4">
        <f>IF(V81&gt;=V$133, IF(V80&lt;V$133, V$133-V80, 0),W74)</f>
        <v>0</v>
      </c>
      <c r="Y81" s="4">
        <f>SUM(Z$73:Z74)</f>
        <v>0</v>
      </c>
      <c r="Z81" s="4">
        <f>IF(Y81&gt;=Y$133, IF(Y80&lt;Y$133, Y$133-Y80, 0),Z74)</f>
        <v>0</v>
      </c>
      <c r="AA81" s="37"/>
      <c r="AB81" s="42"/>
      <c r="AC81" s="43"/>
    </row>
    <row r="82" spans="1:29" ht="34" x14ac:dyDescent="0.2">
      <c r="B82" s="41"/>
      <c r="C82" s="50"/>
      <c r="E82" s="22">
        <v>1</v>
      </c>
      <c r="F82" s="14" t="s">
        <v>150</v>
      </c>
      <c r="G82" s="4">
        <f>SUM(H$73:H75)</f>
        <v>0</v>
      </c>
      <c r="H82" s="4">
        <f>IF(G82&gt;=G$133, IF(G81&lt;G$133, G$133-G81, 0),H75)</f>
        <v>0</v>
      </c>
      <c r="J82" s="4">
        <f>SUM(K$73:K75)</f>
        <v>0</v>
      </c>
      <c r="K82" s="4">
        <f>IF(J82&gt;=J$133, IF(J81&lt;J$133, J$133-J81, 0),K75)</f>
        <v>0</v>
      </c>
      <c r="M82" s="4">
        <f>SUM(N$73:N75)</f>
        <v>0</v>
      </c>
      <c r="N82" s="4">
        <f>IF(M82&gt;=M$133, IF(M81&lt;M$133, M$133-M81, 0),N75)</f>
        <v>0</v>
      </c>
      <c r="P82" s="4">
        <f>SUM(Q$73:Q75)</f>
        <v>0</v>
      </c>
      <c r="Q82" s="4">
        <f>IF(P82&gt;=P$133, IF(P81&lt;P$133, P$133-P81, 0),Q75)</f>
        <v>0</v>
      </c>
      <c r="S82" s="4">
        <f>SUM(T$73:T75)</f>
        <v>0</v>
      </c>
      <c r="T82" s="4">
        <f>IF(S82&gt;=S$133, IF(S81&lt;S$133, S$133-S81, 0),T75)</f>
        <v>0</v>
      </c>
      <c r="V82" s="4">
        <f>SUM(W$73:W75)</f>
        <v>0</v>
      </c>
      <c r="W82" s="4">
        <f>IF(V82&gt;=V$133, IF(V81&lt;V$133, V$133-V81, 0),W75)</f>
        <v>0</v>
      </c>
      <c r="Y82" s="4">
        <f>SUM(Z$73:Z75)</f>
        <v>0</v>
      </c>
      <c r="Z82" s="4">
        <f>IF(Y82&gt;=Y$133, IF(Y81&lt;Y$133, Y$133-Y81, 0),Z75)</f>
        <v>0</v>
      </c>
      <c r="AA82" s="37"/>
      <c r="AB82" s="42"/>
      <c r="AC82" s="43"/>
    </row>
    <row r="83" spans="1:29" ht="34" x14ac:dyDescent="0.2">
      <c r="B83" s="41"/>
      <c r="C83" s="50"/>
      <c r="E83" s="22">
        <v>2</v>
      </c>
      <c r="F83" s="14" t="s">
        <v>151</v>
      </c>
      <c r="G83" s="4">
        <f>SUM(H$73:H76)</f>
        <v>0</v>
      </c>
      <c r="H83" s="4">
        <f>IF(G83&gt;=G$133, IF(G82&lt;G$133, G$133-G82, 0),H76)</f>
        <v>0</v>
      </c>
      <c r="J83" s="4">
        <f>SUM(K$73:K76)</f>
        <v>0</v>
      </c>
      <c r="K83" s="4">
        <f>IF(J83&gt;=J$133, IF(J82&lt;J$133, J$133-J82, 0),K76)</f>
        <v>0</v>
      </c>
      <c r="M83" s="4">
        <f>SUM(N$73:N76)</f>
        <v>0</v>
      </c>
      <c r="N83" s="4">
        <f>IF(M83&gt;=M$133, IF(M82&lt;M$133, M$133-M82, 0),N76)</f>
        <v>0</v>
      </c>
      <c r="P83" s="4">
        <f>SUM(Q$73:Q76)</f>
        <v>0</v>
      </c>
      <c r="Q83" s="4">
        <f>IF(P83&gt;=P$133, IF(P82&lt;P$133, P$133-P82, 0),Q76)</f>
        <v>0</v>
      </c>
      <c r="S83" s="4">
        <f>SUM(T$73:T76)</f>
        <v>0</v>
      </c>
      <c r="T83" s="4">
        <f>IF(S83&gt;=S$133, IF(S82&lt;S$133, S$133-S82, 0),T76)</f>
        <v>0</v>
      </c>
      <c r="V83" s="4">
        <f>SUM(W$73:W76)</f>
        <v>0</v>
      </c>
      <c r="W83" s="4">
        <f>IF(V83&gt;=V$133, IF(V82&lt;V$133, V$133-V82, 0),W76)</f>
        <v>0</v>
      </c>
      <c r="Y83" s="4">
        <f>SUM(Z$73:Z76)</f>
        <v>0</v>
      </c>
      <c r="Z83" s="4">
        <f>IF(Y83&gt;=Y$133, IF(Y82&lt;Y$133, Y$133-Y82, 0),Z76)</f>
        <v>0</v>
      </c>
      <c r="AA83" s="37"/>
      <c r="AB83" s="42"/>
      <c r="AC83" s="43"/>
    </row>
    <row r="84" spans="1:29" x14ac:dyDescent="0.2">
      <c r="E84" s="22">
        <v>3</v>
      </c>
      <c r="F84" s="14"/>
      <c r="AB84" s="42"/>
      <c r="AC84" s="43"/>
    </row>
    <row r="85" spans="1:29" x14ac:dyDescent="0.2">
      <c r="F85" s="14"/>
      <c r="J85" s="4" t="s">
        <v>136</v>
      </c>
      <c r="M85" s="4" t="s">
        <v>136</v>
      </c>
      <c r="P85" s="4" t="s">
        <v>136</v>
      </c>
      <c r="S85" s="4" t="s">
        <v>136</v>
      </c>
      <c r="V85" s="4" t="s">
        <v>136</v>
      </c>
      <c r="Y85" s="4" t="s">
        <v>136</v>
      </c>
      <c r="AB85" s="42"/>
      <c r="AC85" s="43"/>
    </row>
    <row r="86" spans="1:29" ht="34" x14ac:dyDescent="0.2">
      <c r="A86" s="61" t="s">
        <v>424</v>
      </c>
      <c r="B86" s="37" t="s">
        <v>435</v>
      </c>
      <c r="C86" s="50" t="s">
        <v>174</v>
      </c>
      <c r="F86" s="14" t="s">
        <v>131</v>
      </c>
      <c r="H86" s="4">
        <f>H62</f>
        <v>0</v>
      </c>
      <c r="J86" s="4">
        <f>IF(H97=0,1,MIN(MAX((H97/H68-$G$17)/($G$19-$G$17), 0), 1))</f>
        <v>1</v>
      </c>
      <c r="K86" s="4">
        <f>K62*J86</f>
        <v>0.01</v>
      </c>
      <c r="M86" s="4">
        <f>IF(K97=0,1,MIN(MAX((K97/K68-$G$17)/($G$19-$G$17), 0), 1))</f>
        <v>1</v>
      </c>
      <c r="N86" s="4">
        <f>N62*M86</f>
        <v>0.05</v>
      </c>
      <c r="P86" s="4">
        <f>IF(N97=0,1,MIN(MAX((N97/N68-$G$17)/($G$19-$G$17), 0), 1))</f>
        <v>1</v>
      </c>
      <c r="Q86" s="4">
        <f>Q62*P86</f>
        <v>0.12</v>
      </c>
      <c r="S86" s="4">
        <f>IF(Q97=0,1,MIN(MAX((Q97/Q68-$G$17)/($G$19-$G$17), 0), 1))</f>
        <v>1</v>
      </c>
      <c r="T86" s="4">
        <f>T62*S86</f>
        <v>0.2</v>
      </c>
      <c r="V86" s="4">
        <f>IF(T97=0,1,MIN(MAX((T97/T68-$G$17)/($G$19-$G$17), 0), 1))</f>
        <v>1</v>
      </c>
      <c r="W86" s="4">
        <f>W62*V86</f>
        <v>0.36</v>
      </c>
      <c r="Y86" s="4">
        <f>IF(W97=0,1,MIN(MAX((W97/W68-$G$17)/($G$19-$G$17), 0), 1))</f>
        <v>1</v>
      </c>
      <c r="Z86" s="4">
        <f>Z62*Y86</f>
        <v>0.6</v>
      </c>
      <c r="AA86" s="37" t="s">
        <v>313</v>
      </c>
      <c r="AB86" s="42" t="s">
        <v>402</v>
      </c>
      <c r="AC86" s="43" t="s">
        <v>347</v>
      </c>
    </row>
    <row r="87" spans="1:29" ht="34" x14ac:dyDescent="0.2">
      <c r="A87" s="61" t="s">
        <v>424</v>
      </c>
      <c r="B87" s="37" t="s">
        <v>434</v>
      </c>
      <c r="C87" s="50"/>
      <c r="F87" s="14" t="s">
        <v>132</v>
      </c>
      <c r="H87" s="4">
        <f>H63</f>
        <v>0</v>
      </c>
      <c r="J87" s="4">
        <f>IF(H98=0,1,MIN(MAX((H98/H69-$G$17)/($G$19-$G$17), 0), 1))</f>
        <v>1</v>
      </c>
      <c r="K87" s="4">
        <f>K63</f>
        <v>0</v>
      </c>
      <c r="M87" s="4">
        <f>IF(K98=0,1,MIN(MAX((K98/K69-$G$17)/($G$19-$G$17), 0), 1))</f>
        <v>1</v>
      </c>
      <c r="N87" s="4">
        <f>N63</f>
        <v>0.01</v>
      </c>
      <c r="P87" s="4">
        <f>IF(N98=0,1,MIN(MAX((N98/N69-$G$17)/($G$19-$G$17), 0), 1))</f>
        <v>1</v>
      </c>
      <c r="Q87" s="4">
        <f>Q63</f>
        <v>0.05</v>
      </c>
      <c r="S87" s="4">
        <f>IF(Q98=0,1,MIN(MAX((Q98/Q69-$G$17)/($G$19-$G$17), 0), 1))</f>
        <v>1</v>
      </c>
      <c r="T87" s="4">
        <f>T63</f>
        <v>0.12</v>
      </c>
      <c r="V87" s="4">
        <f>IF(T98=0,1,MIN(MAX((T98/T69-$G$17)/($G$19-$G$17), 0), 1))</f>
        <v>1</v>
      </c>
      <c r="W87" s="4">
        <f>W63</f>
        <v>0.2</v>
      </c>
      <c r="Y87" s="4">
        <f>IF(W98=0,1,MIN(MAX((W98/W69-$G$17)/($G$19-$G$17), 0), 1))</f>
        <v>1</v>
      </c>
      <c r="Z87" s="4">
        <f>Z63</f>
        <v>0.36</v>
      </c>
      <c r="AA87" s="37" t="s">
        <v>310</v>
      </c>
      <c r="AB87" s="42" t="s">
        <v>433</v>
      </c>
      <c r="AC87" s="43" t="s">
        <v>357</v>
      </c>
    </row>
    <row r="88" spans="1:29" ht="34" x14ac:dyDescent="0.2">
      <c r="B88" s="37"/>
      <c r="C88" s="50"/>
      <c r="F88" s="14" t="s">
        <v>133</v>
      </c>
      <c r="H88" s="4">
        <f>H64</f>
        <v>0</v>
      </c>
      <c r="J88" s="4">
        <f>IF(H99=0,1,MIN(MAX((H99/H70-$G$17)/($G$19-$G$17), 0), 1))</f>
        <v>1</v>
      </c>
      <c r="K88" s="4">
        <f>K64</f>
        <v>0</v>
      </c>
      <c r="M88" s="4">
        <f>IF(K99=0,1,MIN(MAX((K99/K70-$G$17)/($G$19-$G$17), 0), 1))</f>
        <v>1</v>
      </c>
      <c r="N88" s="4">
        <f>N64</f>
        <v>0</v>
      </c>
      <c r="P88" s="4">
        <f>IF(N99=0,1,MIN(MAX((N99/N70-$G$17)/($G$19-$G$17), 0), 1))</f>
        <v>1</v>
      </c>
      <c r="Q88" s="4">
        <f>Q64</f>
        <v>0.01</v>
      </c>
      <c r="S88" s="4">
        <f>IF(Q99=0,1,MIN(MAX((Q99/Q70-$G$17)/($G$19-$G$17), 0), 1))</f>
        <v>1</v>
      </c>
      <c r="T88" s="4">
        <f>T64</f>
        <v>0.05</v>
      </c>
      <c r="V88" s="4">
        <f>IF(T99=0,1,MIN(MAX((T99/T70-$G$17)/($G$19-$G$17), 0), 1))</f>
        <v>1</v>
      </c>
      <c r="W88" s="4">
        <f>W64</f>
        <v>0.12</v>
      </c>
      <c r="Y88" s="4">
        <f>IF(W99=0,1,MIN(MAX((W99/W70-$G$17)/($G$19-$G$17), 0), 1))</f>
        <v>1</v>
      </c>
      <c r="Z88" s="4">
        <f>Z64</f>
        <v>0.2</v>
      </c>
      <c r="AA88" s="37"/>
      <c r="AB88" s="42"/>
      <c r="AC88" s="43"/>
    </row>
    <row r="89" spans="1:29" ht="34" x14ac:dyDescent="0.2">
      <c r="B89" s="41"/>
      <c r="C89" s="50"/>
      <c r="F89" s="14" t="s">
        <v>134</v>
      </c>
      <c r="H89" s="4">
        <f>H65</f>
        <v>0</v>
      </c>
      <c r="J89" s="4">
        <f>IF(H100=0,1,MIN(MAX((H100/H71-$G$17)/($G$19-$G$17), 0), 1))</f>
        <v>1</v>
      </c>
      <c r="K89" s="4">
        <f>K65</f>
        <v>0</v>
      </c>
      <c r="M89" s="4">
        <f>IF(K100=0,1,MIN(MAX((K100/K71-$G$17)/($G$19-$G$17), 0), 1))</f>
        <v>1</v>
      </c>
      <c r="N89" s="4">
        <f>N65</f>
        <v>0</v>
      </c>
      <c r="P89" s="4">
        <f>IF(N100=0,1,MIN(MAX((N100/N71-$G$17)/($G$19-$G$17), 0), 1))</f>
        <v>1</v>
      </c>
      <c r="Q89" s="4">
        <f>Q65</f>
        <v>0</v>
      </c>
      <c r="S89" s="4">
        <f>IF(Q100=0,1,MIN(MAX((Q100/Q71-$G$17)/($G$19-$G$17), 0), 1))</f>
        <v>1</v>
      </c>
      <c r="T89" s="4">
        <f>T65</f>
        <v>0.01</v>
      </c>
      <c r="V89" s="4">
        <f>IF(T100=0,1,MIN(MAX((T100/T71-$G$17)/($G$19-$G$17), 0), 1))</f>
        <v>1</v>
      </c>
      <c r="W89" s="4">
        <f>W65</f>
        <v>0.05</v>
      </c>
      <c r="Y89" s="4">
        <f>IF(W100=0,1,MIN(MAX((W100/W71-$G$17)/($G$19-$G$17), 0), 1))</f>
        <v>1</v>
      </c>
      <c r="Z89" s="4">
        <f>Z65</f>
        <v>0.12</v>
      </c>
      <c r="AA89" s="37"/>
      <c r="AB89" s="42"/>
      <c r="AC89" s="43"/>
    </row>
    <row r="90" spans="1:29" x14ac:dyDescent="0.2">
      <c r="F90" s="14"/>
      <c r="AB90" s="42"/>
      <c r="AC90" s="43"/>
    </row>
    <row r="91" spans="1:29" ht="51" x14ac:dyDescent="0.2">
      <c r="A91" s="61" t="s">
        <v>424</v>
      </c>
      <c r="B91" s="49" t="s">
        <v>202</v>
      </c>
      <c r="C91" s="50" t="s">
        <v>174</v>
      </c>
      <c r="F91" s="14" t="s">
        <v>203</v>
      </c>
      <c r="H91" s="4">
        <f>H57*H33</f>
        <v>0</v>
      </c>
      <c r="K91" s="4">
        <f>(H97-K80-K43)*$G$30</f>
        <v>0</v>
      </c>
      <c r="N91" s="4">
        <f>(K97-N80-N43)*$G$30</f>
        <v>1.3345E-3</v>
      </c>
      <c r="Q91" s="4">
        <f>(N97-Q80-Q43)*$G$30</f>
        <v>8.0049048349999999E-3</v>
      </c>
      <c r="T91" s="4">
        <f>(Q97-T80-T43)*$G$30</f>
        <v>2.4006337134409049E-2</v>
      </c>
      <c r="W91" s="4">
        <f>(T97-W80-W43)*$G$30</f>
        <v>5.0658647185108027E-2</v>
      </c>
      <c r="Z91" s="4">
        <f>(W97-Z80-Z43)*$G$30</f>
        <v>9.8621113109027395E-2</v>
      </c>
      <c r="AA91" s="37" t="s">
        <v>461</v>
      </c>
      <c r="AB91" s="42" t="s">
        <v>403</v>
      </c>
      <c r="AC91" s="43" t="s">
        <v>315</v>
      </c>
    </row>
    <row r="92" spans="1:29" ht="51" x14ac:dyDescent="0.2">
      <c r="B92" s="49"/>
      <c r="C92" s="50"/>
      <c r="F92" s="14" t="s">
        <v>204</v>
      </c>
      <c r="H92" s="4">
        <f>H58*H34</f>
        <v>0</v>
      </c>
      <c r="K92" s="4">
        <f>(H98-K81-K44)*$G$30</f>
        <v>0</v>
      </c>
      <c r="N92" s="4">
        <f>(K98-N81-N44)*$G$30</f>
        <v>0</v>
      </c>
      <c r="Q92" s="4">
        <f>(N98-Q81-Q44)*$G$30</f>
        <v>1.2560000000000002E-3</v>
      </c>
      <c r="T92" s="4">
        <f>(Q98-T81-T44)*$G$30</f>
        <v>7.5340280800000005E-3</v>
      </c>
      <c r="W92" s="4">
        <f>(T98-W81-W44)*$G$30</f>
        <v>2.2594199655914398E-2</v>
      </c>
      <c r="Z92" s="4">
        <f>(W98-Z81-Z44)*$G$30</f>
        <v>4.7678726762454618E-2</v>
      </c>
      <c r="AA92" s="37"/>
      <c r="AB92" s="42"/>
      <c r="AC92" s="43"/>
    </row>
    <row r="93" spans="1:29" ht="51" x14ac:dyDescent="0.2">
      <c r="B93" s="49"/>
      <c r="C93" s="50"/>
      <c r="F93" s="14" t="s">
        <v>205</v>
      </c>
      <c r="H93" s="4">
        <f>H59*H35</f>
        <v>0</v>
      </c>
      <c r="K93" s="4">
        <f>(H99-K82-K45)*$G$30</f>
        <v>0</v>
      </c>
      <c r="N93" s="4">
        <f>(K99-N82-N45)*$G$30</f>
        <v>0</v>
      </c>
      <c r="Q93" s="4">
        <f>(N99-Q82-Q45)*$G$30</f>
        <v>0</v>
      </c>
      <c r="T93" s="4">
        <f>(Q99-T82-T45)*$G$30</f>
        <v>1.4444E-3</v>
      </c>
      <c r="W93" s="4">
        <f>(T99-W82-W45)*$G$30</f>
        <v>8.664132292000002E-3</v>
      </c>
      <c r="Z93" s="4">
        <f>(W99-Z82-Z45)*$G$30</f>
        <v>2.5983329604301563E-2</v>
      </c>
      <c r="AA93" s="37"/>
      <c r="AB93" s="42"/>
      <c r="AC93" s="43"/>
    </row>
    <row r="94" spans="1:29" ht="51" x14ac:dyDescent="0.2">
      <c r="B94" s="49"/>
      <c r="C94" s="50"/>
      <c r="F94" s="14" t="s">
        <v>206</v>
      </c>
      <c r="H94" s="4">
        <f>H60*H36</f>
        <v>0</v>
      </c>
      <c r="K94" s="4">
        <f>(H100-K83-K46)*$G$30</f>
        <v>0</v>
      </c>
      <c r="N94" s="4">
        <f>(K100-N83-N46)*$G$30</f>
        <v>0</v>
      </c>
      <c r="Q94" s="4">
        <f>(N100-Q83-Q46)*$G$30</f>
        <v>0</v>
      </c>
      <c r="T94" s="4">
        <f>(Q100-T83-T46)*$G$30</f>
        <v>0</v>
      </c>
      <c r="W94" s="4">
        <f>(T100-W83-W46)*$G$30</f>
        <v>6.7509999999999998E-4</v>
      </c>
      <c r="Z94" s="4">
        <f>(W100-Z83-Z46)*$G$30</f>
        <v>4.049540093E-3</v>
      </c>
      <c r="AA94" s="37"/>
      <c r="AB94" s="42"/>
      <c r="AC94" s="43"/>
    </row>
    <row r="95" spans="1:29" ht="17" x14ac:dyDescent="0.2">
      <c r="A95" s="61" t="s">
        <v>424</v>
      </c>
      <c r="B95" s="37" t="s">
        <v>457</v>
      </c>
      <c r="C95" s="28"/>
      <c r="F95" s="14"/>
      <c r="H95" s="4">
        <f>SUM(H91:H94)</f>
        <v>0</v>
      </c>
      <c r="K95" s="4">
        <f>SUM(K91:K94)</f>
        <v>0</v>
      </c>
      <c r="N95" s="4">
        <f>SUM(N91:N94)</f>
        <v>1.3345E-3</v>
      </c>
      <c r="Q95" s="4">
        <f>SUM(Q91:Q94)</f>
        <v>9.2609048350000001E-3</v>
      </c>
      <c r="T95" s="4">
        <f>SUM(T91:T94)</f>
        <v>3.2984765214409045E-2</v>
      </c>
      <c r="W95" s="4">
        <f>SUM(W91:W94)</f>
        <v>8.2592079133022425E-2</v>
      </c>
      <c r="Z95" s="4">
        <f>SUM(Z91:Z94)</f>
        <v>0.17633270956878355</v>
      </c>
      <c r="AA95" s="37" t="s">
        <v>460</v>
      </c>
      <c r="AB95" s="42" t="s">
        <v>458</v>
      </c>
      <c r="AC95" s="43" t="s">
        <v>459</v>
      </c>
    </row>
    <row r="96" spans="1:29" x14ac:dyDescent="0.2">
      <c r="F96" s="14"/>
      <c r="AB96" s="42"/>
      <c r="AC96" s="43"/>
    </row>
    <row r="97" spans="1:29" ht="17" x14ac:dyDescent="0.2">
      <c r="A97" s="61" t="s">
        <v>424</v>
      </c>
      <c r="B97" s="49" t="s">
        <v>207</v>
      </c>
      <c r="C97" s="50" t="s">
        <v>174</v>
      </c>
      <c r="F97" s="14" t="s">
        <v>70</v>
      </c>
      <c r="H97" s="4">
        <f>H62*H38</f>
        <v>0</v>
      </c>
      <c r="K97" s="4">
        <f>H97 - K80 - K91 - K43 + K38*K86</f>
        <v>0.85</v>
      </c>
      <c r="N97" s="4">
        <f>K97 - N80 - N91 - N43 + N38*N86</f>
        <v>5.0986655000000001</v>
      </c>
      <c r="Q97" s="4">
        <f>N97 - Q80 - Q91 - Q43 + Q38*Q86</f>
        <v>15.290660595164999</v>
      </c>
      <c r="T97" s="4">
        <f>Q97 - T80 - T91 - T43 + T38*T86</f>
        <v>32.266654258030592</v>
      </c>
      <c r="W97" s="4">
        <f>T97 - W80 - W91 - W43 + W38*W86</f>
        <v>62.815995610845476</v>
      </c>
      <c r="Z97" s="4">
        <f>W97 - Z80 - Z91 - Z43 + Z38*Z86</f>
        <v>113.71737449773644</v>
      </c>
      <c r="AA97" s="38" t="s">
        <v>311</v>
      </c>
      <c r="AB97" s="42" t="s">
        <v>404</v>
      </c>
      <c r="AC97" s="43" t="s">
        <v>347</v>
      </c>
    </row>
    <row r="98" spans="1:29" ht="17" x14ac:dyDescent="0.2">
      <c r="B98" s="49"/>
      <c r="C98" s="50"/>
      <c r="F98" s="14" t="s">
        <v>71</v>
      </c>
      <c r="H98" s="4">
        <f>H63*H39</f>
        <v>0</v>
      </c>
      <c r="K98" s="4">
        <f>H98 - K81 - K92 - K44 + K39*K87</f>
        <v>0</v>
      </c>
      <c r="N98" s="4">
        <f>K98 - N81 - N92 - N44 + N39*N87</f>
        <v>0.8</v>
      </c>
      <c r="Q98" s="4">
        <f>N98 - Q81 - Q92 - Q44 + Q39*Q87</f>
        <v>4.7987440000000001</v>
      </c>
      <c r="T98" s="4">
        <f>Q98 - T81 - T92 - T44 + T39*T87</f>
        <v>14.391209971919999</v>
      </c>
      <c r="W98" s="4">
        <f>T98 - W81 - W92 - W44 + W39*W87</f>
        <v>30.368615772264086</v>
      </c>
      <c r="Z98" s="4">
        <f>W98 - Z81 - Z92 - Z44 + Z39*Z87</f>
        <v>59.120937045501627</v>
      </c>
      <c r="AA98" s="37"/>
      <c r="AB98" s="42"/>
      <c r="AC98" s="43"/>
    </row>
    <row r="99" spans="1:29" ht="17" x14ac:dyDescent="0.2">
      <c r="B99" s="49"/>
      <c r="C99" s="50"/>
      <c r="F99" s="14" t="s">
        <v>72</v>
      </c>
      <c r="H99" s="4">
        <f>H64*H40</f>
        <v>0</v>
      </c>
      <c r="K99" s="4">
        <f>H99 - K82 - K93 - K45 + K40*K88</f>
        <v>0</v>
      </c>
      <c r="N99" s="4">
        <f>K99 - N82 - N93 - N45 + N40*N88</f>
        <v>0</v>
      </c>
      <c r="Q99" s="4">
        <f>N99 - Q82 - Q93 - Q45 + Q40*Q88</f>
        <v>0.92</v>
      </c>
      <c r="T99" s="4">
        <f>Q99 - T82 - T93 - T45 + T40*T88</f>
        <v>5.5185556000000009</v>
      </c>
      <c r="W99" s="4">
        <f>T99 - W82 - W93 - W45 + W40*W88</f>
        <v>16.549891467708001</v>
      </c>
      <c r="Z99" s="4">
        <f>W99 - Z82 - Z93 - Z45 + Z40*Z88</f>
        <v>34.923908138103698</v>
      </c>
      <c r="AA99" s="37"/>
      <c r="AB99" s="42"/>
      <c r="AC99" s="43"/>
    </row>
    <row r="100" spans="1:29" ht="17" customHeight="1" x14ac:dyDescent="0.2">
      <c r="B100" s="49"/>
      <c r="C100" s="50"/>
      <c r="F100" s="14" t="s">
        <v>81</v>
      </c>
      <c r="H100" s="4">
        <f>H65*H41</f>
        <v>0</v>
      </c>
      <c r="K100" s="4">
        <f>H100 - K83 - K94 - K46 + K41*K89</f>
        <v>0</v>
      </c>
      <c r="N100" s="4">
        <f>K100 - N83 - N94 - N46 + N41*N89</f>
        <v>0</v>
      </c>
      <c r="Q100" s="4">
        <f>N100 - Q83 - Q94 - Q46 + Q41*Q89</f>
        <v>0</v>
      </c>
      <c r="T100" s="4">
        <f>Q100 - T83 - T94 - T46 + T41*T89</f>
        <v>0.43</v>
      </c>
      <c r="W100" s="4">
        <f>T100 - W83 - W94 - W46 + W41*W89</f>
        <v>2.5793249</v>
      </c>
      <c r="Z100" s="4">
        <f>W100 - Z83 - Z94 - Z46 + Z41*Z89</f>
        <v>7.7352753599069999</v>
      </c>
      <c r="AA100" s="37"/>
      <c r="AB100" s="42"/>
      <c r="AC100" s="43"/>
    </row>
    <row r="101" spans="1:29" x14ac:dyDescent="0.2">
      <c r="E101" s="26"/>
      <c r="F101" s="14"/>
      <c r="AB101" s="42"/>
      <c r="AC101" s="43"/>
    </row>
    <row r="102" spans="1:29" ht="17" x14ac:dyDescent="0.2">
      <c r="A102" s="61" t="s">
        <v>424</v>
      </c>
      <c r="B102" s="49" t="s">
        <v>208</v>
      </c>
      <c r="C102" s="50" t="s">
        <v>174</v>
      </c>
      <c r="E102" s="26"/>
      <c r="F102" s="14" t="s">
        <v>209</v>
      </c>
      <c r="H102" s="4">
        <f>H97*$H$21</f>
        <v>0</v>
      </c>
      <c r="K102" s="4">
        <f>K97*$H$21</f>
        <v>0.21249999999999999</v>
      </c>
      <c r="N102" s="4">
        <f>N97*$H$21</f>
        <v>1.274666375</v>
      </c>
      <c r="Q102" s="4">
        <f>Q97*$H$21</f>
        <v>3.8226651487912497</v>
      </c>
      <c r="T102" s="4">
        <f>T97*$H$21</f>
        <v>8.0666635645076479</v>
      </c>
      <c r="W102" s="4">
        <f>W97*$H$21</f>
        <v>15.703998902711369</v>
      </c>
      <c r="Z102" s="4">
        <f>Z97*$H$21</f>
        <v>28.429343624434111</v>
      </c>
      <c r="AA102" s="38" t="s">
        <v>314</v>
      </c>
      <c r="AB102" s="42" t="s">
        <v>405</v>
      </c>
      <c r="AC102" s="43" t="s">
        <v>347</v>
      </c>
    </row>
    <row r="103" spans="1:29" ht="17" x14ac:dyDescent="0.2">
      <c r="B103" s="49"/>
      <c r="C103" s="50"/>
      <c r="E103" s="26"/>
      <c r="F103" s="14" t="s">
        <v>210</v>
      </c>
      <c r="H103" s="4">
        <f t="shared" ref="H103:H105" si="9">H98*$H$21</f>
        <v>0</v>
      </c>
      <c r="K103" s="4">
        <f t="shared" ref="K103:K105" si="10">K98*$H$21</f>
        <v>0</v>
      </c>
      <c r="N103" s="4">
        <f t="shared" ref="N103:N105" si="11">N98*$H$21</f>
        <v>0.2</v>
      </c>
      <c r="Q103" s="4">
        <f t="shared" ref="Q103:Q105" si="12">Q98*$H$21</f>
        <v>1.199686</v>
      </c>
      <c r="T103" s="4">
        <f t="shared" ref="T103:T105" si="13">T98*$H$21</f>
        <v>3.5978024929799997</v>
      </c>
      <c r="W103" s="4">
        <f t="shared" ref="W103:W105" si="14">W98*$H$21</f>
        <v>7.5921539430660214</v>
      </c>
      <c r="Z103" s="4">
        <f t="shared" ref="Z103:Z105" si="15">Z98*$H$21</f>
        <v>14.780234261375407</v>
      </c>
      <c r="AA103" s="37"/>
      <c r="AB103" s="42"/>
      <c r="AC103" s="43"/>
    </row>
    <row r="104" spans="1:29" ht="17" x14ac:dyDescent="0.2">
      <c r="B104" s="49"/>
      <c r="C104" s="50"/>
      <c r="E104" s="26"/>
      <c r="F104" s="14" t="s">
        <v>211</v>
      </c>
      <c r="H104" s="4">
        <f>H99*$H$21</f>
        <v>0</v>
      </c>
      <c r="K104" s="4">
        <f>K99*$H$21</f>
        <v>0</v>
      </c>
      <c r="N104" s="4">
        <f>N99*$H$21</f>
        <v>0</v>
      </c>
      <c r="Q104" s="4">
        <f>Q99*$H$21</f>
        <v>0.23</v>
      </c>
      <c r="T104" s="4">
        <f>T99*$H$21</f>
        <v>1.3796389000000002</v>
      </c>
      <c r="W104" s="4">
        <f>W99*$H$21</f>
        <v>4.1374728669270002</v>
      </c>
      <c r="Z104" s="4">
        <f>Z99*$H$21</f>
        <v>8.7309770345259246</v>
      </c>
      <c r="AA104" s="37"/>
      <c r="AB104" s="42"/>
      <c r="AC104" s="43"/>
    </row>
    <row r="105" spans="1:29" ht="17" x14ac:dyDescent="0.2">
      <c r="B105" s="49"/>
      <c r="C105" s="50"/>
      <c r="E105" s="26"/>
      <c r="F105" s="14" t="s">
        <v>212</v>
      </c>
      <c r="H105" s="4">
        <f t="shared" si="9"/>
        <v>0</v>
      </c>
      <c r="K105" s="4">
        <f t="shared" si="10"/>
        <v>0</v>
      </c>
      <c r="N105" s="4">
        <f t="shared" si="11"/>
        <v>0</v>
      </c>
      <c r="Q105" s="4">
        <f t="shared" si="12"/>
        <v>0</v>
      </c>
      <c r="T105" s="4">
        <f t="shared" si="13"/>
        <v>0.1075</v>
      </c>
      <c r="W105" s="4">
        <f t="shared" si="14"/>
        <v>0.64483122500000001</v>
      </c>
      <c r="Z105" s="4">
        <f t="shared" si="15"/>
        <v>1.93381883997675</v>
      </c>
      <c r="AA105" s="37"/>
      <c r="AB105" s="42"/>
      <c r="AC105" s="43"/>
    </row>
    <row r="106" spans="1:29" x14ac:dyDescent="0.2">
      <c r="B106" s="29"/>
      <c r="C106" s="35"/>
      <c r="E106" s="26"/>
      <c r="F106" s="14"/>
      <c r="AA106" s="29"/>
      <c r="AB106" s="42"/>
      <c r="AC106" s="43"/>
    </row>
    <row r="107" spans="1:29" x14ac:dyDescent="0.2">
      <c r="B107" s="29"/>
      <c r="C107" s="35"/>
      <c r="E107" s="26"/>
      <c r="F107" s="14"/>
      <c r="AA107" s="29"/>
      <c r="AB107" s="42"/>
      <c r="AC107" s="43"/>
    </row>
    <row r="108" spans="1:29" ht="34" x14ac:dyDescent="0.2">
      <c r="E108" s="26"/>
      <c r="F108" s="15" t="s">
        <v>140</v>
      </c>
      <c r="G108" s="8" t="s">
        <v>124</v>
      </c>
      <c r="H108" s="8"/>
      <c r="AB108" s="42"/>
      <c r="AC108" s="43"/>
    </row>
    <row r="109" spans="1:29" ht="34" x14ac:dyDescent="0.2">
      <c r="B109" s="38" t="s">
        <v>234</v>
      </c>
      <c r="C109" s="34" t="s">
        <v>180</v>
      </c>
      <c r="E109" s="26"/>
      <c r="F109" s="14" t="s">
        <v>90</v>
      </c>
      <c r="G109" s="4">
        <f>$G$29</f>
        <v>0.3</v>
      </c>
      <c r="H109" s="4">
        <f>$H$29</f>
        <v>0.92</v>
      </c>
      <c r="J109" s="4">
        <f>$G$29</f>
        <v>0.3</v>
      </c>
      <c r="K109" s="4">
        <f>$H$29</f>
        <v>0.92</v>
      </c>
      <c r="M109" s="4">
        <f>$G$29</f>
        <v>0.3</v>
      </c>
      <c r="N109" s="4">
        <f>$H$29</f>
        <v>0.92</v>
      </c>
      <c r="P109" s="4">
        <f>$G$29</f>
        <v>0.3</v>
      </c>
      <c r="Q109" s="4">
        <f>$H$29</f>
        <v>0.92</v>
      </c>
      <c r="S109" s="4">
        <f>$G$29</f>
        <v>0.3</v>
      </c>
      <c r="T109" s="4">
        <f>$H$29</f>
        <v>0.92</v>
      </c>
      <c r="V109" s="4">
        <f>$G$29</f>
        <v>0.3</v>
      </c>
      <c r="W109" s="4">
        <f>$H$29</f>
        <v>0.92</v>
      </c>
      <c r="Y109" s="4">
        <f>$G$29</f>
        <v>0.3</v>
      </c>
      <c r="Z109" s="4">
        <f>$H$29</f>
        <v>0.92</v>
      </c>
      <c r="AA109" s="38"/>
      <c r="AB109" s="42"/>
      <c r="AC109" s="43"/>
    </row>
    <row r="110" spans="1:29" ht="34" x14ac:dyDescent="0.2">
      <c r="A110" s="61" t="s">
        <v>424</v>
      </c>
      <c r="B110" s="38" t="s">
        <v>235</v>
      </c>
      <c r="C110" s="28" t="s">
        <v>174</v>
      </c>
      <c r="F110" s="14" t="s">
        <v>141</v>
      </c>
      <c r="G110" s="4">
        <f>G7*$G$20</f>
        <v>7500000</v>
      </c>
      <c r="H110" s="4">
        <f>H7*$H$20</f>
        <v>25000000</v>
      </c>
      <c r="J110" s="4">
        <f>J7*$G$20</f>
        <v>7492500</v>
      </c>
      <c r="K110" s="4">
        <f>K7*$H$20</f>
        <v>24990000</v>
      </c>
      <c r="M110" s="4">
        <f>M7*$G$20</f>
        <v>7483200</v>
      </c>
      <c r="N110" s="4">
        <f>N7*$H$20</f>
        <v>24979000</v>
      </c>
      <c r="P110" s="4">
        <f>P7*$G$20</f>
        <v>7474500</v>
      </c>
      <c r="Q110" s="4">
        <f>Q7*$H$20</f>
        <v>24969600</v>
      </c>
      <c r="S110" s="4">
        <f>S7*$G$20</f>
        <v>7464000</v>
      </c>
      <c r="T110" s="4">
        <f>T7*$H$20</f>
        <v>24950400</v>
      </c>
      <c r="V110" s="4">
        <f>V7*$G$20</f>
        <v>7449000</v>
      </c>
      <c r="W110" s="4">
        <f>W7*$H$20</f>
        <v>24946500</v>
      </c>
      <c r="Y110" s="4">
        <f>Y7*$G$20</f>
        <v>7434300</v>
      </c>
      <c r="Z110" s="4">
        <f>Z7*$H$20</f>
        <v>24936000</v>
      </c>
      <c r="AA110" s="38" t="s">
        <v>473</v>
      </c>
      <c r="AB110" s="42" t="s">
        <v>372</v>
      </c>
      <c r="AC110" s="43" t="s">
        <v>319</v>
      </c>
    </row>
    <row r="111" spans="1:29" ht="34" x14ac:dyDescent="0.2">
      <c r="A111" s="61" t="s">
        <v>424</v>
      </c>
      <c r="B111" s="38" t="s">
        <v>181</v>
      </c>
      <c r="C111" s="28" t="s">
        <v>174</v>
      </c>
      <c r="F111" s="14" t="s">
        <v>164</v>
      </c>
      <c r="G111" s="4">
        <v>1</v>
      </c>
      <c r="H111" s="4">
        <v>1</v>
      </c>
      <c r="J111" s="4">
        <f>IF(G113=0,0,MIN(MAX((G113/G110-$G$17)/($G$19-$G$17), 0), 1))</f>
        <v>1</v>
      </c>
      <c r="K111" s="4">
        <f>IF(H113=0,0,MIN(MAX((H113/H110-$H$17)/($G$19-$H$17), 0), 1))</f>
        <v>1</v>
      </c>
      <c r="M111" s="4">
        <f>IF(J113=0,0,MIN(MAX((J113/J110-$G$17)/($G$19-$G$17), 0), 1))</f>
        <v>1</v>
      </c>
      <c r="N111" s="4">
        <f>IF(K113=0,0,MIN(MAX((K113/K110-$H$17)/($G$19-$H$17), 0), 1))</f>
        <v>1</v>
      </c>
      <c r="P111" s="4">
        <f>IF(M113=0,0,MIN(MAX((M113/M110-$G$17)/($G$19-$G$17), 0), 1))</f>
        <v>1</v>
      </c>
      <c r="Q111" s="4">
        <f>IF(N113=0,0,MIN(MAX((N113/N110-$H$17)/($G$19-$H$17), 0), 1))</f>
        <v>1</v>
      </c>
      <c r="S111" s="4">
        <f>IF(P113=0,0,MIN(MAX((P113/P110-$G$17)/($G$19-$G$17), 0), 1))</f>
        <v>1</v>
      </c>
      <c r="T111" s="4">
        <f>IF(Q113=0,0,MIN(MAX((Q113/Q110-$H$17)/($G$19-$H$17), 0), 1))</f>
        <v>1</v>
      </c>
      <c r="V111" s="4">
        <f>IF(S113=0,0,MIN(MAX((S113/S110-$G$17)/($G$19-$G$17), 0), 1))</f>
        <v>1</v>
      </c>
      <c r="W111" s="4">
        <f>IF(T113=0,0,MIN(MAX((T113/T110-$H$17)/($G$19-$H$17), 0), 1))</f>
        <v>1</v>
      </c>
      <c r="Y111" s="4">
        <f>IF(V113=0,0,MIN(MAX((V113/V110-$G$17)/($G$19-$G$17), 0), 1))</f>
        <v>0.8611518815783703</v>
      </c>
      <c r="Z111" s="4">
        <f>IF(W113=0,0,MIN(MAX((W113/W110-$H$17)/($G$19-$H$17), 0), 1))</f>
        <v>1</v>
      </c>
      <c r="AA111" s="38" t="s">
        <v>447</v>
      </c>
      <c r="AB111" s="42" t="s">
        <v>373</v>
      </c>
      <c r="AC111" s="43" t="s">
        <v>357</v>
      </c>
    </row>
    <row r="112" spans="1:29" ht="34" x14ac:dyDescent="0.2">
      <c r="A112" s="61" t="s">
        <v>424</v>
      </c>
      <c r="B112" s="38" t="s">
        <v>182</v>
      </c>
      <c r="C112" s="33" t="s">
        <v>163</v>
      </c>
      <c r="F112" s="14" t="s">
        <v>131</v>
      </c>
      <c r="G112" s="4">
        <f>G109</f>
        <v>0.3</v>
      </c>
      <c r="H112" s="4">
        <f>H109</f>
        <v>0.92</v>
      </c>
      <c r="J112" s="4">
        <f xml:space="preserve"> J109*J111</f>
        <v>0.3</v>
      </c>
      <c r="K112" s="4">
        <f>K109*K111</f>
        <v>0.92</v>
      </c>
      <c r="M112" s="4">
        <f xml:space="preserve"> M109*M111</f>
        <v>0.3</v>
      </c>
      <c r="N112" s="4">
        <f>N109*N111</f>
        <v>0.92</v>
      </c>
      <c r="P112" s="4">
        <f xml:space="preserve"> P109*P111</f>
        <v>0.3</v>
      </c>
      <c r="Q112" s="4">
        <f>Q109*Q111</f>
        <v>0.92</v>
      </c>
      <c r="S112" s="4">
        <f xml:space="preserve"> S109*S111</f>
        <v>0.3</v>
      </c>
      <c r="T112" s="4">
        <f>T109*T111</f>
        <v>0.92</v>
      </c>
      <c r="V112" s="4">
        <f xml:space="preserve"> V109*V111</f>
        <v>0.3</v>
      </c>
      <c r="W112" s="4">
        <f>W109*W111</f>
        <v>0.92</v>
      </c>
      <c r="Y112" s="4">
        <f xml:space="preserve"> Y109*Y111</f>
        <v>0.25834556447351109</v>
      </c>
      <c r="Z112" s="4">
        <f>Z109*Z111</f>
        <v>0.92</v>
      </c>
      <c r="AA112" s="38" t="s">
        <v>472</v>
      </c>
      <c r="AB112" s="42" t="s">
        <v>374</v>
      </c>
      <c r="AC112" s="43" t="s">
        <v>344</v>
      </c>
    </row>
    <row r="113" spans="1:29" ht="34" x14ac:dyDescent="0.2">
      <c r="A113" s="61" t="s">
        <v>424</v>
      </c>
      <c r="B113" s="38" t="s">
        <v>236</v>
      </c>
      <c r="C113" s="33" t="s">
        <v>163</v>
      </c>
      <c r="F113" s="14" t="s">
        <v>172</v>
      </c>
      <c r="G113" s="4">
        <f>G7*G20</f>
        <v>7500000</v>
      </c>
      <c r="H113" s="4">
        <f>H7*H20</f>
        <v>25000000</v>
      </c>
      <c r="J113" s="4">
        <f>G113 - G134 - G122 - G145+J112*J7</f>
        <v>6966918.08125271</v>
      </c>
      <c r="K113" s="4">
        <f>H113 - H134 - H122 - (H145 - H95)+ K112*K7</f>
        <v>23723974.534997292</v>
      </c>
      <c r="M113" s="4">
        <f>J113 - J134 - J122 - J145+M112*M7</f>
        <v>6430976.9232831635</v>
      </c>
      <c r="N113" s="4">
        <f>K113 - K134 - K122 - (K145 - K95)+ N112*N7</f>
        <v>22403030.169761121</v>
      </c>
      <c r="P113" s="4">
        <f>M113 - M134 - M122 - M145+P112*P7</f>
        <v>5878439.281534086</v>
      </c>
      <c r="Q113" s="4">
        <f>N113 - N134 - N122 - (N145 - N95)+ Q112*Q7</f>
        <v>21042661.125952005</v>
      </c>
      <c r="S113" s="4">
        <f>P113 - P134 - P122 - P145+S112*S7</f>
        <v>5319767.3070256906</v>
      </c>
      <c r="T113" s="4">
        <f>Q113 - Q134 - Q122 - (Q145 - Q95)+ T112*T7</f>
        <v>19588129.954529207</v>
      </c>
      <c r="V113" s="4">
        <f>S113 - S134 - S122 - S145+V112*V7</f>
        <v>4639771.7554611461</v>
      </c>
      <c r="W113" s="4">
        <f>T113 - T134 - T122 - (T145 - T95)+ W112*W7</f>
        <v>17473377.857190389</v>
      </c>
      <c r="Y113" s="4">
        <f>V113 - V134 - V122 - V145+Y112*Y7</f>
        <v>4179370.6044759089</v>
      </c>
      <c r="Z113" s="4">
        <f>W113 - W134 - W122 - (W145 - W95)+ Z112*Z7</f>
        <v>15778712.754563004</v>
      </c>
      <c r="AA113" s="38" t="s">
        <v>474</v>
      </c>
      <c r="AB113" s="42" t="s">
        <v>375</v>
      </c>
      <c r="AC113" s="43" t="s">
        <v>319</v>
      </c>
    </row>
    <row r="114" spans="1:29" ht="34" x14ac:dyDescent="0.2">
      <c r="A114" s="61" t="s">
        <v>424</v>
      </c>
      <c r="B114" s="38" t="s">
        <v>239</v>
      </c>
      <c r="C114" s="33" t="s">
        <v>163</v>
      </c>
      <c r="F114" s="14" t="s">
        <v>142</v>
      </c>
      <c r="G114" s="4">
        <f>IF(G7=0,0,G113/G7)</f>
        <v>150</v>
      </c>
      <c r="H114" s="4">
        <f>IF(H7=0,0,H113/H7)</f>
        <v>100</v>
      </c>
      <c r="J114" s="4">
        <f>IF(J7=0,0,J113/J7)</f>
        <v>139.47783946451872</v>
      </c>
      <c r="K114" s="4">
        <f>IF(K7=0,0,K113/K7)</f>
        <v>94.933871688664638</v>
      </c>
      <c r="M114" s="4">
        <f>IF(M7=0,0,M113/M7)</f>
        <v>128.90829304207753</v>
      </c>
      <c r="N114" s="4">
        <f>IF(N7=0,0,N113/N7)</f>
        <v>89.687458143885351</v>
      </c>
      <c r="P114" s="4">
        <f>IF(P7=0,0,P113/P7)</f>
        <v>117.96988323367621</v>
      </c>
      <c r="Q114" s="4">
        <f>IF(Q7=0,0,Q113/Q7)</f>
        <v>84.273120618480093</v>
      </c>
      <c r="S114" s="4">
        <f>IF(S7=0,0,S113/S7)</f>
        <v>106.90850697398896</v>
      </c>
      <c r="T114" s="4">
        <f>IF(T7=0,0,T113/T7)</f>
        <v>78.508280246125139</v>
      </c>
      <c r="V114" s="4">
        <f>IF(V7=0,0,V113/V7)</f>
        <v>93.430764306507172</v>
      </c>
      <c r="W114" s="4">
        <f>IF(W7=0,0,W113/W7)</f>
        <v>70.043404313993506</v>
      </c>
      <c r="Y114" s="4">
        <f>IF(Y7=0,0,Y113/Y7)</f>
        <v>84.326108802629207</v>
      </c>
      <c r="Z114" s="4">
        <f>IF(Z7=0,0,Z113/Z7)</f>
        <v>63.276839727955583</v>
      </c>
      <c r="AA114" s="38" t="s">
        <v>470</v>
      </c>
      <c r="AB114" s="42" t="s">
        <v>376</v>
      </c>
      <c r="AC114" s="43" t="s">
        <v>344</v>
      </c>
    </row>
    <row r="115" spans="1:29" ht="68" x14ac:dyDescent="0.2">
      <c r="A115" s="61" t="s">
        <v>424</v>
      </c>
      <c r="B115" s="38" t="s">
        <v>277</v>
      </c>
      <c r="C115" s="28" t="s">
        <v>174</v>
      </c>
      <c r="F115" s="10" t="s">
        <v>75</v>
      </c>
      <c r="G115" s="4">
        <f>MAX(G114-$G22,0)</f>
        <v>100.4134425</v>
      </c>
      <c r="H115" s="4">
        <f>MAX(H114-$H22,0)</f>
        <v>62.199106999999998</v>
      </c>
      <c r="J115" s="4">
        <f>MAX(J114-$G22,0)</f>
        <v>89.891281964518726</v>
      </c>
      <c r="K115" s="4">
        <f>MAX(K114-$H22,0)</f>
        <v>57.132978688664636</v>
      </c>
      <c r="M115" s="4">
        <f>MAX(M114-$G22,0)</f>
        <v>79.321735542077533</v>
      </c>
      <c r="N115" s="4">
        <f>MAX(N114-$H22,0)</f>
        <v>51.886565143885349</v>
      </c>
      <c r="P115" s="4">
        <f>MAX(P114-$G22,0)</f>
        <v>68.383325733676216</v>
      </c>
      <c r="Q115" s="4">
        <f>MAX(Q114-$H22,0)</f>
        <v>46.47222761848009</v>
      </c>
      <c r="S115" s="4">
        <f>MAX(S114-$G22,0)</f>
        <v>57.321949473988965</v>
      </c>
      <c r="T115" s="4">
        <f>MAX(T114-$H22,0)</f>
        <v>40.707387246125137</v>
      </c>
      <c r="V115" s="4">
        <f>MAX(V114-$G22,0)</f>
        <v>43.844206806507174</v>
      </c>
      <c r="W115" s="4">
        <f>MAX(W114-$H22,0)</f>
        <v>32.242511313993504</v>
      </c>
      <c r="Y115" s="4">
        <f>MAX(Y114-$G22,0)</f>
        <v>34.739551302629209</v>
      </c>
      <c r="Z115" s="4">
        <f>MAX(Z114-$H22,0)</f>
        <v>25.475946727955581</v>
      </c>
      <c r="AA115" s="38" t="s">
        <v>471</v>
      </c>
      <c r="AB115" s="46" t="s">
        <v>377</v>
      </c>
      <c r="AC115" s="43" t="s">
        <v>344</v>
      </c>
    </row>
    <row r="116" spans="1:29" x14ac:dyDescent="0.2">
      <c r="F116" s="13"/>
      <c r="AB116" s="42"/>
      <c r="AC116" s="43"/>
    </row>
    <row r="117" spans="1:29" ht="17" x14ac:dyDescent="0.2">
      <c r="F117" s="11" t="s">
        <v>58</v>
      </c>
      <c r="G117" s="12"/>
      <c r="H117" s="12"/>
      <c r="J117" s="12"/>
      <c r="K117" s="12"/>
      <c r="M117" s="12"/>
      <c r="N117" s="12"/>
      <c r="P117" s="12"/>
      <c r="Q117" s="12"/>
      <c r="S117" s="12"/>
      <c r="T117" s="12"/>
      <c r="V117" s="12"/>
      <c r="W117" s="12"/>
      <c r="Y117" s="12"/>
      <c r="Z117" s="12"/>
      <c r="AB117" s="42"/>
      <c r="AC117" s="43"/>
    </row>
    <row r="118" spans="1:29" ht="34" x14ac:dyDescent="0.2">
      <c r="B118" s="38" t="s">
        <v>241</v>
      </c>
      <c r="C118" s="34" t="s">
        <v>180</v>
      </c>
      <c r="F118" s="10" t="s">
        <v>217</v>
      </c>
      <c r="G118" s="4">
        <f>G114*G7</f>
        <v>7500000</v>
      </c>
      <c r="H118" s="4">
        <f>H114*H7</f>
        <v>25000000</v>
      </c>
      <c r="J118" s="4">
        <f>J114*J7</f>
        <v>6966918.08125271</v>
      </c>
      <c r="K118" s="4">
        <f>K114*K7</f>
        <v>23723974.534997292</v>
      </c>
      <c r="M118" s="4">
        <f>M114*M7</f>
        <v>6430976.9232831635</v>
      </c>
      <c r="N118" s="4">
        <f>N114*N7</f>
        <v>22403030.169761121</v>
      </c>
      <c r="P118" s="4">
        <f>P114*P7</f>
        <v>5878439.281534086</v>
      </c>
      <c r="Q118" s="4">
        <f>Q114*Q7</f>
        <v>21042661.125952005</v>
      </c>
      <c r="S118" s="4">
        <f>S114*S7</f>
        <v>5319767.3070256906</v>
      </c>
      <c r="T118" s="4">
        <f>T114*T7</f>
        <v>19588129.954529207</v>
      </c>
      <c r="V118" s="4">
        <f>V114*V7</f>
        <v>4639771.7554611461</v>
      </c>
      <c r="W118" s="4">
        <f>W114*W7</f>
        <v>17473377.857190389</v>
      </c>
      <c r="Y118" s="4">
        <f>Y114*Y7</f>
        <v>4179370.6044759089</v>
      </c>
      <c r="Z118" s="4">
        <f>Z114*Z7</f>
        <v>15778712.754563004</v>
      </c>
      <c r="AA118" s="38"/>
      <c r="AB118" s="42"/>
      <c r="AC118" s="43"/>
    </row>
    <row r="119" spans="1:29" ht="34" x14ac:dyDescent="0.2">
      <c r="B119" s="38" t="s">
        <v>240</v>
      </c>
      <c r="C119" s="33" t="s">
        <v>163</v>
      </c>
      <c r="F119" s="10" t="s">
        <v>216</v>
      </c>
      <c r="H119" s="4">
        <f>SUM(H97:H100)</f>
        <v>0</v>
      </c>
      <c r="K119" s="4">
        <f>SUM(K97:K100)</f>
        <v>0.85</v>
      </c>
      <c r="N119" s="4">
        <f>SUM(N97:N100)</f>
        <v>5.8986654999999999</v>
      </c>
      <c r="Q119" s="4">
        <f>SUM(Q97:Q100)</f>
        <v>21.009404595165002</v>
      </c>
      <c r="T119" s="4">
        <f>SUM(T97:T100)</f>
        <v>52.606419829950589</v>
      </c>
      <c r="W119" s="4">
        <f>SUM(W97:W100)</f>
        <v>112.31382775081757</v>
      </c>
      <c r="Z119" s="4">
        <f>SUM(Z97:Z100)</f>
        <v>215.49749504124878</v>
      </c>
      <c r="AA119" s="38" t="s">
        <v>320</v>
      </c>
      <c r="AB119" s="42" t="s">
        <v>411</v>
      </c>
      <c r="AC119" s="43" t="s">
        <v>348</v>
      </c>
    </row>
    <row r="120" spans="1:29" ht="34" x14ac:dyDescent="0.2">
      <c r="B120" s="38" t="s">
        <v>237</v>
      </c>
      <c r="C120" s="33" t="s">
        <v>163</v>
      </c>
      <c r="F120" s="10" t="s">
        <v>215</v>
      </c>
      <c r="G120" s="4">
        <f>G118+G119</f>
        <v>7500000</v>
      </c>
      <c r="H120" s="4">
        <f>H118+H119</f>
        <v>25000000</v>
      </c>
      <c r="J120" s="4">
        <f>J118+J119</f>
        <v>6966918.08125271</v>
      </c>
      <c r="K120" s="4">
        <f>K118+K119</f>
        <v>23723975.384997293</v>
      </c>
      <c r="M120" s="4">
        <f>M118+M119</f>
        <v>6430976.9232831635</v>
      </c>
      <c r="N120" s="4">
        <f>N118+N119</f>
        <v>22403036.06842662</v>
      </c>
      <c r="P120" s="4">
        <f>P118+P119</f>
        <v>5878439.281534086</v>
      </c>
      <c r="Q120" s="4">
        <f>Q118+Q119</f>
        <v>21042682.135356601</v>
      </c>
      <c r="S120" s="4">
        <f>S118+S119</f>
        <v>5319767.3070256906</v>
      </c>
      <c r="T120" s="4">
        <f>T118+T119</f>
        <v>19588182.560949039</v>
      </c>
      <c r="V120" s="4">
        <f>V118+V119</f>
        <v>4639771.7554611461</v>
      </c>
      <c r="W120" s="4">
        <f>W118+W119</f>
        <v>17473490.171018139</v>
      </c>
      <c r="Y120" s="4">
        <f>Y118+Y119</f>
        <v>4179370.6044759089</v>
      </c>
      <c r="Z120" s="4">
        <f>Z118+Z119</f>
        <v>15778928.252058046</v>
      </c>
      <c r="AA120" s="38" t="s">
        <v>466</v>
      </c>
      <c r="AB120" s="42" t="s">
        <v>462</v>
      </c>
      <c r="AC120" s="43" t="s">
        <v>319</v>
      </c>
    </row>
    <row r="121" spans="1:29" ht="34" x14ac:dyDescent="0.2">
      <c r="B121" s="38" t="s">
        <v>238</v>
      </c>
      <c r="C121" s="33" t="s">
        <v>163</v>
      </c>
      <c r="F121" s="10" t="s">
        <v>218</v>
      </c>
      <c r="G121" s="4">
        <f>G120*$G$21</f>
        <v>2250000</v>
      </c>
      <c r="H121" s="4">
        <f>H120*$H$21</f>
        <v>6250000</v>
      </c>
      <c r="J121" s="4">
        <f>J120*$G$21</f>
        <v>2090075.424375813</v>
      </c>
      <c r="K121" s="4">
        <f>K120*$H$21</f>
        <v>5930993.8462493233</v>
      </c>
      <c r="M121" s="4">
        <f>M120*$G$21</f>
        <v>1929293.0769849489</v>
      </c>
      <c r="N121" s="4">
        <f>N120*$H$21</f>
        <v>5600759.0171066551</v>
      </c>
      <c r="P121" s="4">
        <f>P120*$G$21</f>
        <v>1763531.7844602258</v>
      </c>
      <c r="Q121" s="4">
        <f>Q120*$H$21</f>
        <v>5260670.5338391503</v>
      </c>
      <c r="S121" s="4">
        <f>S120*$G$21</f>
        <v>1595930.192107707</v>
      </c>
      <c r="T121" s="4">
        <f>T120*$H$21</f>
        <v>4897045.6402372597</v>
      </c>
      <c r="V121" s="4">
        <f>V120*$G$21</f>
        <v>1391931.5266383437</v>
      </c>
      <c r="W121" s="4">
        <f>W120*$H$21</f>
        <v>4368372.5427545346</v>
      </c>
      <c r="Y121" s="4">
        <f>Y120*$G$21</f>
        <v>1253811.1813427727</v>
      </c>
      <c r="Z121" s="4">
        <f>Z120*$H$21</f>
        <v>3944732.0630145115</v>
      </c>
      <c r="AA121" s="38" t="s">
        <v>465</v>
      </c>
      <c r="AB121" s="42" t="s">
        <v>463</v>
      </c>
      <c r="AC121" s="43" t="s">
        <v>319</v>
      </c>
    </row>
    <row r="122" spans="1:29" ht="17" x14ac:dyDescent="0.2">
      <c r="B122" s="38" t="s">
        <v>276</v>
      </c>
      <c r="C122" s="28" t="s">
        <v>174</v>
      </c>
      <c r="F122" s="10" t="s">
        <v>264</v>
      </c>
      <c r="G122" s="4">
        <f>G9*G114</f>
        <v>7500</v>
      </c>
      <c r="H122" s="4">
        <f>H9*H114</f>
        <v>10000</v>
      </c>
      <c r="J122" s="4">
        <f>J9*J114</f>
        <v>8647.6260468001601</v>
      </c>
      <c r="K122" s="4">
        <f>K9*K114</f>
        <v>10442.725885753111</v>
      </c>
      <c r="M122" s="4">
        <f>M9*M114</f>
        <v>7476.6809964404965</v>
      </c>
      <c r="N122" s="4">
        <f>N9*N114</f>
        <v>8430.6210655252235</v>
      </c>
      <c r="P122" s="4">
        <f>P9*P114</f>
        <v>8257.8918263573341</v>
      </c>
      <c r="Q122" s="4">
        <f>Q9*Q114</f>
        <v>16180.439158748177</v>
      </c>
      <c r="S122" s="4">
        <f>S9*S114</f>
        <v>10690.850697398897</v>
      </c>
      <c r="T122" s="4">
        <f>T9*T114</f>
        <v>3061.8229295988804</v>
      </c>
      <c r="V122" s="4">
        <f>V9*V114</f>
        <v>9156.2149020377037</v>
      </c>
      <c r="W122" s="4">
        <f>W9*W114</f>
        <v>7354.5574529693185</v>
      </c>
      <c r="Y122" s="4">
        <f>Y9*Y114</f>
        <v>8263.958662657662</v>
      </c>
      <c r="Z122" s="4">
        <f>Z9*Z114</f>
        <v>7340.1134084428477</v>
      </c>
      <c r="AA122" s="38" t="s">
        <v>464</v>
      </c>
      <c r="AB122" s="42" t="s">
        <v>378</v>
      </c>
      <c r="AC122" s="43" t="s">
        <v>344</v>
      </c>
    </row>
    <row r="123" spans="1:29" ht="51" x14ac:dyDescent="0.2">
      <c r="B123" s="38" t="s">
        <v>260</v>
      </c>
      <c r="C123" s="28" t="s">
        <v>174</v>
      </c>
      <c r="F123" s="10" t="s">
        <v>265</v>
      </c>
      <c r="G123" s="4">
        <f>MIN(G122,G9*G15)</f>
        <v>250</v>
      </c>
      <c r="H123" s="4">
        <f>MIN(H122,H9*H15)</f>
        <v>1000</v>
      </c>
      <c r="J123" s="4">
        <f>MIN(J122,J9*J15)</f>
        <v>316.2</v>
      </c>
      <c r="K123" s="4">
        <f>MIN(K122,K9*K15)</f>
        <v>1078</v>
      </c>
      <c r="M123" s="4">
        <f>MIN(M122,M9*M15)</f>
        <v>301.60000000000002</v>
      </c>
      <c r="N123" s="4">
        <f>MIN(N122,N9*N15)</f>
        <v>921.2</v>
      </c>
      <c r="P123" s="4">
        <f>MIN(P122,P9*P15)</f>
        <v>329</v>
      </c>
      <c r="Q123" s="4">
        <f>MIN(Q122,Q9*Q15)</f>
        <v>1900.8000000000002</v>
      </c>
      <c r="S123" s="4">
        <f>MIN(S122,S9*S15)</f>
        <v>520</v>
      </c>
      <c r="T123" s="4">
        <f>MIN(T122,T9*T15)</f>
        <v>393.9</v>
      </c>
      <c r="V123" s="4">
        <f>MIN(V122,V9*V15)</f>
        <v>401.79999999999995</v>
      </c>
      <c r="W123" s="4">
        <f>MIN(W122,W9*W15)</f>
        <v>1155</v>
      </c>
      <c r="Y123" s="4">
        <f>MIN(Y122,Y9*Y15)</f>
        <v>499.79999999999995</v>
      </c>
      <c r="Z123" s="4">
        <f>MIN(Z122,Z9*Z15)</f>
        <v>1044</v>
      </c>
      <c r="AA123" s="38" t="s">
        <v>467</v>
      </c>
      <c r="AB123" s="42" t="s">
        <v>378</v>
      </c>
      <c r="AC123" s="43" t="s">
        <v>344</v>
      </c>
    </row>
    <row r="124" spans="1:29" ht="34" x14ac:dyDescent="0.2">
      <c r="B124" s="38" t="s">
        <v>278</v>
      </c>
      <c r="C124" s="28" t="s">
        <v>174</v>
      </c>
      <c r="F124" s="10" t="s">
        <v>252</v>
      </c>
      <c r="G124" s="4">
        <f>(G122-G123)*$G$14</f>
        <v>5075</v>
      </c>
      <c r="H124" s="4">
        <f>(H122-H123+H54)*$G$14</f>
        <v>6300</v>
      </c>
      <c r="J124" s="4">
        <f>(J122-J123)*$G$14</f>
        <v>5831.998232760111</v>
      </c>
      <c r="K124" s="4">
        <f>(K122-K123+K54)*$G$14</f>
        <v>6555.3081200271772</v>
      </c>
      <c r="M124" s="4">
        <f>(M122-M123)*$G$14</f>
        <v>5022.5566975083466</v>
      </c>
      <c r="N124" s="4">
        <f>(N122-N123+N54)*$G$14</f>
        <v>5256.5947458676565</v>
      </c>
      <c r="P124" s="4">
        <f>(P122-P123)*$G$14</f>
        <v>5550.2242784501332</v>
      </c>
      <c r="Q124" s="4">
        <f>(Q122-Q123+Q54)*$G$14</f>
        <v>9995.7474111237243</v>
      </c>
      <c r="S124" s="4">
        <f>(S122-S123)*$G$14</f>
        <v>7119.5954881792277</v>
      </c>
      <c r="T124" s="4">
        <f>(T122-T123+T54)*$G$14</f>
        <v>1867.5460507192161</v>
      </c>
      <c r="V124" s="4">
        <f>(V122-V123)*$G$14</f>
        <v>6128.0904314263926</v>
      </c>
      <c r="W124" s="4">
        <f>(W122-W123+W54)*$G$14</f>
        <v>4339.6902170785224</v>
      </c>
      <c r="Y124" s="4">
        <f>(Y122-Y123)*$G$14</f>
        <v>5434.9110638603634</v>
      </c>
      <c r="Z124" s="4">
        <f>(Z122-Z123+Z54)*$G$14</f>
        <v>4407.2793859099929</v>
      </c>
      <c r="AA124" s="38" t="s">
        <v>468</v>
      </c>
      <c r="AB124" s="42" t="s">
        <v>378</v>
      </c>
      <c r="AC124" s="43" t="s">
        <v>344</v>
      </c>
    </row>
    <row r="125" spans="1:29" ht="34" x14ac:dyDescent="0.2">
      <c r="B125" s="38" t="s">
        <v>253</v>
      </c>
      <c r="C125" s="33" t="s">
        <v>163</v>
      </c>
      <c r="F125" s="14" t="s">
        <v>250</v>
      </c>
      <c r="G125" s="4">
        <f>MIN(G124+H124, G33)</f>
        <v>11375</v>
      </c>
      <c r="J125" s="4">
        <f>MIN(J124+K124, J33)</f>
        <v>12387.306352787287</v>
      </c>
      <c r="M125" s="4">
        <f>MIN(M124+N124, M33)</f>
        <v>10279.151443376002</v>
      </c>
      <c r="P125" s="4">
        <f>MIN(P124+Q124, P33)</f>
        <v>15545.971689573857</v>
      </c>
      <c r="S125" s="4">
        <f>MIN(S124+T124, S33)</f>
        <v>8987.1415388984442</v>
      </c>
      <c r="V125" s="4">
        <f>MIN(V124+W124, V33)</f>
        <v>10467.780648504915</v>
      </c>
      <c r="Y125" s="4">
        <f>MIN(Y124+Z124, Y33)</f>
        <v>9842.1904497703563</v>
      </c>
      <c r="AA125" s="38" t="s">
        <v>327</v>
      </c>
      <c r="AB125" s="42" t="s">
        <v>328</v>
      </c>
      <c r="AC125" s="43" t="s">
        <v>326</v>
      </c>
    </row>
    <row r="126" spans="1:29" ht="34" x14ac:dyDescent="0.2">
      <c r="B126" s="38" t="s">
        <v>254</v>
      </c>
      <c r="C126" s="28" t="s">
        <v>174</v>
      </c>
      <c r="F126" s="14" t="s">
        <v>266</v>
      </c>
      <c r="G126" s="4">
        <f>G124/(G124+H124)</f>
        <v>0.44615384615384618</v>
      </c>
      <c r="H126" s="4">
        <f>H124/(G124+H124)</f>
        <v>0.55384615384615388</v>
      </c>
      <c r="J126" s="4">
        <f>J124/(J124+K124)</f>
        <v>0.47080439174315275</v>
      </c>
      <c r="K126" s="4">
        <f>K124/(J124+K124)</f>
        <v>0.52919560825684731</v>
      </c>
      <c r="M126" s="4">
        <f>M124/(M124+N124)</f>
        <v>0.48861588674665718</v>
      </c>
      <c r="N126" s="4">
        <f>N124/(M124+N124)</f>
        <v>0.51138411325334288</v>
      </c>
      <c r="P126" s="4">
        <f>P124/(P124+Q124)</f>
        <v>0.35702009429056636</v>
      </c>
      <c r="Q126" s="4">
        <f>Q124/(P124+Q124)</f>
        <v>0.64297990570943375</v>
      </c>
      <c r="S126" s="4">
        <f>S124/(S124+T124)</f>
        <v>0.79219799280605052</v>
      </c>
      <c r="T126" s="4">
        <f>T124/(S124+T124)</f>
        <v>0.2078020071939494</v>
      </c>
      <c r="V126" s="4">
        <f>V124/(V124+W124)</f>
        <v>0.58542403945975419</v>
      </c>
      <c r="W126" s="4">
        <f>W124/(V124+W124)</f>
        <v>0.41457596054024581</v>
      </c>
      <c r="Y126" s="4">
        <f>Y124/(Y124+Z124)</f>
        <v>0.55220543552753276</v>
      </c>
      <c r="Z126" s="4">
        <f>Z124/(Y124+Z124)</f>
        <v>0.44779456447246724</v>
      </c>
      <c r="AA126" s="38" t="s">
        <v>329</v>
      </c>
      <c r="AB126" s="42" t="s">
        <v>379</v>
      </c>
      <c r="AC126" s="43" t="s">
        <v>358</v>
      </c>
    </row>
    <row r="127" spans="1:29" ht="68" x14ac:dyDescent="0.2">
      <c r="B127" s="38" t="s">
        <v>183</v>
      </c>
      <c r="C127" s="28" t="s">
        <v>174</v>
      </c>
      <c r="F127" s="10" t="s">
        <v>121</v>
      </c>
      <c r="G127" s="4">
        <f>MAX(G13-G27, 0)*G115</f>
        <v>4513584.2403750001</v>
      </c>
      <c r="H127" s="4">
        <f>MAX(H13-H27, 0)*H115</f>
        <v>12433601.4893</v>
      </c>
      <c r="J127" s="4">
        <f>MAX(J13-J27, 0)*J115</f>
        <v>4035039.8648233167</v>
      </c>
      <c r="K127" s="4">
        <f>MAX(K13-K27, 0)*K115</f>
        <v>11414597.812208308</v>
      </c>
      <c r="M127" s="4">
        <f>MAX(M13-M27, 0)*M115</f>
        <v>3516332.5365802972</v>
      </c>
      <c r="N127" s="4">
        <f>MAX(N13-N27, 0)*N115</f>
        <v>10361539.512973329</v>
      </c>
      <c r="P127" s="4">
        <f>MAX(P13-P27, 0)*P115</f>
        <v>2992454.3341056714</v>
      </c>
      <c r="Q127" s="4">
        <f>MAX(Q13-Q27, 0)*Q115</f>
        <v>9271395.2987972517</v>
      </c>
      <c r="S127" s="4">
        <f>MAX(S13-S27, 0)*S115</f>
        <v>2474015.3392973635</v>
      </c>
      <c r="T127" s="4">
        <f>MAX(T13-T27, 0)*T115</f>
        <v>8160406.3842944754</v>
      </c>
      <c r="V127" s="4">
        <f>MAX(V13-V27, 0)*V115</f>
        <v>1857328.2887372568</v>
      </c>
      <c r="W127" s="4">
        <f>MAX(W13-W27, 0)*W115</f>
        <v>6443988.3112147413</v>
      </c>
      <c r="Y127" s="4">
        <f>MAX(Y13-Y27, 0)*Y115</f>
        <v>1468232.3962543209</v>
      </c>
      <c r="Z127" s="4">
        <f>MAX(Z13-Z27, 0)*Z115</f>
        <v>5088667.5032287594</v>
      </c>
      <c r="AA127" s="38" t="s">
        <v>469</v>
      </c>
      <c r="AB127" s="42" t="s">
        <v>330</v>
      </c>
      <c r="AC127" s="43" t="s">
        <v>344</v>
      </c>
    </row>
    <row r="128" spans="1:29" x14ac:dyDescent="0.2">
      <c r="AB128" s="42"/>
      <c r="AC128" s="43"/>
    </row>
    <row r="129" spans="1:30" ht="17" x14ac:dyDescent="0.2">
      <c r="F129" s="15" t="s">
        <v>73</v>
      </c>
      <c r="G129" s="8"/>
      <c r="H129" s="8"/>
      <c r="J129" s="8"/>
      <c r="K129" s="8"/>
      <c r="M129" s="8"/>
      <c r="N129" s="8"/>
      <c r="P129" s="8"/>
      <c r="Q129" s="8"/>
      <c r="S129" s="8"/>
      <c r="T129" s="8"/>
      <c r="V129" s="8"/>
      <c r="W129" s="8"/>
      <c r="Y129" s="8"/>
      <c r="Z129" s="8"/>
      <c r="AB129" s="42"/>
      <c r="AC129" s="43"/>
    </row>
    <row r="130" spans="1:30" ht="51" x14ac:dyDescent="0.2">
      <c r="B130" s="38" t="s">
        <v>255</v>
      </c>
      <c r="C130" s="28" t="s">
        <v>174</v>
      </c>
      <c r="F130" s="14" t="s">
        <v>257</v>
      </c>
      <c r="G130" s="4">
        <f>MAX(G33-G125,0)</f>
        <v>1988625</v>
      </c>
      <c r="J130" s="4">
        <f>MAX(J33-J125,0)</f>
        <v>2037612.6936472128</v>
      </c>
      <c r="M130" s="4">
        <f>MAX(M33-M125,0)</f>
        <v>2099720.8485566238</v>
      </c>
      <c r="P130" s="4">
        <f>MAX(P33-P125,0)</f>
        <v>2194454.028310426</v>
      </c>
      <c r="S130" s="4">
        <f>MAX(S33-S125,0)</f>
        <v>2991012.8584611015</v>
      </c>
      <c r="V130" s="4">
        <f>MAX(V33-V125,0)</f>
        <v>24989532.219351497</v>
      </c>
      <c r="Y130" s="4">
        <f>MAX(Y33-Y125,0)</f>
        <v>2510157.8095502295</v>
      </c>
      <c r="AA130" s="38" t="s">
        <v>444</v>
      </c>
      <c r="AB130" s="42" t="s">
        <v>412</v>
      </c>
      <c r="AC130" s="43" t="s">
        <v>346</v>
      </c>
    </row>
    <row r="131" spans="1:30" ht="34" x14ac:dyDescent="0.2">
      <c r="B131" s="38" t="s">
        <v>256</v>
      </c>
      <c r="C131" s="28" t="s">
        <v>174</v>
      </c>
      <c r="F131" s="10" t="s">
        <v>165</v>
      </c>
      <c r="G131" s="4">
        <f>MIN(G141,G130)</f>
        <v>1988625</v>
      </c>
      <c r="J131" s="4">
        <f>MIN(J141,J130)</f>
        <v>2037612.6936472128</v>
      </c>
      <c r="M131" s="4">
        <f>MIN(M141,M130)</f>
        <v>2099720.8485566238</v>
      </c>
      <c r="P131" s="4">
        <f>MIN(P141,P130)</f>
        <v>2194454.028310426</v>
      </c>
      <c r="S131" s="4">
        <f>MIN(S141,S130)</f>
        <v>2991012.8584611015</v>
      </c>
      <c r="V131" s="4">
        <f>MIN(V141,V130)</f>
        <v>2349768.217245861</v>
      </c>
      <c r="Y131" s="4">
        <f>MIN(Y141,Y130)</f>
        <v>388638.22348903998</v>
      </c>
      <c r="AA131" s="38" t="s">
        <v>443</v>
      </c>
      <c r="AB131" s="42" t="s">
        <v>413</v>
      </c>
      <c r="AC131" s="43" t="s">
        <v>326</v>
      </c>
    </row>
    <row r="132" spans="1:30" ht="34" x14ac:dyDescent="0.2">
      <c r="B132" s="38" t="s">
        <v>267</v>
      </c>
      <c r="C132" s="28" t="s">
        <v>174</v>
      </c>
      <c r="F132" s="10" t="s">
        <v>123</v>
      </c>
      <c r="G132" s="4">
        <f>G130-G131</f>
        <v>0</v>
      </c>
      <c r="J132" s="4">
        <f>J130-J131</f>
        <v>0</v>
      </c>
      <c r="M132" s="4">
        <f>M130-M131</f>
        <v>0</v>
      </c>
      <c r="P132" s="4">
        <f>P130-P131</f>
        <v>0</v>
      </c>
      <c r="S132" s="4">
        <f>S130-S131</f>
        <v>0</v>
      </c>
      <c r="V132" s="4">
        <f>V130-V131</f>
        <v>22639764.002105635</v>
      </c>
      <c r="Y132" s="4">
        <f>Y130-Y131</f>
        <v>2121519.5860611894</v>
      </c>
      <c r="AA132" s="38" t="s">
        <v>442</v>
      </c>
      <c r="AB132" s="42" t="s">
        <v>414</v>
      </c>
      <c r="AC132" s="43" t="s">
        <v>331</v>
      </c>
    </row>
    <row r="133" spans="1:30" ht="34" x14ac:dyDescent="0.2">
      <c r="B133" s="38" t="s">
        <v>214</v>
      </c>
      <c r="C133" s="28" t="s">
        <v>174</v>
      </c>
      <c r="F133" s="10" t="s">
        <v>146</v>
      </c>
      <c r="G133" s="4">
        <f>MIN(G132,H77)</f>
        <v>0</v>
      </c>
      <c r="J133" s="4">
        <f>MIN(J132,K77)</f>
        <v>0</v>
      </c>
      <c r="M133" s="4">
        <f>MIN(M132,N77)</f>
        <v>0</v>
      </c>
      <c r="P133" s="4">
        <f>MIN(P132,Q77)</f>
        <v>0</v>
      </c>
      <c r="S133" s="4">
        <f>MIN(S132,T77)</f>
        <v>0</v>
      </c>
      <c r="V133" s="4">
        <f>MIN(V132,W77)</f>
        <v>0</v>
      </c>
      <c r="Y133" s="4">
        <f>MIN(Y132,Z77)</f>
        <v>0</v>
      </c>
      <c r="AA133" s="38" t="s">
        <v>439</v>
      </c>
      <c r="AB133" s="42" t="s">
        <v>415</v>
      </c>
      <c r="AC133" s="43" t="s">
        <v>326</v>
      </c>
    </row>
    <row r="134" spans="1:30" ht="34" x14ac:dyDescent="0.2">
      <c r="B134" s="38" t="s">
        <v>263</v>
      </c>
      <c r="C134" s="28" t="s">
        <v>174</v>
      </c>
      <c r="F134" s="10" t="s">
        <v>120</v>
      </c>
      <c r="G134" s="4">
        <f>G142*G131</f>
        <v>529635.22104433016</v>
      </c>
      <c r="H134" s="4">
        <f>H142*G131</f>
        <v>1458989.7789556701</v>
      </c>
      <c r="J134" s="4">
        <f>J142*J131</f>
        <v>532170.95570853585</v>
      </c>
      <c r="K134" s="4">
        <f>K142*J131</f>
        <v>1505441.737938677</v>
      </c>
      <c r="M134" s="4">
        <f>M142*M131</f>
        <v>550789.80536667234</v>
      </c>
      <c r="N134" s="4">
        <f>N142*M131</f>
        <v>1548931.0431899517</v>
      </c>
      <c r="P134" s="4">
        <f>P142*P131</f>
        <v>557000.38851015724</v>
      </c>
      <c r="Q134" s="4">
        <f>Q142*P131</f>
        <v>1637453.6398002687</v>
      </c>
      <c r="S134" s="4">
        <f>S142*S131</f>
        <v>676930.2312938408</v>
      </c>
      <c r="T134" s="4">
        <f>T142*S131</f>
        <v>2314082.6271672607</v>
      </c>
      <c r="V134" s="4">
        <f>V142*V131</f>
        <v>457497.26325426705</v>
      </c>
      <c r="W134" s="4">
        <f>W142*V131</f>
        <v>1892270.9539915938</v>
      </c>
      <c r="Y134" s="4">
        <f>Y142*Y131</f>
        <v>52472.144479718736</v>
      </c>
      <c r="Z134" s="4">
        <f>Z142*Y131</f>
        <v>336166.07900932123</v>
      </c>
      <c r="AA134" s="38" t="s">
        <v>440</v>
      </c>
      <c r="AB134" s="42" t="s">
        <v>380</v>
      </c>
      <c r="AC134" s="43" t="s">
        <v>349</v>
      </c>
    </row>
    <row r="135" spans="1:30" ht="34" x14ac:dyDescent="0.2">
      <c r="B135" s="38" t="s">
        <v>268</v>
      </c>
      <c r="C135" s="33" t="s">
        <v>163</v>
      </c>
      <c r="F135" s="10" t="s">
        <v>165</v>
      </c>
      <c r="G135" s="4">
        <f>G134</f>
        <v>529635.22104433016</v>
      </c>
      <c r="H135" s="4">
        <f>H134+G133</f>
        <v>1458989.7789556701</v>
      </c>
      <c r="J135" s="4">
        <f>J134</f>
        <v>532170.95570853585</v>
      </c>
      <c r="K135" s="4">
        <f>K134+J133</f>
        <v>1505441.737938677</v>
      </c>
      <c r="M135" s="4">
        <f>M134</f>
        <v>550789.80536667234</v>
      </c>
      <c r="N135" s="4">
        <f>N134+M133</f>
        <v>1548931.0431899517</v>
      </c>
      <c r="P135" s="4">
        <f>P134</f>
        <v>557000.38851015724</v>
      </c>
      <c r="Q135" s="4">
        <f>Q134+P133</f>
        <v>1637453.6398002687</v>
      </c>
      <c r="S135" s="4">
        <f>S134</f>
        <v>676930.2312938408</v>
      </c>
      <c r="T135" s="4">
        <f>T134+S133</f>
        <v>2314082.6271672607</v>
      </c>
      <c r="V135" s="4">
        <f>V134</f>
        <v>457497.26325426705</v>
      </c>
      <c r="W135" s="4">
        <f>W134+V133</f>
        <v>1892270.9539915938</v>
      </c>
      <c r="Y135" s="4">
        <f>Y134</f>
        <v>52472.144479718736</v>
      </c>
      <c r="Z135" s="4">
        <f>Z134+Y133</f>
        <v>336166.07900932123</v>
      </c>
      <c r="AA135" s="38" t="s">
        <v>441</v>
      </c>
      <c r="AB135" s="42" t="s">
        <v>446</v>
      </c>
      <c r="AC135" s="43" t="s">
        <v>349</v>
      </c>
    </row>
    <row r="136" spans="1:30" ht="17" x14ac:dyDescent="0.2">
      <c r="F136" s="15" t="s">
        <v>74</v>
      </c>
      <c r="G136" s="8"/>
      <c r="H136" s="8"/>
      <c r="J136" s="8"/>
      <c r="K136" s="8"/>
      <c r="M136" s="8"/>
      <c r="N136" s="8"/>
      <c r="P136" s="8"/>
      <c r="Q136" s="8"/>
      <c r="S136" s="8"/>
      <c r="T136" s="8"/>
      <c r="V136" s="8"/>
      <c r="W136" s="8"/>
      <c r="Y136" s="8"/>
      <c r="Z136" s="8"/>
      <c r="AB136" s="42"/>
      <c r="AC136" s="43"/>
    </row>
    <row r="137" spans="1:30" ht="119" x14ac:dyDescent="0.2">
      <c r="B137" s="38" t="s">
        <v>271</v>
      </c>
      <c r="C137" s="28" t="s">
        <v>174</v>
      </c>
      <c r="F137" s="10" t="s">
        <v>137</v>
      </c>
      <c r="G137" s="4">
        <f>G115/$G$23</f>
        <v>1</v>
      </c>
      <c r="H137" s="4">
        <f>H115/$H$23</f>
        <v>1</v>
      </c>
      <c r="J137" s="4">
        <f>J115/$G$23</f>
        <v>0.8952116342841121</v>
      </c>
      <c r="K137" s="4">
        <f>K115/$H$23</f>
        <v>0.91854982240604577</v>
      </c>
      <c r="M137" s="4">
        <f>M115/$G$23</f>
        <v>0.78995136076604022</v>
      </c>
      <c r="N137" s="4">
        <f>N115/$H$23</f>
        <v>0.83420112677639169</v>
      </c>
      <c r="P137" s="4">
        <f>P115/$G$23</f>
        <v>0.681017640976468</v>
      </c>
      <c r="Q137" s="4">
        <f>Q115/$H$23</f>
        <v>0.74715264993241937</v>
      </c>
      <c r="S137" s="4">
        <f>S115/$G$23</f>
        <v>0.57085931969705117</v>
      </c>
      <c r="T137" s="4">
        <f>T115/$H$23</f>
        <v>0.6544689981823234</v>
      </c>
      <c r="V137" s="4">
        <f>V115/$G$23</f>
        <v>0.43663682585633068</v>
      </c>
      <c r="W137" s="4">
        <f>W115/$H$23</f>
        <v>0.51837579137580714</v>
      </c>
      <c r="Y137" s="4">
        <f>Y115/$G$23</f>
        <v>0.34596514607722179</v>
      </c>
      <c r="Z137" s="4">
        <f>Z115/$H$23</f>
        <v>0.40958701751064658</v>
      </c>
      <c r="AA137" s="38" t="s">
        <v>360</v>
      </c>
      <c r="AB137" s="42" t="s">
        <v>381</v>
      </c>
      <c r="AC137" s="43" t="s">
        <v>357</v>
      </c>
      <c r="AD137">
        <v>20</v>
      </c>
    </row>
    <row r="138" spans="1:30" ht="34" x14ac:dyDescent="0.2">
      <c r="A138" s="48" t="s">
        <v>286</v>
      </c>
      <c r="B138" s="38" t="s">
        <v>184</v>
      </c>
      <c r="C138" s="28" t="s">
        <v>174</v>
      </c>
      <c r="F138" s="10" t="s">
        <v>185</v>
      </c>
      <c r="G138" s="4">
        <f>MAX(MIN((G137-$G$17)/$G$18, 1), 0)</f>
        <v>1</v>
      </c>
      <c r="H138" s="4">
        <f>MAX(MIN((H137-$H$17)/$H$18, 1), 0)</f>
        <v>1</v>
      </c>
      <c r="J138" s="4">
        <f>MAX(MIN((J137-$G$17)/$G$18, 1), 0)</f>
        <v>1</v>
      </c>
      <c r="K138" s="4">
        <f>MAX(MIN((K137-$H$17)/$H$18, 1), 0)</f>
        <v>1</v>
      </c>
      <c r="M138" s="4">
        <f>MAX(MIN((M137-$G$17)/$G$18, 1), 0)</f>
        <v>1</v>
      </c>
      <c r="N138" s="4">
        <f>MAX(MIN((N137-$H$17)/$H$18, 1), 0)</f>
        <v>0.95435915135809635</v>
      </c>
      <c r="P138" s="4">
        <f>MAX(MIN((P137-$G$17)/$G$18, 1), 0)</f>
        <v>0.81388590259622062</v>
      </c>
      <c r="Q138" s="4">
        <f>MAX(MIN((Q137-$H$17)/$H$18, 1), 0)</f>
        <v>0.77225276927863951</v>
      </c>
      <c r="S138" s="4">
        <f>MAX(MIN((S137-$G$17)/$G$18, 1), 0)</f>
        <v>0.55804708982295081</v>
      </c>
      <c r="T138" s="4">
        <f>MAX(MIN((T137-$H$17)/$H$18, 1), 0)</f>
        <v>0.57835753859728811</v>
      </c>
      <c r="V138" s="4">
        <f>MAX(MIN((V137-$G$17)/$G$18, 1), 0)</f>
        <v>0.2463200856997155</v>
      </c>
      <c r="W138" s="4">
        <f>MAX(MIN((W137-$H$17)/$H$18, 1), 0)</f>
        <v>0.29364903575296619</v>
      </c>
      <c r="Y138" s="4">
        <f>MAX(MIN((Y137-$G$17)/$G$18, 1), 0)</f>
        <v>3.5738309966176322E-2</v>
      </c>
      <c r="Z138" s="4">
        <f>MAX(MIN((Z137-$H$17)/$H$18, 1), 0)</f>
        <v>6.6061710417515754E-2</v>
      </c>
      <c r="AA138" s="39" t="s">
        <v>334</v>
      </c>
      <c r="AB138" s="42" t="s">
        <v>382</v>
      </c>
      <c r="AC138" s="43" t="s">
        <v>357</v>
      </c>
      <c r="AD138">
        <v>20</v>
      </c>
    </row>
    <row r="139" spans="1:30" x14ac:dyDescent="0.2">
      <c r="B139" s="38"/>
      <c r="AA139" s="38"/>
      <c r="AB139" s="42"/>
      <c r="AC139" s="43"/>
      <c r="AD139">
        <v>20</v>
      </c>
    </row>
    <row r="140" spans="1:30" ht="51" x14ac:dyDescent="0.2">
      <c r="B140" s="38" t="s">
        <v>186</v>
      </c>
      <c r="C140" s="28" t="s">
        <v>174</v>
      </c>
      <c r="F140" s="10" t="s">
        <v>76</v>
      </c>
      <c r="G140" s="4">
        <f>G127*G138</f>
        <v>4513584.2403750001</v>
      </c>
      <c r="H140" s="4">
        <f>H127*H138</f>
        <v>12433601.4893</v>
      </c>
      <c r="J140" s="4">
        <f>J127*J138</f>
        <v>4035039.8648233167</v>
      </c>
      <c r="K140" s="4">
        <f>K127*K138</f>
        <v>11414597.812208308</v>
      </c>
      <c r="M140" s="4">
        <f>M127*M138</f>
        <v>3516332.5365802972</v>
      </c>
      <c r="N140" s="4">
        <f>N127*N138</f>
        <v>9888630.0563646089</v>
      </c>
      <c r="P140" s="4">
        <f>P127*P138</f>
        <v>2435516.3966915668</v>
      </c>
      <c r="Q140" s="4">
        <f>Q127*Q138</f>
        <v>7159860.694573137</v>
      </c>
      <c r="S140" s="4">
        <f>S127*S138</f>
        <v>1380617.060272234</v>
      </c>
      <c r="T140" s="4">
        <f>T127*T138</f>
        <v>4719632.5503741484</v>
      </c>
      <c r="V140" s="4">
        <f>V127*V138</f>
        <v>457497.26325426705</v>
      </c>
      <c r="W140" s="4">
        <f>W127*W138</f>
        <v>1892270.9539915938</v>
      </c>
      <c r="Y140" s="4">
        <f>Y127*Y138</f>
        <v>52472.144479718736</v>
      </c>
      <c r="Z140" s="4">
        <f>Z127*Z138</f>
        <v>336166.07900932123</v>
      </c>
      <c r="AA140" s="38" t="s">
        <v>362</v>
      </c>
      <c r="AB140" s="42" t="s">
        <v>383</v>
      </c>
      <c r="AC140" s="43" t="s">
        <v>344</v>
      </c>
      <c r="AD140">
        <v>20</v>
      </c>
    </row>
    <row r="141" spans="1:30" ht="34" x14ac:dyDescent="0.2">
      <c r="B141" s="38" t="s">
        <v>187</v>
      </c>
      <c r="C141" s="28" t="s">
        <v>174</v>
      </c>
      <c r="F141" s="10" t="s">
        <v>122</v>
      </c>
      <c r="G141" s="4">
        <f>G140+H140</f>
        <v>16947185.729674999</v>
      </c>
      <c r="H141" s="4">
        <f>G141</f>
        <v>16947185.729674999</v>
      </c>
      <c r="J141" s="4">
        <f>J140+K140</f>
        <v>15449637.677031625</v>
      </c>
      <c r="K141" s="4">
        <f>J141</f>
        <v>15449637.677031625</v>
      </c>
      <c r="M141" s="4">
        <f>M140+N140</f>
        <v>13404962.592944905</v>
      </c>
      <c r="N141" s="4">
        <f>M141</f>
        <v>13404962.592944905</v>
      </c>
      <c r="P141" s="4">
        <f>P140+Q140</f>
        <v>9595377.0912647042</v>
      </c>
      <c r="Q141" s="4">
        <f>P141</f>
        <v>9595377.0912647042</v>
      </c>
      <c r="S141" s="4">
        <f>S140+T140</f>
        <v>6100249.610646382</v>
      </c>
      <c r="T141" s="4">
        <f>S141</f>
        <v>6100249.610646382</v>
      </c>
      <c r="V141" s="4">
        <f>V140+W140</f>
        <v>2349768.217245861</v>
      </c>
      <c r="W141" s="4">
        <f>V141</f>
        <v>2349768.217245861</v>
      </c>
      <c r="Y141" s="4">
        <f>Y140+Z140</f>
        <v>388638.22348903998</v>
      </c>
      <c r="Z141" s="4">
        <f>Y141</f>
        <v>388638.22348903998</v>
      </c>
      <c r="AA141" s="38" t="s">
        <v>361</v>
      </c>
      <c r="AB141" s="42" t="s">
        <v>332</v>
      </c>
      <c r="AC141" s="43" t="s">
        <v>345</v>
      </c>
    </row>
    <row r="142" spans="1:30" ht="34" x14ac:dyDescent="0.2">
      <c r="B142" s="38" t="s">
        <v>188</v>
      </c>
      <c r="C142" s="28" t="s">
        <v>174</v>
      </c>
      <c r="F142" s="10" t="s">
        <v>119</v>
      </c>
      <c r="G142" s="4">
        <f>G140/G141</f>
        <v>0.26633237591015407</v>
      </c>
      <c r="H142" s="4">
        <f>H140/H141</f>
        <v>0.73366762408984598</v>
      </c>
      <c r="J142" s="4">
        <f>J140/J141</f>
        <v>0.26117375366168316</v>
      </c>
      <c r="K142" s="4">
        <f>K140/K141</f>
        <v>0.73882624633831684</v>
      </c>
      <c r="M142" s="4">
        <f>M140/M141</f>
        <v>0.26231572913384776</v>
      </c>
      <c r="N142" s="4">
        <f>N140/N141</f>
        <v>0.73768427086615229</v>
      </c>
      <c r="P142" s="4">
        <f>P140/P141</f>
        <v>0.25382185332859675</v>
      </c>
      <c r="Q142" s="4">
        <f>Q140/Q141</f>
        <v>0.74617814667140325</v>
      </c>
      <c r="S142" s="4">
        <f>S140/S141</f>
        <v>0.22632140459674469</v>
      </c>
      <c r="T142" s="4">
        <f>T140/T141</f>
        <v>0.77367859540325534</v>
      </c>
      <c r="V142" s="4">
        <f>V140/V141</f>
        <v>0.19469888982943809</v>
      </c>
      <c r="W142" s="4">
        <f>W140/W141</f>
        <v>0.80530111017056183</v>
      </c>
      <c r="Y142" s="4">
        <f>Y140/Y141</f>
        <v>0.13501539814752295</v>
      </c>
      <c r="Z142" s="4">
        <f>Z140/Z141</f>
        <v>0.86498460185247705</v>
      </c>
      <c r="AA142" s="38" t="s">
        <v>333</v>
      </c>
      <c r="AB142" s="42" t="s">
        <v>384</v>
      </c>
      <c r="AC142" s="43" t="s">
        <v>358</v>
      </c>
    </row>
    <row r="143" spans="1:30" x14ac:dyDescent="0.2">
      <c r="AB143" s="42"/>
      <c r="AC143" s="43"/>
    </row>
    <row r="144" spans="1:30" ht="17" x14ac:dyDescent="0.2">
      <c r="F144" s="15" t="s">
        <v>251</v>
      </c>
      <c r="G144" s="8"/>
      <c r="H144" s="8"/>
      <c r="J144" s="8"/>
      <c r="K144" s="8"/>
      <c r="M144" s="8"/>
      <c r="N144" s="8"/>
      <c r="P144" s="8"/>
      <c r="Q144" s="8"/>
      <c r="S144" s="8"/>
      <c r="T144" s="8"/>
      <c r="V144" s="8"/>
      <c r="W144" s="8"/>
      <c r="Y144" s="8"/>
      <c r="Z144" s="8"/>
      <c r="AB144" s="42"/>
      <c r="AC144" s="43"/>
    </row>
    <row r="145" spans="2:29" ht="51" x14ac:dyDescent="0.2">
      <c r="B145" s="38" t="s">
        <v>269</v>
      </c>
      <c r="C145" s="33" t="s">
        <v>163</v>
      </c>
      <c r="F145" s="10" t="s">
        <v>201</v>
      </c>
      <c r="G145" s="4">
        <f>(G113 - G134 - G122)*$G$30</f>
        <v>10931.697702960402</v>
      </c>
      <c r="H145" s="4">
        <f>(H113 - H134 - H122)*$H$30+H95</f>
        <v>36943.686047039599</v>
      </c>
      <c r="J145" s="4">
        <f>(J113 - J134 - J122)*$G$30</f>
        <v>10088.976214210876</v>
      </c>
      <c r="K145" s="4">
        <f>(K113 - K134 - K122)*$H$30+K95</f>
        <v>34866.701411741393</v>
      </c>
      <c r="M145" s="4">
        <f>(M113 - M134 - M122)*$G$30</f>
        <v>9220.1553859644791</v>
      </c>
      <c r="N145" s="4">
        <f>(N113 - N134 - N122)*$H$30+N95</f>
        <v>32727.700888143867</v>
      </c>
      <c r="P145" s="4">
        <f>(P113 - P134 - P122)*$G$30</f>
        <v>8341.6941718801863</v>
      </c>
      <c r="Q145" s="4">
        <f>(Q113 - Q134 - Q122)*$H$30+Q95</f>
        <v>30440.781724683824</v>
      </c>
      <c r="S145" s="4">
        <f>(S113 - S134 - S122)*$G$30</f>
        <v>7272.4695733040871</v>
      </c>
      <c r="T145" s="4">
        <f>(T113 - T134 - T122)*$H$30+T95</f>
        <v>27115.480226723997</v>
      </c>
      <c r="V145" s="4">
        <f>(V113 - V134 - V122)*$G$30</f>
        <v>6551.7956953686007</v>
      </c>
      <c r="W145" s="4">
        <f>(W113 - W134 - W122)*$H$30+W95</f>
        <v>24450.873774900079</v>
      </c>
      <c r="Y145" s="4">
        <f>(Y113 - Y134 - Y122)*$G$30</f>
        <v>6466.2561670936466</v>
      </c>
      <c r="Z145" s="4">
        <f>(Z113 - Z134 - Z122)*$H$30+Z95</f>
        <v>24233.450635277597</v>
      </c>
      <c r="AA145" s="38" t="s">
        <v>455</v>
      </c>
      <c r="AB145" s="42" t="s">
        <v>385</v>
      </c>
      <c r="AC145" s="43" t="s">
        <v>315</v>
      </c>
    </row>
    <row r="146" spans="2:29" x14ac:dyDescent="0.2">
      <c r="B146" s="38" t="s">
        <v>285</v>
      </c>
      <c r="C146" s="33" t="s">
        <v>163</v>
      </c>
      <c r="G146" s="4">
        <f>G145*$G21</f>
        <v>3279.5093108881206</v>
      </c>
      <c r="H146" s="4">
        <f>H145*$H21</f>
        <v>9235.9215117598997</v>
      </c>
      <c r="J146" s="4">
        <f>J145*$G21</f>
        <v>3026.6928642632624</v>
      </c>
      <c r="K146" s="4">
        <f>K145*$H21</f>
        <v>8716.6753529353482</v>
      </c>
      <c r="M146" s="4">
        <f>M145*$G21</f>
        <v>2766.0466157893438</v>
      </c>
      <c r="N146" s="4">
        <f>N145*$H21</f>
        <v>8181.9252220359667</v>
      </c>
      <c r="P146" s="4">
        <f>P145*$G21</f>
        <v>2502.5082515640556</v>
      </c>
      <c r="Q146" s="4">
        <f>Q145*$H21</f>
        <v>7610.195431170956</v>
      </c>
      <c r="S146" s="4">
        <f>S145*$G21</f>
        <v>2181.740871991226</v>
      </c>
      <c r="T146" s="4">
        <f>T145*$H21</f>
        <v>6778.8700566809994</v>
      </c>
      <c r="V146" s="4">
        <f>V145*$G21</f>
        <v>1965.5387086105802</v>
      </c>
      <c r="W146" s="4">
        <f>W145*$H21</f>
        <v>6112.7184437250198</v>
      </c>
      <c r="Y146" s="4">
        <f>Y145*$G21</f>
        <v>1939.8768501280938</v>
      </c>
      <c r="Z146" s="4">
        <f>Z145*$H21</f>
        <v>6058.3626588193993</v>
      </c>
      <c r="AA146" s="38" t="s">
        <v>456</v>
      </c>
      <c r="AB146" s="42" t="s">
        <v>386</v>
      </c>
      <c r="AC146" s="43" t="s">
        <v>315</v>
      </c>
    </row>
    <row r="147" spans="2:29" ht="51" x14ac:dyDescent="0.2">
      <c r="B147" s="38" t="s">
        <v>270</v>
      </c>
      <c r="C147" s="33" t="s">
        <v>163</v>
      </c>
      <c r="F147" s="14" t="s">
        <v>213</v>
      </c>
      <c r="G147" s="4">
        <f>G134*$G21</f>
        <v>158890.56631329903</v>
      </c>
      <c r="H147" s="4">
        <f>(H134+G133)*$H21</f>
        <v>364747.44473891752</v>
      </c>
      <c r="J147" s="4">
        <f>J134*$G21</f>
        <v>159651.28671256074</v>
      </c>
      <c r="K147" s="4">
        <f>(K134+J133)*$H21</f>
        <v>376360.43448466924</v>
      </c>
      <c r="M147" s="4">
        <f>M134*$G21</f>
        <v>165236.9416100017</v>
      </c>
      <c r="N147" s="4">
        <f>(N134+M133)*$H21</f>
        <v>387232.76079748792</v>
      </c>
      <c r="P147" s="4">
        <f>P134*$G21</f>
        <v>167100.11655304718</v>
      </c>
      <c r="Q147" s="4">
        <f>(Q134+P133)*$H21</f>
        <v>409363.40995006717</v>
      </c>
      <c r="S147" s="4">
        <f>S134*$G21</f>
        <v>203079.06938815225</v>
      </c>
      <c r="T147" s="4">
        <f>(T134+S133)*$H21</f>
        <v>578520.65679181518</v>
      </c>
      <c r="V147" s="4">
        <f>V134*$G21</f>
        <v>137249.17897628012</v>
      </c>
      <c r="W147" s="4">
        <f>(W134+V133)*$H21</f>
        <v>473067.73849789845</v>
      </c>
      <c r="Y147" s="4">
        <f>Y134*$G21</f>
        <v>15741.643343915621</v>
      </c>
      <c r="Z147" s="4">
        <f>(Z134+Y133)*$H21</f>
        <v>84041.519752330307</v>
      </c>
      <c r="AA147" s="38" t="s">
        <v>337</v>
      </c>
      <c r="AB147" s="42" t="s">
        <v>387</v>
      </c>
      <c r="AC147" s="43" t="s">
        <v>315</v>
      </c>
    </row>
    <row r="148" spans="2:29" ht="34" x14ac:dyDescent="0.2">
      <c r="B148" s="38" t="s">
        <v>176</v>
      </c>
      <c r="C148" s="33" t="s">
        <v>163</v>
      </c>
      <c r="F148" s="10" t="s">
        <v>166</v>
      </c>
      <c r="G148" s="4">
        <f>G122-G125*G126-G123</f>
        <v>2175</v>
      </c>
      <c r="H148" s="4">
        <f>H122-G125*H126-H123+H54</f>
        <v>2700</v>
      </c>
      <c r="J148" s="4">
        <f>J122-J125*J126-J123</f>
        <v>2499.4278140400493</v>
      </c>
      <c r="K148" s="4">
        <f>K122-J125*K126-K123+K54</f>
        <v>2809.4177657259334</v>
      </c>
      <c r="M148" s="4">
        <f>M122-M125*M126-M123</f>
        <v>2152.52429893215</v>
      </c>
      <c r="N148" s="4">
        <f>N122-M125*N126-N123+N54</f>
        <v>2252.8263196575672</v>
      </c>
      <c r="P148" s="4">
        <f>P122-P125*P126-P123</f>
        <v>2378.667547907201</v>
      </c>
      <c r="Q148" s="4">
        <f>Q122-P125*Q126-Q123+Q54</f>
        <v>4283.8917476244524</v>
      </c>
      <c r="S148" s="4">
        <f>S122-S125*S126-S123</f>
        <v>3051.2552092196693</v>
      </c>
      <c r="T148" s="4">
        <f>T122-S125*T126-T123+T54</f>
        <v>800.37687887966456</v>
      </c>
      <c r="V148" s="4">
        <f>V122-V125*V126-V123</f>
        <v>2626.324470611311</v>
      </c>
      <c r="W148" s="4">
        <f>W122-V125*W126-W123+W54</f>
        <v>1859.8672358907961</v>
      </c>
      <c r="Y148" s="4">
        <f>Y122-Y125*Y126-Y123</f>
        <v>2329.2475987972985</v>
      </c>
      <c r="Z148" s="4">
        <f>Z122-Y125*Z126-Z123+Z54</f>
        <v>1888.8340225328548</v>
      </c>
      <c r="AA148" s="38" t="s">
        <v>338</v>
      </c>
      <c r="AB148" s="42" t="s">
        <v>388</v>
      </c>
      <c r="AC148" s="43" t="s">
        <v>315</v>
      </c>
    </row>
    <row r="149" spans="2:29" ht="34" x14ac:dyDescent="0.2">
      <c r="B149" s="38" t="s">
        <v>177</v>
      </c>
      <c r="C149" s="33" t="s">
        <v>163</v>
      </c>
      <c r="F149" s="10" t="s">
        <v>167</v>
      </c>
      <c r="G149" s="4">
        <f>MAX((G122 - G123)*$G21-G16*G9,0)</f>
        <v>2128.25</v>
      </c>
      <c r="H149" s="4">
        <f>MAX((H122-H123+H54)*$H21-H16*H9,0)</f>
        <v>2058</v>
      </c>
      <c r="J149" s="4">
        <f>MAX((J122 - J123)*$G21-J16*J9,0)</f>
        <v>2440.2984140400481</v>
      </c>
      <c r="K149" s="4">
        <f>MAX((K122-K123+K54)*$H21-K16*K9,0)</f>
        <v>2134.2054714382775</v>
      </c>
      <c r="M149" s="4">
        <f>MAX((M122 - M123)*$G21-M16*M9,0)</f>
        <v>2096.1250989321488</v>
      </c>
      <c r="N149" s="4">
        <f>MAX((N122-N123+N54)*$H21-N16*N9,0)</f>
        <v>1700.4848663813059</v>
      </c>
      <c r="P149" s="4">
        <f>MAX((P122 - P123)*$G21-P16*P9,0)</f>
        <v>2317.1445479071999</v>
      </c>
      <c r="Q149" s="4">
        <f>MAX((Q122-Q123+Q54)*$H21-Q16*Q9,0)</f>
        <v>3204.9561896870446</v>
      </c>
      <c r="S149" s="4">
        <f>MAX((S122 - S123)*$G21-S16*S9,0)</f>
        <v>2954.0152092196686</v>
      </c>
      <c r="T149" s="4">
        <f>MAX((T122-T123+T54)*$H21-T16*T9,0)</f>
        <v>591.35193239972011</v>
      </c>
      <c r="V149" s="4">
        <f>MAX((V122 - V123)*$G21-V16*V9,0)</f>
        <v>2551.1878706113116</v>
      </c>
      <c r="W149" s="4">
        <f>MAX((W122-W123+W54)*$H21-W16*W9,0)</f>
        <v>1328.1293632423296</v>
      </c>
      <c r="Y149" s="4">
        <f>MAX((Y122 - Y123)*$G21-Y16*Y9,0)</f>
        <v>2235.7849987972986</v>
      </c>
      <c r="Z149" s="4">
        <f>MAX((Z122-Z123+Z54)*$H21-Z16*Z9,0)</f>
        <v>1373.5803521107118</v>
      </c>
      <c r="AA149" s="38" t="s">
        <v>335</v>
      </c>
      <c r="AB149" s="42" t="s">
        <v>389</v>
      </c>
      <c r="AC149" s="43" t="s">
        <v>315</v>
      </c>
    </row>
    <row r="150" spans="2:29" x14ac:dyDescent="0.2">
      <c r="B150" s="38" t="s">
        <v>284</v>
      </c>
      <c r="C150" s="33" t="s">
        <v>163</v>
      </c>
      <c r="G150" s="4">
        <f>J112*J7*(1+$G21)</f>
        <v>19480.5</v>
      </c>
      <c r="H150" s="4">
        <f>(K112*K7+SUMPRODUCT(H38:H41,H86:H89))*(1+$H21)</f>
        <v>287385</v>
      </c>
      <c r="J150" s="4">
        <f>M112*M7*(1+$G21)</f>
        <v>19456.32</v>
      </c>
      <c r="K150" s="4">
        <f>(N112*N7+SUMPRODUCT(K38:K41,K86:K89))*(1+$H21)</f>
        <v>287259.5625</v>
      </c>
      <c r="M150" s="4">
        <f>P112*P7*(1+$G21)</f>
        <v>19433.7</v>
      </c>
      <c r="N150" s="4">
        <f>(Q112*Q7+SUMPRODUCT(N38:N41,N86:N89))*(1+$H21)</f>
        <v>287156.71250000002</v>
      </c>
      <c r="P150" s="4">
        <f>S112*S7*(1+$G21)</f>
        <v>19406.400000000001</v>
      </c>
      <c r="Q150" s="4">
        <f>(T112*T7+SUMPRODUCT(Q38:Q41,Q86:Q89))*(1+$H21)</f>
        <v>286948.5</v>
      </c>
      <c r="S150" s="4">
        <f>V112*V7*(1+$G21)</f>
        <v>19367.400000000001</v>
      </c>
      <c r="T150" s="4">
        <f>(W112*W7+SUMPRODUCT(T38:T41,T86:T89))*(1+$H21)</f>
        <v>286924.28750000003</v>
      </c>
      <c r="V150" s="4">
        <f>Y112*Y7*(1+$G21)</f>
        <v>16645.359726367005</v>
      </c>
      <c r="W150" s="4">
        <f>(Z112*Z7+SUMPRODUCT(W38:W41,W86:W89))*(1+$H21)</f>
        <v>286838.73750000005</v>
      </c>
      <c r="Y150" s="4" t="e">
        <f>AB112*AB7*(1+$G21)</f>
        <v>#VALUE!</v>
      </c>
      <c r="Z150" s="4" t="e">
        <f>(AC112*AC7+SUMPRODUCT(Z38:Z41,Z86:Z89))*(1+$H21)</f>
        <v>#VALUE!</v>
      </c>
      <c r="AA150" s="38" t="s">
        <v>339</v>
      </c>
      <c r="AB150" s="42" t="s">
        <v>390</v>
      </c>
      <c r="AC150" s="43" t="s">
        <v>343</v>
      </c>
    </row>
    <row r="151" spans="2:29" x14ac:dyDescent="0.2">
      <c r="AB151" s="42"/>
      <c r="AC151" s="43"/>
    </row>
    <row r="152" spans="2:29" x14ac:dyDescent="0.2">
      <c r="AB152" s="42"/>
      <c r="AC152" s="43"/>
    </row>
    <row r="153" spans="2:29" x14ac:dyDescent="0.2">
      <c r="B153" s="24" t="s">
        <v>262</v>
      </c>
      <c r="G153" s="4">
        <f>G148+G123</f>
        <v>2425</v>
      </c>
      <c r="H153" s="4">
        <f>H148+H123</f>
        <v>3700</v>
      </c>
      <c r="J153" s="4">
        <f>J148+J123</f>
        <v>2815.6278140400491</v>
      </c>
      <c r="K153" s="4">
        <f>K148+K123</f>
        <v>3887.4177657259334</v>
      </c>
      <c r="M153" s="4">
        <f>M148+M123</f>
        <v>2454.1242989321499</v>
      </c>
      <c r="N153" s="4">
        <f>N148+N123</f>
        <v>3174.026319657567</v>
      </c>
      <c r="P153" s="4">
        <f>P148+P123</f>
        <v>2707.667547907201</v>
      </c>
      <c r="Q153" s="4">
        <f>Q148+Q123</f>
        <v>6184.6917476244525</v>
      </c>
      <c r="S153" s="4">
        <f>S148+S123</f>
        <v>3571.2552092196693</v>
      </c>
      <c r="T153" s="4">
        <f>T148+T123</f>
        <v>1194.2768788796645</v>
      </c>
      <c r="V153" s="4">
        <f>V148+V123</f>
        <v>3028.1244706113112</v>
      </c>
      <c r="W153" s="4">
        <f>W148+W123</f>
        <v>3014.8672358907961</v>
      </c>
      <c r="Y153" s="4">
        <f>Y148+Y123</f>
        <v>2829.0475987972986</v>
      </c>
      <c r="Z153" s="4">
        <f>Z148+Z123</f>
        <v>2932.8340225328548</v>
      </c>
      <c r="AB153" s="42"/>
      <c r="AC153" s="43"/>
    </row>
    <row r="154" spans="2:29" x14ac:dyDescent="0.2">
      <c r="AB154" s="42"/>
      <c r="AC154" s="43"/>
    </row>
    <row r="155" spans="2:29" x14ac:dyDescent="0.2">
      <c r="B155" s="38" t="s">
        <v>272</v>
      </c>
      <c r="C155" s="33" t="s">
        <v>163</v>
      </c>
      <c r="G155" s="4">
        <f>G125+G134+H134+G133</f>
        <v>2000000.0000000002</v>
      </c>
      <c r="J155" s="4">
        <f>J125+J134+K134</f>
        <v>2050000</v>
      </c>
      <c r="M155" s="4">
        <f>M125+M134+N134</f>
        <v>2110000</v>
      </c>
      <c r="P155" s="4">
        <f>P125+P134+Q134</f>
        <v>2210000</v>
      </c>
      <c r="S155" s="4">
        <f>S125+S134+T134</f>
        <v>3000000</v>
      </c>
      <c r="V155" s="4">
        <f>V125+V134+W134</f>
        <v>2360235.9978943658</v>
      </c>
      <c r="Y155" s="4">
        <f>Y125+Y134+Z134</f>
        <v>398480.41393881035</v>
      </c>
      <c r="AA155" s="38" t="s">
        <v>340</v>
      </c>
      <c r="AB155" s="42" t="s">
        <v>416</v>
      </c>
      <c r="AC155" s="43" t="s">
        <v>350</v>
      </c>
    </row>
    <row r="156" spans="2:29" x14ac:dyDescent="0.2">
      <c r="G156" s="4">
        <f>G155/G33</f>
        <v>1.0000000000000002</v>
      </c>
      <c r="J156" s="4">
        <f>J155/J33</f>
        <v>1</v>
      </c>
      <c r="M156" s="4">
        <f>M155/M33</f>
        <v>1</v>
      </c>
      <c r="P156" s="4">
        <f>P155/P33</f>
        <v>1</v>
      </c>
      <c r="S156" s="4">
        <f>S155/S33</f>
        <v>1</v>
      </c>
      <c r="V156" s="4">
        <f>V155/V33</f>
        <v>9.4409439915774634E-2</v>
      </c>
      <c r="Y156" s="4">
        <f>Y155/Y33</f>
        <v>0.15812714838841679</v>
      </c>
      <c r="AA156" s="38"/>
      <c r="AB156" s="42"/>
      <c r="AC156" s="43"/>
    </row>
    <row r="157" spans="2:29" x14ac:dyDescent="0.2">
      <c r="B157" s="38" t="s">
        <v>363</v>
      </c>
      <c r="C157" s="31" t="s">
        <v>162</v>
      </c>
      <c r="AA157" s="38" t="s">
        <v>364</v>
      </c>
      <c r="AB157" s="42" t="s">
        <v>365</v>
      </c>
      <c r="AC157" s="43" t="s">
        <v>366</v>
      </c>
    </row>
    <row r="158" spans="2:29" x14ac:dyDescent="0.2">
      <c r="B158" s="38"/>
      <c r="AA158" s="38"/>
      <c r="AB158" s="42"/>
      <c r="AC158" s="43"/>
    </row>
    <row r="159" spans="2:29" x14ac:dyDescent="0.2">
      <c r="AA159" s="38"/>
      <c r="AB159" s="42"/>
      <c r="AC159" s="43"/>
    </row>
    <row r="160" spans="2:29" x14ac:dyDescent="0.2">
      <c r="AA160" s="38"/>
      <c r="AB160" s="42"/>
      <c r="AC160" s="43"/>
    </row>
    <row r="161" spans="27:30" x14ac:dyDescent="0.2">
      <c r="AA161" s="38"/>
      <c r="AB161" s="42"/>
      <c r="AC161" s="43"/>
      <c r="AD161">
        <v>20</v>
      </c>
    </row>
    <row r="162" spans="27:30" x14ac:dyDescent="0.2">
      <c r="AA162" s="38"/>
      <c r="AB162" s="42"/>
      <c r="AC162" s="43"/>
      <c r="AD162">
        <v>20</v>
      </c>
    </row>
    <row r="163" spans="27:30" x14ac:dyDescent="0.2">
      <c r="AA163" s="38"/>
      <c r="AB163" s="42"/>
      <c r="AC163" s="43"/>
      <c r="AD163">
        <v>20</v>
      </c>
    </row>
    <row r="164" spans="27:30" x14ac:dyDescent="0.2">
      <c r="AA164" s="38"/>
      <c r="AB164" s="42"/>
      <c r="AC164" s="43"/>
    </row>
    <row r="165" spans="27:30" x14ac:dyDescent="0.2">
      <c r="AA165" s="38"/>
      <c r="AB165" s="42"/>
      <c r="AC165" s="43"/>
    </row>
  </sheetData>
  <mergeCells count="36">
    <mergeCell ref="E18:E19"/>
    <mergeCell ref="E70:E72"/>
    <mergeCell ref="E75:E78"/>
    <mergeCell ref="Y5:Z5"/>
    <mergeCell ref="P5:Q5"/>
    <mergeCell ref="S5:T5"/>
    <mergeCell ref="V5:W5"/>
    <mergeCell ref="G5:H5"/>
    <mergeCell ref="E29:E30"/>
    <mergeCell ref="AE4:AG4"/>
    <mergeCell ref="I2:J2"/>
    <mergeCell ref="I3:J3"/>
    <mergeCell ref="J5:K5"/>
    <mergeCell ref="M5:N5"/>
    <mergeCell ref="C38:C41"/>
    <mergeCell ref="C62:C65"/>
    <mergeCell ref="B68:B71"/>
    <mergeCell ref="C68:C71"/>
    <mergeCell ref="C43:C46"/>
    <mergeCell ref="B43:B46"/>
    <mergeCell ref="B62:B65"/>
    <mergeCell ref="B56:B59"/>
    <mergeCell ref="C56:C59"/>
    <mergeCell ref="B102:B105"/>
    <mergeCell ref="C102:C105"/>
    <mergeCell ref="B49:B52"/>
    <mergeCell ref="C49:C52"/>
    <mergeCell ref="E49:E52"/>
    <mergeCell ref="C79:C83"/>
    <mergeCell ref="C86:C89"/>
    <mergeCell ref="B97:B100"/>
    <mergeCell ref="C97:C100"/>
    <mergeCell ref="B91:B94"/>
    <mergeCell ref="C91:C94"/>
    <mergeCell ref="B73:B76"/>
    <mergeCell ref="C73:C76"/>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2026-08-14T10:14:02Z</dcterms:modified>
</cp:coreProperties>
</file>