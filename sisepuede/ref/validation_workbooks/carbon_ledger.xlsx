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A9899F6F-C232-1241-9D48-CC7CBCB36DDA}" xr6:coauthVersionLast="47" xr6:coauthVersionMax="47" xr10:uidLastSave="{00000000-0000-0000-0000-000000000000}"/>
  <bookViews>
    <workbookView xWindow="2340" yWindow="760" windowWidth="31100" windowHeight="1986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3" l="1"/>
  <c r="H50" i="3"/>
  <c r="H56" i="3"/>
  <c r="H90" i="3" s="1"/>
  <c r="K43" i="3"/>
  <c r="H55" i="3"/>
  <c r="G111" i="3"/>
  <c r="G112" i="3" s="1"/>
  <c r="H111" i="3"/>
  <c r="J107" i="3"/>
  <c r="G108" i="3"/>
  <c r="H108" i="3"/>
  <c r="K87" i="3"/>
  <c r="K86" i="3"/>
  <c r="G80" i="3"/>
  <c r="G79" i="3"/>
  <c r="G81" i="3"/>
  <c r="H48" i="3"/>
  <c r="H52" i="3" s="1"/>
  <c r="H53" i="3" s="1"/>
  <c r="H49" i="3"/>
  <c r="K44" i="3"/>
  <c r="N39" i="3"/>
  <c r="K38" i="3"/>
  <c r="K68" i="3" s="1"/>
  <c r="H37" i="3"/>
  <c r="I37" i="3" s="1"/>
  <c r="I38" i="3"/>
  <c r="H10" i="3"/>
  <c r="G21" i="3"/>
  <c r="G22" i="3" s="1"/>
  <c r="H21" i="3"/>
  <c r="N45" i="3"/>
  <c r="N58" i="3" s="1"/>
  <c r="N87" i="3"/>
  <c r="H13" i="3"/>
  <c r="H26" i="3" s="1"/>
  <c r="H51" i="3"/>
  <c r="K61" i="3"/>
  <c r="K45" i="3"/>
  <c r="K58" i="3" s="1"/>
  <c r="N44" i="3"/>
  <c r="N57" i="3" s="1"/>
  <c r="H57" i="3"/>
  <c r="H91" i="3" s="1"/>
  <c r="H58" i="3"/>
  <c r="H92" i="3" s="1"/>
  <c r="Q45" i="3"/>
  <c r="Q58" i="3" s="1"/>
  <c r="I36" i="3"/>
  <c r="L36" i="3"/>
  <c r="G29" i="3"/>
  <c r="H29" i="3" s="1"/>
  <c r="G107" i="3"/>
  <c r="G110" i="3" s="1"/>
  <c r="G82" i="3"/>
  <c r="AE10" i="3"/>
  <c r="G13" i="3"/>
  <c r="G26" i="3" s="1"/>
  <c r="Z107" i="3"/>
  <c r="Y107" i="3"/>
  <c r="W107" i="3"/>
  <c r="V107" i="3"/>
  <c r="T107" i="3"/>
  <c r="S107" i="3"/>
  <c r="Q107" i="3"/>
  <c r="P107" i="3"/>
  <c r="N107" i="3"/>
  <c r="M107" i="3"/>
  <c r="K107" i="3"/>
  <c r="H107" i="3"/>
  <c r="H110" i="3" s="1"/>
  <c r="H61" i="3"/>
  <c r="H85" i="3" s="1"/>
  <c r="Q88" i="3"/>
  <c r="N88" i="3"/>
  <c r="Z64" i="3"/>
  <c r="Z88" i="3" s="1"/>
  <c r="Z63" i="3"/>
  <c r="Z87" i="3" s="1"/>
  <c r="Z62" i="3"/>
  <c r="Z86" i="3" s="1"/>
  <c r="Z61" i="3"/>
  <c r="W61" i="3"/>
  <c r="X36" i="3"/>
  <c r="K88" i="3"/>
  <c r="H87" i="3"/>
  <c r="H86" i="3"/>
  <c r="H88" i="3"/>
  <c r="H96" i="3"/>
  <c r="J86" i="3" s="1"/>
  <c r="H97" i="3"/>
  <c r="H98" i="3"/>
  <c r="J88" i="3" s="1"/>
  <c r="Q40" i="3"/>
  <c r="U36" i="3"/>
  <c r="R36" i="3"/>
  <c r="O36" i="3"/>
  <c r="Q63" i="3"/>
  <c r="Q87" i="3" s="1"/>
  <c r="N62" i="3"/>
  <c r="N86" i="3" s="1"/>
  <c r="T61" i="3"/>
  <c r="Q61" i="3"/>
  <c r="H8" i="3"/>
  <c r="K8" i="3" s="1"/>
  <c r="G8" i="3"/>
  <c r="I39" i="3" l="1"/>
  <c r="H59" i="3"/>
  <c r="N70" i="3"/>
  <c r="K74" i="3"/>
  <c r="G113" i="3"/>
  <c r="G135" i="3" s="1"/>
  <c r="G136" i="3" s="1"/>
  <c r="H119" i="3"/>
  <c r="G125" i="3"/>
  <c r="G138" i="3" s="1"/>
  <c r="J109" i="3"/>
  <c r="J110" i="3" s="1"/>
  <c r="Q70" i="3"/>
  <c r="H95" i="3"/>
  <c r="H117" i="3" s="1"/>
  <c r="K73" i="3"/>
  <c r="N69" i="3"/>
  <c r="G119" i="3"/>
  <c r="G120" i="3"/>
  <c r="G116" i="3"/>
  <c r="G118" i="3" s="1"/>
  <c r="K56" i="3"/>
  <c r="H67" i="3"/>
  <c r="H102" i="3"/>
  <c r="K75" i="3"/>
  <c r="H25" i="3"/>
  <c r="H11" i="3" s="1"/>
  <c r="J87" i="3"/>
  <c r="J7" i="3"/>
  <c r="J13" i="3" s="1"/>
  <c r="K57" i="3"/>
  <c r="H103" i="3"/>
  <c r="H101" i="3"/>
  <c r="H93" i="3"/>
  <c r="H112" i="3"/>
  <c r="H120" i="3" s="1"/>
  <c r="K109" i="3"/>
  <c r="K110" i="3" s="1"/>
  <c r="K7" i="3"/>
  <c r="I40" i="3"/>
  <c r="H22" i="3"/>
  <c r="K108" i="3" l="1"/>
  <c r="K13" i="3"/>
  <c r="G146" i="3"/>
  <c r="H121" i="3"/>
  <c r="H122" i="3" s="1"/>
  <c r="H146" i="3"/>
  <c r="H100" i="3"/>
  <c r="M7" i="3"/>
  <c r="M13" i="3" s="1"/>
  <c r="P7" i="3" s="1"/>
  <c r="P13" i="3" s="1"/>
  <c r="S7" i="3" s="1"/>
  <c r="S13" i="3" s="1"/>
  <c r="V7" i="3" s="1"/>
  <c r="V13" i="3" s="1"/>
  <c r="V26" i="3" s="1"/>
  <c r="J26" i="3"/>
  <c r="H113" i="3"/>
  <c r="J85" i="3"/>
  <c r="K85" i="3" s="1"/>
  <c r="J8" i="3"/>
  <c r="J108" i="3"/>
  <c r="G121" i="3"/>
  <c r="G122" i="3" s="1"/>
  <c r="H116" i="3"/>
  <c r="H118" i="3" s="1"/>
  <c r="K10" i="3"/>
  <c r="N8" i="3"/>
  <c r="V108" i="3" l="1"/>
  <c r="S108" i="3"/>
  <c r="G123" i="3"/>
  <c r="M26" i="3"/>
  <c r="P26" i="3"/>
  <c r="S26" i="3"/>
  <c r="M108" i="3"/>
  <c r="P108" i="3"/>
  <c r="H125" i="3"/>
  <c r="H135" i="3"/>
  <c r="H136" i="3" s="1"/>
  <c r="K26" i="3"/>
  <c r="K25" i="3"/>
  <c r="K11" i="3" s="1"/>
  <c r="N7" i="3"/>
  <c r="Q8" i="3"/>
  <c r="N108" i="3" l="1"/>
  <c r="N13" i="3"/>
  <c r="N26" i="3" s="1"/>
  <c r="H138" i="3"/>
  <c r="G139" i="3" s="1"/>
  <c r="H124" i="3"/>
  <c r="H145" i="3" s="1"/>
  <c r="G124" i="3"/>
  <c r="G145" i="3" s="1"/>
  <c r="J39" i="3"/>
  <c r="K50" i="3" s="1"/>
  <c r="J37" i="3"/>
  <c r="J38" i="3"/>
  <c r="K49" i="3" s="1"/>
  <c r="J40" i="3"/>
  <c r="K51" i="3" s="1"/>
  <c r="N10" i="3"/>
  <c r="T8" i="3"/>
  <c r="W62" i="3"/>
  <c r="W86" i="3" s="1"/>
  <c r="W63" i="3"/>
  <c r="W87" i="3" s="1"/>
  <c r="T62" i="3"/>
  <c r="T86" i="3" s="1"/>
  <c r="N61" i="3"/>
  <c r="T64" i="3"/>
  <c r="T88" i="3" s="1"/>
  <c r="W64" i="3"/>
  <c r="W88" i="3" s="1"/>
  <c r="T63" i="3"/>
  <c r="T87" i="3" s="1"/>
  <c r="Q62" i="3"/>
  <c r="Q86" i="3" s="1"/>
  <c r="AE14" i="3"/>
  <c r="AE16" i="3"/>
  <c r="AE17" i="3"/>
  <c r="AE18" i="3"/>
  <c r="AE19" i="3"/>
  <c r="AE21" i="3"/>
  <c r="AE22" i="3"/>
  <c r="AE23" i="3"/>
  <c r="AE24" i="3"/>
  <c r="AE25" i="3"/>
  <c r="AE26" i="3"/>
  <c r="AE27" i="3"/>
  <c r="AE12" i="3"/>
  <c r="AE9" i="3"/>
  <c r="AE11" i="3"/>
  <c r="AE8" i="3"/>
  <c r="AB159" i="3"/>
  <c r="AB158" i="3"/>
  <c r="AB157" i="3"/>
  <c r="AB138" i="3"/>
  <c r="AB137" i="3"/>
  <c r="AB136" i="3"/>
  <c r="AB135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G128" i="3" l="1"/>
  <c r="G140" i="3"/>
  <c r="K42" i="3"/>
  <c r="K55" i="3" s="1"/>
  <c r="K37" i="3"/>
  <c r="N25" i="3"/>
  <c r="G149" i="3"/>
  <c r="K46" i="3"/>
  <c r="Q7" i="3"/>
  <c r="Q108" i="3" s="1"/>
  <c r="Q13" i="3"/>
  <c r="Q26" i="3" s="1"/>
  <c r="Q10" i="3"/>
  <c r="W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G129" i="3" l="1"/>
  <c r="G130" i="3" s="1"/>
  <c r="G131" i="3" s="1"/>
  <c r="H139" i="3"/>
  <c r="H140" i="3" s="1"/>
  <c r="H132" i="3" s="1"/>
  <c r="K72" i="3"/>
  <c r="K67" i="3"/>
  <c r="L38" i="3"/>
  <c r="L39" i="3"/>
  <c r="K48" i="3"/>
  <c r="K52" i="3" s="1"/>
  <c r="K53" i="3" s="1"/>
  <c r="K59" i="3"/>
  <c r="N11" i="3"/>
  <c r="Q25" i="3"/>
  <c r="T7" i="3"/>
  <c r="T13" i="3" s="1"/>
  <c r="T26" i="3" s="1"/>
  <c r="Z8" i="3"/>
  <c r="L37" i="3"/>
  <c r="M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H133" i="3" l="1"/>
  <c r="H144" i="3"/>
  <c r="H143" i="3"/>
  <c r="T108" i="3"/>
  <c r="H81" i="3"/>
  <c r="H149" i="3"/>
  <c r="G132" i="3"/>
  <c r="J79" i="3"/>
  <c r="J82" i="3"/>
  <c r="K76" i="3"/>
  <c r="J80" i="3"/>
  <c r="J81" i="3"/>
  <c r="T10" i="3"/>
  <c r="M37" i="3"/>
  <c r="N37" i="3" s="1"/>
  <c r="N67" i="3" s="1"/>
  <c r="M38" i="3"/>
  <c r="N38" i="3" s="1"/>
  <c r="N68" i="3" s="1"/>
  <c r="T25" i="3"/>
  <c r="W7" i="3"/>
  <c r="Z7" i="3" s="1"/>
  <c r="Z13" i="3" s="1"/>
  <c r="Z26" i="3" s="1"/>
  <c r="Q11" i="3"/>
  <c r="L40" i="3"/>
  <c r="P8" i="3"/>
  <c r="Q3" i="2"/>
  <c r="AA4" i="2" s="1"/>
  <c r="G144" i="3" l="1"/>
  <c r="G143" i="3"/>
  <c r="G151" i="3"/>
  <c r="W10" i="3"/>
  <c r="W108" i="3"/>
  <c r="G133" i="3"/>
  <c r="W13" i="3"/>
  <c r="W26" i="3" s="1"/>
  <c r="Z25" i="3"/>
  <c r="T11" i="3"/>
  <c r="Z10" i="3"/>
  <c r="Z11" i="3" s="1"/>
  <c r="Z108" i="3"/>
  <c r="H79" i="3"/>
  <c r="O37" i="3"/>
  <c r="P37" i="3" s="1"/>
  <c r="Q37" i="3" s="1"/>
  <c r="Q67" i="3" s="1"/>
  <c r="M39" i="3"/>
  <c r="N50" i="3" s="1"/>
  <c r="M40" i="3"/>
  <c r="N51" i="3" s="1"/>
  <c r="S8" i="3"/>
  <c r="F4" i="2"/>
  <c r="R7" i="2"/>
  <c r="G4" i="2"/>
  <c r="K4" i="2"/>
  <c r="J4" i="2"/>
  <c r="W25" i="3" l="1"/>
  <c r="W11" i="3" s="1"/>
  <c r="J111" i="3"/>
  <c r="O38" i="3"/>
  <c r="P38" i="3" s="1"/>
  <c r="Q38" i="3" s="1"/>
  <c r="Q68" i="3" s="1"/>
  <c r="G152" i="3"/>
  <c r="H80" i="3"/>
  <c r="H82" i="3"/>
  <c r="V8" i="3"/>
  <c r="Y7" i="3"/>
  <c r="Y108" i="3" s="1"/>
  <c r="R37" i="3"/>
  <c r="S37" i="3" s="1"/>
  <c r="T37" i="3" s="1"/>
  <c r="T67" i="3" s="1"/>
  <c r="U4" i="2"/>
  <c r="R8" i="2"/>
  <c r="J119" i="3" l="1"/>
  <c r="O39" i="3"/>
  <c r="O40" i="3"/>
  <c r="P39" i="3"/>
  <c r="Q39" i="3" s="1"/>
  <c r="K111" i="3"/>
  <c r="R38" i="3"/>
  <c r="S38" i="3" s="1"/>
  <c r="T38" i="3" s="1"/>
  <c r="T68" i="3" s="1"/>
  <c r="P40" i="3"/>
  <c r="Q51" i="3" s="1"/>
  <c r="Y8" i="3"/>
  <c r="Y13" i="3"/>
  <c r="U37" i="3"/>
  <c r="V37" i="3" s="1"/>
  <c r="W37" i="3" s="1"/>
  <c r="W67" i="3" s="1"/>
  <c r="O4" i="2"/>
  <c r="P4" i="2" s="1"/>
  <c r="X5" i="2" s="1"/>
  <c r="Z5" i="2" s="1"/>
  <c r="J5" i="2" s="1"/>
  <c r="R9" i="2"/>
  <c r="R40" i="3" l="1"/>
  <c r="Q69" i="3"/>
  <c r="R39" i="3"/>
  <c r="K119" i="3"/>
  <c r="Y26" i="3"/>
  <c r="N109" i="3"/>
  <c r="N110" i="3" s="1"/>
  <c r="K112" i="3"/>
  <c r="J112" i="3"/>
  <c r="M109" i="3"/>
  <c r="M110" i="3" s="1"/>
  <c r="S40" i="3"/>
  <c r="T40" i="3" s="1"/>
  <c r="T70" i="3" s="1"/>
  <c r="S39" i="3"/>
  <c r="T39" i="3" s="1"/>
  <c r="U38" i="3"/>
  <c r="V38" i="3" s="1"/>
  <c r="W38" i="3" s="1"/>
  <c r="W68" i="3" s="1"/>
  <c r="X37" i="3"/>
  <c r="Y37" i="3" s="1"/>
  <c r="Z37" i="3" s="1"/>
  <c r="Z67" i="3" s="1"/>
  <c r="Q4" i="2"/>
  <c r="Y5" i="2" s="1"/>
  <c r="AA5" i="2" s="1"/>
  <c r="F5" i="2"/>
  <c r="R10" i="2"/>
  <c r="J113" i="3" l="1"/>
  <c r="J125" i="3" s="1"/>
  <c r="K120" i="3"/>
  <c r="K146" i="3" s="1"/>
  <c r="K113" i="3"/>
  <c r="K125" i="3" s="1"/>
  <c r="J120" i="3"/>
  <c r="J116" i="3"/>
  <c r="J118" i="3" s="1"/>
  <c r="T69" i="3"/>
  <c r="K116" i="3"/>
  <c r="U40" i="3"/>
  <c r="U39" i="3"/>
  <c r="V39" i="3" s="1"/>
  <c r="W39" i="3" s="1"/>
  <c r="X38" i="3"/>
  <c r="Y38" i="3" s="1"/>
  <c r="Z38" i="3" s="1"/>
  <c r="Z68" i="3" s="1"/>
  <c r="R11" i="2"/>
  <c r="G5" i="2"/>
  <c r="U5" i="2" s="1"/>
  <c r="O5" i="2" s="1"/>
  <c r="Q5" i="2" s="1"/>
  <c r="K5" i="2"/>
  <c r="W69" i="3" l="1"/>
  <c r="K135" i="3"/>
  <c r="K136" i="3" s="1"/>
  <c r="J146" i="3"/>
  <c r="J121" i="3"/>
  <c r="J122" i="3" s="1"/>
  <c r="K121" i="3"/>
  <c r="K122" i="3" s="1"/>
  <c r="J135" i="3"/>
  <c r="J136" i="3" s="1"/>
  <c r="J138" i="3" s="1"/>
  <c r="V40" i="3"/>
  <c r="W40" i="3" s="1"/>
  <c r="X39" i="3"/>
  <c r="Y39" i="3" s="1"/>
  <c r="Z39" i="3" s="1"/>
  <c r="Y6" i="2"/>
  <c r="AA6" i="2" s="1"/>
  <c r="K6" i="2" s="1"/>
  <c r="R12" i="2"/>
  <c r="P5" i="2"/>
  <c r="X6" i="2" s="1"/>
  <c r="Z6" i="2" s="1"/>
  <c r="J6" i="2" s="1"/>
  <c r="X40" i="3" l="1"/>
  <c r="W70" i="3"/>
  <c r="Z69" i="3"/>
  <c r="K124" i="3"/>
  <c r="J124" i="3"/>
  <c r="J123" i="3"/>
  <c r="K145" i="3" s="1"/>
  <c r="K138" i="3"/>
  <c r="Y40" i="3"/>
  <c r="Z40" i="3" s="1"/>
  <c r="G6" i="2"/>
  <c r="R13" i="2"/>
  <c r="F6" i="2"/>
  <c r="U6" i="2" s="1"/>
  <c r="W6" i="2" s="1"/>
  <c r="O6" i="2" s="1"/>
  <c r="J145" i="3" l="1"/>
  <c r="J139" i="3"/>
  <c r="J140" i="3" s="1"/>
  <c r="Z70" i="3"/>
  <c r="J149" i="3"/>
  <c r="J128" i="3"/>
  <c r="R14" i="2"/>
  <c r="Y7" i="2"/>
  <c r="AA7" i="2" s="1"/>
  <c r="K139" i="3" l="1"/>
  <c r="K140" i="3" s="1"/>
  <c r="J129" i="3"/>
  <c r="J132" i="3" s="1"/>
  <c r="J133" i="3" s="1"/>
  <c r="X7" i="2"/>
  <c r="Z7" i="2" s="1"/>
  <c r="R15" i="2"/>
  <c r="G7" i="2"/>
  <c r="K7" i="2"/>
  <c r="J130" i="3" l="1"/>
  <c r="J131" i="3" s="1"/>
  <c r="K149" i="3" s="1"/>
  <c r="J144" i="3"/>
  <c r="J143" i="3"/>
  <c r="K132" i="3"/>
  <c r="J7" i="2"/>
  <c r="F7" i="2"/>
  <c r="U7" i="2" s="1"/>
  <c r="O7" i="2" s="1"/>
  <c r="R16" i="2"/>
  <c r="K80" i="3" l="1"/>
  <c r="K91" i="3" s="1"/>
  <c r="K79" i="3"/>
  <c r="K81" i="3"/>
  <c r="K92" i="3" s="1"/>
  <c r="K133" i="3"/>
  <c r="K144" i="3"/>
  <c r="J151" i="3"/>
  <c r="J152" i="3" s="1"/>
  <c r="K82" i="3"/>
  <c r="K93" i="3" s="1"/>
  <c r="P7" i="2"/>
  <c r="X8" i="2" s="1"/>
  <c r="Z8" i="2" s="1"/>
  <c r="Q7" i="2"/>
  <c r="Y8" i="2" s="1"/>
  <c r="AA8" i="2" s="1"/>
  <c r="G8" i="2" s="1"/>
  <c r="J8" i="2"/>
  <c r="R17" i="2"/>
  <c r="F8" i="2"/>
  <c r="K90" i="3" l="1"/>
  <c r="K96" i="3"/>
  <c r="K97" i="3"/>
  <c r="K102" i="3" s="1"/>
  <c r="K98" i="3"/>
  <c r="M111" i="3"/>
  <c r="K8" i="2"/>
  <c r="W8" i="2"/>
  <c r="R18" i="2"/>
  <c r="K95" i="3" l="1"/>
  <c r="K143" i="3"/>
  <c r="N111" i="3" s="1"/>
  <c r="K117" i="3"/>
  <c r="K100" i="3"/>
  <c r="N74" i="3"/>
  <c r="M85" i="3"/>
  <c r="N85" i="3" s="1"/>
  <c r="N42" i="3"/>
  <c r="N55" i="3" s="1"/>
  <c r="M119" i="3"/>
  <c r="N75" i="3"/>
  <c r="K103" i="3"/>
  <c r="M88" i="3"/>
  <c r="N43" i="3"/>
  <c r="M87" i="3"/>
  <c r="M112" i="3"/>
  <c r="P109" i="3"/>
  <c r="P110" i="3" s="1"/>
  <c r="O8" i="2"/>
  <c r="Q8" i="2" s="1"/>
  <c r="Y9" i="2" s="1"/>
  <c r="AA9" i="2" s="1"/>
  <c r="R19" i="2"/>
  <c r="N112" i="3" l="1"/>
  <c r="N119" i="3"/>
  <c r="Q109" i="3"/>
  <c r="Q110" i="3" s="1"/>
  <c r="N49" i="3"/>
  <c r="N56" i="3"/>
  <c r="N48" i="3"/>
  <c r="N72" i="3"/>
  <c r="M79" i="3" s="1"/>
  <c r="K118" i="3"/>
  <c r="M86" i="3"/>
  <c r="M120" i="3"/>
  <c r="M116" i="3"/>
  <c r="M118" i="3" s="1"/>
  <c r="K101" i="3"/>
  <c r="M113" i="3"/>
  <c r="M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N113" i="3" l="1"/>
  <c r="N125" i="3" s="1"/>
  <c r="N116" i="3"/>
  <c r="N120" i="3"/>
  <c r="N52" i="3"/>
  <c r="N59" i="3"/>
  <c r="N73" i="3"/>
  <c r="M81" i="3" s="1"/>
  <c r="M146" i="3"/>
  <c r="M121" i="3"/>
  <c r="M122" i="3" s="1"/>
  <c r="M135" i="3"/>
  <c r="N46" i="3"/>
  <c r="N53" i="3" s="1"/>
  <c r="Q9" i="2"/>
  <c r="Y10" i="2" s="1"/>
  <c r="AA10" i="2" s="1"/>
  <c r="G10" i="2" s="1"/>
  <c r="R21" i="2"/>
  <c r="F10" i="2"/>
  <c r="N146" i="3" l="1"/>
  <c r="N121" i="3"/>
  <c r="N135" i="3"/>
  <c r="N136" i="3" s="1"/>
  <c r="N138" i="3" s="1"/>
  <c r="M136" i="3"/>
  <c r="M138" i="3" s="1"/>
  <c r="M80" i="3"/>
  <c r="M82" i="3"/>
  <c r="N76" i="3"/>
  <c r="U10" i="2"/>
  <c r="W10" i="2" s="1"/>
  <c r="O10" i="2" s="1"/>
  <c r="Q10" i="2" s="1"/>
  <c r="K10" i="2"/>
  <c r="R22" i="2"/>
  <c r="N122" i="3" l="1"/>
  <c r="N124" i="3" s="1"/>
  <c r="M139" i="3"/>
  <c r="M124" i="3"/>
  <c r="M123" i="3"/>
  <c r="N145" i="3" s="1"/>
  <c r="Y11" i="2"/>
  <c r="P10" i="2"/>
  <c r="X11" i="2" s="1"/>
  <c r="Z11" i="2" s="1"/>
  <c r="J11" i="2" s="1"/>
  <c r="R23" i="2"/>
  <c r="M140" i="3" l="1"/>
  <c r="N139" i="3"/>
  <c r="N140" i="3" s="1"/>
  <c r="M145" i="3"/>
  <c r="M149" i="3" s="1"/>
  <c r="M128" i="3"/>
  <c r="M129" i="3" s="1"/>
  <c r="M132" i="3" s="1"/>
  <c r="M133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130" i="3" l="1"/>
  <c r="M131" i="3" s="1"/>
  <c r="N149" i="3" s="1"/>
  <c r="N132" i="3"/>
  <c r="M144" i="3"/>
  <c r="M143" i="3"/>
  <c r="P111" i="3" s="1"/>
  <c r="K11" i="2"/>
  <c r="Q11" i="2"/>
  <c r="R25" i="2"/>
  <c r="F12" i="2"/>
  <c r="N79" i="3" l="1"/>
  <c r="N90" i="3" s="1"/>
  <c r="N80" i="3"/>
  <c r="N91" i="3" s="1"/>
  <c r="N81" i="3"/>
  <c r="N92" i="3" s="1"/>
  <c r="N82" i="3"/>
  <c r="N93" i="3" s="1"/>
  <c r="N144" i="3"/>
  <c r="M151" i="3"/>
  <c r="M152" i="3" s="1"/>
  <c r="N133" i="3"/>
  <c r="P119" i="3"/>
  <c r="P112" i="3"/>
  <c r="S109" i="3"/>
  <c r="S110" i="3" s="1"/>
  <c r="Y12" i="2"/>
  <c r="AA12" i="2" s="1"/>
  <c r="R26" i="2"/>
  <c r="N143" i="3" l="1"/>
  <c r="Q111" i="3" s="1"/>
  <c r="Q119" i="3" s="1"/>
  <c r="N95" i="3"/>
  <c r="N100" i="3" s="1"/>
  <c r="N98" i="3"/>
  <c r="P88" i="3" s="1"/>
  <c r="N97" i="3"/>
  <c r="P87" i="3" s="1"/>
  <c r="N96" i="3"/>
  <c r="Q43" i="3" s="1"/>
  <c r="Q49" i="3" s="1"/>
  <c r="P120" i="3"/>
  <c r="P116" i="3"/>
  <c r="P118" i="3" s="1"/>
  <c r="P113" i="3"/>
  <c r="P125" i="3" s="1"/>
  <c r="G12" i="2"/>
  <c r="U12" i="2" s="1"/>
  <c r="W12" i="2" s="1"/>
  <c r="O12" i="2" s="1"/>
  <c r="Q12" i="2" s="1"/>
  <c r="K12" i="2"/>
  <c r="R27" i="2"/>
  <c r="Q112" i="3" l="1"/>
  <c r="T109" i="3"/>
  <c r="T110" i="3" s="1"/>
  <c r="Q42" i="3"/>
  <c r="Q55" i="3" s="1"/>
  <c r="N101" i="3"/>
  <c r="Q44" i="3"/>
  <c r="Q50" i="3" s="1"/>
  <c r="Q75" i="3"/>
  <c r="Q56" i="3"/>
  <c r="P85" i="3"/>
  <c r="Q85" i="3" s="1"/>
  <c r="N102" i="3"/>
  <c r="Q73" i="3"/>
  <c r="P86" i="3"/>
  <c r="N117" i="3"/>
  <c r="N118" i="3" s="1"/>
  <c r="N103" i="3"/>
  <c r="Q48" i="3"/>
  <c r="Q52" i="3" s="1"/>
  <c r="P121" i="3"/>
  <c r="P122" i="3" s="1"/>
  <c r="P146" i="3"/>
  <c r="P135" i="3"/>
  <c r="P136" i="3" s="1"/>
  <c r="Y13" i="2"/>
  <c r="AA13" i="2" s="1"/>
  <c r="G13" i="2" s="1"/>
  <c r="P12" i="2"/>
  <c r="X13" i="2" s="1"/>
  <c r="Z13" i="2" s="1"/>
  <c r="J13" i="2" s="1"/>
  <c r="R28" i="2"/>
  <c r="Q72" i="3" l="1"/>
  <c r="P79" i="3" s="1"/>
  <c r="Q116" i="3"/>
  <c r="Q113" i="3"/>
  <c r="Q120" i="3"/>
  <c r="Q74" i="3"/>
  <c r="P82" i="3" s="1"/>
  <c r="Q57" i="3"/>
  <c r="Q46" i="3"/>
  <c r="Q59" i="3"/>
  <c r="P80" i="3"/>
  <c r="P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Q121" i="3" l="1"/>
  <c r="Q53" i="3"/>
  <c r="Q146" i="3" s="1"/>
  <c r="Q125" i="3"/>
  <c r="Q135" i="3"/>
  <c r="Q136" i="3" s="1"/>
  <c r="P81" i="3"/>
  <c r="Q76" i="3"/>
  <c r="K14" i="2"/>
  <c r="P13" i="2"/>
  <c r="X14" i="2" s="1"/>
  <c r="Z14" i="2" s="1"/>
  <c r="J14" i="2" s="1"/>
  <c r="Q122" i="3" l="1"/>
  <c r="Q124" i="3" s="1"/>
  <c r="Q138" i="3"/>
  <c r="P139" i="3" s="1"/>
  <c r="P140" i="3" s="1"/>
  <c r="F14" i="2"/>
  <c r="U14" i="2" s="1"/>
  <c r="W14" i="2" s="1"/>
  <c r="O14" i="2" s="1"/>
  <c r="P14" i="2" s="1"/>
  <c r="X15" i="2" s="1"/>
  <c r="Z15" i="2" s="1"/>
  <c r="J15" i="2" s="1"/>
  <c r="P124" i="3" l="1"/>
  <c r="Q139" i="3"/>
  <c r="Q140" i="3" s="1"/>
  <c r="P123" i="3"/>
  <c r="P128" i="3" s="1"/>
  <c r="P129" i="3" s="1"/>
  <c r="P132" i="3" s="1"/>
  <c r="P133" i="3" s="1"/>
  <c r="F15" i="2"/>
  <c r="Q14" i="2"/>
  <c r="Y15" i="2" s="1"/>
  <c r="AA15" i="2" s="1"/>
  <c r="G15" i="2" s="1"/>
  <c r="U15" i="2" s="1"/>
  <c r="W15" i="2" s="1"/>
  <c r="O15" i="2" s="1"/>
  <c r="Q15" i="2" s="1"/>
  <c r="P145" i="3" l="1"/>
  <c r="P149" i="3" s="1"/>
  <c r="Q145" i="3"/>
  <c r="P144" i="3"/>
  <c r="Q132" i="3"/>
  <c r="P151" i="3" s="1"/>
  <c r="P152" i="3" s="1"/>
  <c r="P143" i="3"/>
  <c r="P130" i="3"/>
  <c r="P131" i="3" s="1"/>
  <c r="Q80" i="3" s="1"/>
  <c r="S111" i="3"/>
  <c r="K15" i="2"/>
  <c r="Y16" i="2" s="1"/>
  <c r="AA16" i="2" s="1"/>
  <c r="G16" i="2" s="1"/>
  <c r="P15" i="2"/>
  <c r="X16" i="2" s="1"/>
  <c r="Z16" i="2" s="1"/>
  <c r="J16" i="2" s="1"/>
  <c r="Q82" i="3" l="1"/>
  <c r="Q93" i="3" s="1"/>
  <c r="Q144" i="3"/>
  <c r="Q81" i="3"/>
  <c r="Q92" i="3" s="1"/>
  <c r="Q91" i="3"/>
  <c r="Q96" i="3" s="1"/>
  <c r="Q133" i="3"/>
  <c r="Q79" i="3"/>
  <c r="Q90" i="3" s="1"/>
  <c r="Q149" i="3"/>
  <c r="Q98" i="3"/>
  <c r="Q97" i="3"/>
  <c r="S119" i="3"/>
  <c r="S112" i="3"/>
  <c r="V109" i="3"/>
  <c r="V110" i="3" s="1"/>
  <c r="K16" i="2"/>
  <c r="F16" i="2"/>
  <c r="U16" i="2" s="1"/>
  <c r="W16" i="2" s="1"/>
  <c r="O16" i="2" s="1"/>
  <c r="P16" i="2" s="1"/>
  <c r="X17" i="2" s="1"/>
  <c r="Z17" i="2" s="1"/>
  <c r="J17" i="2" s="1"/>
  <c r="Q143" i="3" l="1"/>
  <c r="T111" i="3" s="1"/>
  <c r="T112" i="3" s="1"/>
  <c r="T120" i="3" s="1"/>
  <c r="Q95" i="3"/>
  <c r="Q101" i="3"/>
  <c r="S86" i="3"/>
  <c r="T43" i="3"/>
  <c r="T49" i="3" s="1"/>
  <c r="W109" i="3"/>
  <c r="W110" i="3" s="1"/>
  <c r="Q117" i="3"/>
  <c r="Q118" i="3" s="1"/>
  <c r="T42" i="3"/>
  <c r="T48" i="3" s="1"/>
  <c r="S85" i="3"/>
  <c r="T85" i="3" s="1"/>
  <c r="Q100" i="3"/>
  <c r="S87" i="3"/>
  <c r="Q103" i="3"/>
  <c r="T45" i="3"/>
  <c r="T51" i="3" s="1"/>
  <c r="T44" i="3"/>
  <c r="T50" i="3" s="1"/>
  <c r="Q102" i="3"/>
  <c r="S88" i="3"/>
  <c r="S120" i="3"/>
  <c r="S116" i="3"/>
  <c r="S118" i="3" s="1"/>
  <c r="S113" i="3"/>
  <c r="S125" i="3" s="1"/>
  <c r="T56" i="3"/>
  <c r="T73" i="3"/>
  <c r="Q16" i="2"/>
  <c r="Y17" i="2" s="1"/>
  <c r="AA17" i="2" s="1"/>
  <c r="K17" i="2" s="1"/>
  <c r="F17" i="2"/>
  <c r="T119" i="3" l="1"/>
  <c r="T72" i="3"/>
  <c r="T113" i="3"/>
  <c r="T125" i="3" s="1"/>
  <c r="T116" i="3"/>
  <c r="T55" i="3"/>
  <c r="T52" i="3"/>
  <c r="T75" i="3"/>
  <c r="T58" i="3"/>
  <c r="T46" i="3"/>
  <c r="T53" i="3" s="1"/>
  <c r="T146" i="3" s="1"/>
  <c r="T57" i="3"/>
  <c r="T74" i="3"/>
  <c r="S82" i="3" s="1"/>
  <c r="S121" i="3"/>
  <c r="S122" i="3" s="1"/>
  <c r="S146" i="3"/>
  <c r="T121" i="3"/>
  <c r="T122" i="3" s="1"/>
  <c r="S135" i="3"/>
  <c r="S136" i="3" s="1"/>
  <c r="S79" i="3"/>
  <c r="S80" i="3"/>
  <c r="G17" i="2"/>
  <c r="U17" i="2" s="1"/>
  <c r="W17" i="2" s="1"/>
  <c r="O17" i="2" s="1"/>
  <c r="P17" i="2" s="1"/>
  <c r="X18" i="2" s="1"/>
  <c r="Z18" i="2" s="1"/>
  <c r="J18" i="2" s="1"/>
  <c r="T135" i="3" l="1"/>
  <c r="T136" i="3" s="1"/>
  <c r="T59" i="3"/>
  <c r="T76" i="3"/>
  <c r="S81" i="3"/>
  <c r="T124" i="3"/>
  <c r="S124" i="3"/>
  <c r="S123" i="3"/>
  <c r="T145" i="3" s="1"/>
  <c r="T138" i="3"/>
  <c r="S138" i="3"/>
  <c r="Q17" i="2"/>
  <c r="Y18" i="2" s="1"/>
  <c r="AA18" i="2" s="1"/>
  <c r="G18" i="2" s="1"/>
  <c r="F18" i="2"/>
  <c r="S139" i="3" l="1"/>
  <c r="T139" i="3" s="1"/>
  <c r="T140" i="3" s="1"/>
  <c r="S145" i="3"/>
  <c r="S149" i="3" s="1"/>
  <c r="S128" i="3"/>
  <c r="K18" i="2"/>
  <c r="U18" i="2"/>
  <c r="W18" i="2" s="1"/>
  <c r="O18" i="2" s="1"/>
  <c r="Q18" i="2" s="1"/>
  <c r="S140" i="3" l="1"/>
  <c r="S129" i="3"/>
  <c r="Y19" i="2"/>
  <c r="AA19" i="2" s="1"/>
  <c r="G19" i="2" s="1"/>
  <c r="P18" i="2"/>
  <c r="X19" i="2" s="1"/>
  <c r="Z19" i="2" s="1"/>
  <c r="J19" i="2" s="1"/>
  <c r="T132" i="3" l="1"/>
  <c r="S132" i="3"/>
  <c r="S133" i="3" s="1"/>
  <c r="S130" i="3"/>
  <c r="S131" i="3" s="1"/>
  <c r="K19" i="2"/>
  <c r="F19" i="2"/>
  <c r="U19" i="2" s="1"/>
  <c r="W19" i="2" s="1"/>
  <c r="O19" i="2" s="1"/>
  <c r="P19" i="2" s="1"/>
  <c r="X20" i="2" s="1"/>
  <c r="Z20" i="2" s="1"/>
  <c r="T80" i="3" l="1"/>
  <c r="T91" i="3" s="1"/>
  <c r="T96" i="3" s="1"/>
  <c r="T149" i="3"/>
  <c r="T133" i="3"/>
  <c r="S144" i="3"/>
  <c r="S143" i="3"/>
  <c r="V111" i="3" s="1"/>
  <c r="S151" i="3"/>
  <c r="S152" i="3" s="1"/>
  <c r="T144" i="3"/>
  <c r="T82" i="3"/>
  <c r="T93" i="3" s="1"/>
  <c r="T81" i="3"/>
  <c r="T92" i="3" s="1"/>
  <c r="T79" i="3"/>
  <c r="T90" i="3" s="1"/>
  <c r="Q19" i="2"/>
  <c r="Y20" i="2" s="1"/>
  <c r="AA20" i="2" s="1"/>
  <c r="G20" i="2" s="1"/>
  <c r="J20" i="2"/>
  <c r="F20" i="2"/>
  <c r="T143" i="3" l="1"/>
  <c r="W111" i="3" s="1"/>
  <c r="T101" i="3"/>
  <c r="T97" i="3"/>
  <c r="T95" i="3"/>
  <c r="T98" i="3"/>
  <c r="W119" i="3"/>
  <c r="V119" i="3"/>
  <c r="W43" i="3"/>
  <c r="W49" i="3" s="1"/>
  <c r="V86" i="3"/>
  <c r="W112" i="3"/>
  <c r="Z109" i="3"/>
  <c r="Z110" i="3" s="1"/>
  <c r="V112" i="3"/>
  <c r="Y109" i="3"/>
  <c r="Y110" i="3" s="1"/>
  <c r="K20" i="2"/>
  <c r="U20" i="2"/>
  <c r="W20" i="2" s="1"/>
  <c r="T100" i="3" l="1"/>
  <c r="W42" i="3"/>
  <c r="W48" i="3" s="1"/>
  <c r="V88" i="3"/>
  <c r="V87" i="3"/>
  <c r="W44" i="3"/>
  <c r="W50" i="3" s="1"/>
  <c r="V85" i="3"/>
  <c r="W85" i="3" s="1"/>
  <c r="T102" i="3"/>
  <c r="T117" i="3"/>
  <c r="T118" i="3" s="1"/>
  <c r="W74" i="3"/>
  <c r="T103" i="3"/>
  <c r="W45" i="3"/>
  <c r="W116" i="3"/>
  <c r="W120" i="3"/>
  <c r="W73" i="3"/>
  <c r="V116" i="3"/>
  <c r="V118" i="3" s="1"/>
  <c r="V120" i="3"/>
  <c r="V113" i="3"/>
  <c r="V125" i="3" s="1"/>
  <c r="W113" i="3"/>
  <c r="W125" i="3" s="1"/>
  <c r="W56" i="3"/>
  <c r="W72" i="3"/>
  <c r="V79" i="3" s="1"/>
  <c r="O20" i="2"/>
  <c r="P20" i="2" s="1"/>
  <c r="X21" i="2" s="1"/>
  <c r="Z21" i="2" s="1"/>
  <c r="W55" i="3" l="1"/>
  <c r="W57" i="3"/>
  <c r="W51" i="3"/>
  <c r="W52" i="3" s="1"/>
  <c r="W75" i="3"/>
  <c r="V82" i="3" s="1"/>
  <c r="W58" i="3"/>
  <c r="W46" i="3"/>
  <c r="V146" i="3"/>
  <c r="W121" i="3"/>
  <c r="V121" i="3"/>
  <c r="V122" i="3" s="1"/>
  <c r="W135" i="3"/>
  <c r="W136" i="3" s="1"/>
  <c r="V135" i="3"/>
  <c r="V136" i="3" s="1"/>
  <c r="W59" i="3"/>
  <c r="W76" i="3"/>
  <c r="V80" i="3"/>
  <c r="V81" i="3"/>
  <c r="J21" i="2"/>
  <c r="F21" i="2"/>
  <c r="Q20" i="2"/>
  <c r="Y21" i="2" s="1"/>
  <c r="AA21" i="2" s="1"/>
  <c r="G21" i="2" s="1"/>
  <c r="W53" i="3" l="1"/>
  <c r="W146" i="3" s="1"/>
  <c r="W122" i="3"/>
  <c r="W124" i="3" s="1"/>
  <c r="V138" i="3"/>
  <c r="W138" i="3"/>
  <c r="U21" i="2"/>
  <c r="W21" i="2" s="1"/>
  <c r="O21" i="2" s="1"/>
  <c r="Q21" i="2" s="1"/>
  <c r="K21" i="2"/>
  <c r="V139" i="3" l="1"/>
  <c r="V140" i="3" s="1"/>
  <c r="V123" i="3"/>
  <c r="W145" i="3" s="1"/>
  <c r="V124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W139" i="3" l="1"/>
  <c r="W140" i="3" s="1"/>
  <c r="V128" i="3"/>
  <c r="V129" i="3" s="1"/>
  <c r="V132" i="3" s="1"/>
  <c r="V133" i="3" s="1"/>
  <c r="V145" i="3"/>
  <c r="V149" i="3" s="1"/>
  <c r="K22" i="2"/>
  <c r="Y23" i="2" s="1"/>
  <c r="AA23" i="2" s="1"/>
  <c r="P22" i="2"/>
  <c r="X23" i="2" s="1"/>
  <c r="Z23" i="2" s="1"/>
  <c r="J23" i="2" s="1"/>
  <c r="V144" i="3" l="1"/>
  <c r="V143" i="3"/>
  <c r="Y111" i="3" s="1"/>
  <c r="W132" i="3"/>
  <c r="V130" i="3"/>
  <c r="V131" i="3" s="1"/>
  <c r="G23" i="2"/>
  <c r="K23" i="2"/>
  <c r="F23" i="2"/>
  <c r="U23" i="2" s="1"/>
  <c r="W23" i="2" s="1"/>
  <c r="O23" i="2" s="1"/>
  <c r="Q23" i="2" s="1"/>
  <c r="Y24" i="2" s="1"/>
  <c r="AA24" i="2" s="1"/>
  <c r="W79" i="3" l="1"/>
  <c r="W149" i="3"/>
  <c r="W133" i="3"/>
  <c r="Y119" i="3"/>
  <c r="W144" i="3"/>
  <c r="V151" i="3"/>
  <c r="V152" i="3" s="1"/>
  <c r="W80" i="3"/>
  <c r="W91" i="3" s="1"/>
  <c r="W81" i="3"/>
  <c r="W92" i="3" s="1"/>
  <c r="W82" i="3"/>
  <c r="W93" i="3" s="1"/>
  <c r="Y112" i="3"/>
  <c r="P23" i="2"/>
  <c r="X24" i="2" s="1"/>
  <c r="Z24" i="2" s="1"/>
  <c r="J24" i="2" s="1"/>
  <c r="G24" i="2"/>
  <c r="K24" i="2"/>
  <c r="W90" i="3" l="1"/>
  <c r="W95" i="3"/>
  <c r="Z42" i="3"/>
  <c r="Z48" i="3" s="1"/>
  <c r="W143" i="3"/>
  <c r="Z111" i="3" s="1"/>
  <c r="Z119" i="3" s="1"/>
  <c r="W96" i="3"/>
  <c r="Z43" i="3" s="1"/>
  <c r="W98" i="3"/>
  <c r="W97" i="3"/>
  <c r="Y85" i="3"/>
  <c r="Z85" i="3" s="1"/>
  <c r="Y116" i="3"/>
  <c r="Y118" i="3" s="1"/>
  <c r="Y120" i="3"/>
  <c r="W100" i="3"/>
  <c r="Y113" i="3"/>
  <c r="Y125" i="3" s="1"/>
  <c r="Z55" i="3"/>
  <c r="Z72" i="3"/>
  <c r="F24" i="2"/>
  <c r="U24" i="2" s="1"/>
  <c r="W24" i="2" s="1"/>
  <c r="O24" i="2" s="1"/>
  <c r="P24" i="2" s="1"/>
  <c r="X25" i="2" s="1"/>
  <c r="Z25" i="2" s="1"/>
  <c r="J25" i="2" s="1"/>
  <c r="Z112" i="3" l="1"/>
  <c r="Y146" i="3"/>
  <c r="Y79" i="3"/>
  <c r="W101" i="3"/>
  <c r="Z73" i="3"/>
  <c r="Y80" i="3" s="1"/>
  <c r="Y87" i="3"/>
  <c r="Z44" i="3"/>
  <c r="Z50" i="3" s="1"/>
  <c r="W102" i="3"/>
  <c r="Z45" i="3"/>
  <c r="Z51" i="3" s="1"/>
  <c r="Y88" i="3"/>
  <c r="W103" i="3"/>
  <c r="W117" i="3"/>
  <c r="W118" i="3" s="1"/>
  <c r="Y86" i="3"/>
  <c r="Z74" i="3"/>
  <c r="Y81" i="3" s="1"/>
  <c r="Y121" i="3"/>
  <c r="Y122" i="3" s="1"/>
  <c r="Z116" i="3"/>
  <c r="Z120" i="3"/>
  <c r="Z113" i="3"/>
  <c r="Z125" i="3" s="1"/>
  <c r="Y135" i="3"/>
  <c r="Y136" i="3" s="1"/>
  <c r="Z49" i="3"/>
  <c r="Z56" i="3"/>
  <c r="Q24" i="2"/>
  <c r="Y25" i="2" s="1"/>
  <c r="AA25" i="2" s="1"/>
  <c r="G25" i="2" s="1"/>
  <c r="F25" i="2"/>
  <c r="Z46" i="3" l="1"/>
  <c r="Z52" i="3"/>
  <c r="Z75" i="3"/>
  <c r="Y82" i="3" s="1"/>
  <c r="Z58" i="3"/>
  <c r="Z57" i="3"/>
  <c r="Z59" i="3" s="1"/>
  <c r="Z121" i="3"/>
  <c r="Y138" i="3"/>
  <c r="Z135" i="3"/>
  <c r="K25" i="2"/>
  <c r="U25" i="2"/>
  <c r="W25" i="2" s="1"/>
  <c r="O25" i="2" s="1"/>
  <c r="Q25" i="2" s="1"/>
  <c r="Y26" i="2" s="1"/>
  <c r="AA26" i="2" s="1"/>
  <c r="G26" i="2" s="1"/>
  <c r="Z76" i="3" l="1"/>
  <c r="Z53" i="3"/>
  <c r="Z136" i="3"/>
  <c r="Z138" i="3" s="1"/>
  <c r="Y139" i="3" s="1"/>
  <c r="P25" i="2"/>
  <c r="X26" i="2" s="1"/>
  <c r="Z26" i="2" s="1"/>
  <c r="J26" i="2" s="1"/>
  <c r="K26" i="2"/>
  <c r="Z122" i="3" l="1"/>
  <c r="Z124" i="3" s="1"/>
  <c r="Z146" i="3"/>
  <c r="Y124" i="3"/>
  <c r="Y123" i="3"/>
  <c r="Y128" i="3" s="1"/>
  <c r="Z139" i="3"/>
  <c r="Z140" i="3" s="1"/>
  <c r="Y140" i="3"/>
  <c r="F26" i="2"/>
  <c r="U26" i="2" s="1"/>
  <c r="W26" i="2" s="1"/>
  <c r="O26" i="2" s="1"/>
  <c r="Q26" i="2" s="1"/>
  <c r="Y27" i="2" s="1"/>
  <c r="AA27" i="2" s="1"/>
  <c r="Y145" i="3" l="1"/>
  <c r="Y149" i="3" s="1"/>
  <c r="Z145" i="3"/>
  <c r="Y129" i="3"/>
  <c r="P26" i="2"/>
  <c r="X27" i="2" s="1"/>
  <c r="Z27" i="2" s="1"/>
  <c r="J27" i="2" s="1"/>
  <c r="G27" i="2"/>
  <c r="K27" i="2"/>
  <c r="Y132" i="3" l="1"/>
  <c r="Y133" i="3" s="1"/>
  <c r="Z132" i="3"/>
  <c r="Y130" i="3"/>
  <c r="Y131" i="3" s="1"/>
  <c r="Z149" i="3" s="1"/>
  <c r="F27" i="2"/>
  <c r="U27" i="2" s="1"/>
  <c r="W27" i="2" s="1"/>
  <c r="O27" i="2" s="1"/>
  <c r="P27" i="2" s="1"/>
  <c r="X28" i="2" s="1"/>
  <c r="Z28" i="2" s="1"/>
  <c r="J28" i="2" s="1"/>
  <c r="Z133" i="3" l="1"/>
  <c r="Z144" i="3"/>
  <c r="Y144" i="3"/>
  <c r="Y143" i="3"/>
  <c r="Y151" i="3"/>
  <c r="Y152" i="3" s="1"/>
  <c r="Z81" i="3"/>
  <c r="Z92" i="3" s="1"/>
  <c r="Z82" i="3"/>
  <c r="Z93" i="3" s="1"/>
  <c r="Z80" i="3"/>
  <c r="Z91" i="3" s="1"/>
  <c r="Z79" i="3"/>
  <c r="Z90" i="3" s="1"/>
  <c r="Q27" i="2"/>
  <c r="Y28" i="2" s="1"/>
  <c r="AA28" i="2" s="1"/>
  <c r="G28" i="2" s="1"/>
  <c r="F28" i="2"/>
  <c r="Z143" i="3" l="1"/>
  <c r="Z96" i="3"/>
  <c r="Z98" i="3"/>
  <c r="Z95" i="3"/>
  <c r="Z97" i="3"/>
  <c r="U28" i="2"/>
  <c r="W28" i="2" s="1"/>
  <c r="O28" i="2" s="1"/>
  <c r="Q28" i="2" s="1"/>
  <c r="K28" i="2"/>
  <c r="Z117" i="3" l="1"/>
  <c r="Z118" i="3" s="1"/>
  <c r="Z100" i="3"/>
  <c r="Z102" i="3"/>
  <c r="Z103" i="3"/>
  <c r="Z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<sst xmlns="http://schemas.openxmlformats.org/spreadsheetml/2006/main" count="427" uniqueCount="294">
  <si>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</si>
  <si>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</si>
  <si>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</si>
  <si>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</si>
  <si>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</si>
  <si>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</si>
  <si>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</si>
  <si>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</si>
  <si>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</si>
  <si>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</si>
  <si>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</si>
  <si>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</si>
  <si>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</si>
  <si>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</si>
  <si>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</si>
  <si>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</si>
  <si>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</si>
  <si>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</si>
  <si>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</si>
  <si>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</si>
  <si>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</si>
  <si>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</si>
  <si>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</si>
  <si>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</si>
  <si>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</si>
  <si>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</si>
  <si>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</si>
  <si>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</si>
  <si>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</si>
  <si>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</si>
  <si>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</si>
  <si>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</si>
  <si>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</si>
  <si>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</si>
  <si>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</si>
  <si>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</si>
  <si>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</si>
  <si>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</si>
  <si>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</si>
  <si>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</si>
  <si>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</si>
  <si>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</si>
  <si>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</si>
  <si>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</si>
  <si>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</si>
  <si>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</si>
  <si>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</si>
  <si>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</si>
  <si>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</si>
  <si>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</si>
  <si>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</si>
  <si>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</si>
  <si>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</si>
  <si>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</si>
  <si>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</si>
  <si>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</si>
  <si>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</si>
  <si>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</si>
  <si>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</si>
  <si>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</si>
  <si>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</si>
  <si>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</si>
  <si>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</si>
  <si>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</si>
  <si>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</si>
  <si>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</si>
  <si>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</si>
  <si>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</si>
  <si>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</si>
  <si>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</si>
  <si>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</si>
  <si>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</si>
  <si>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</si>
  <si>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</si>
  <si>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</si>
  <si>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</si>
  <si>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</si>
  <si>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</si>
  <si>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</si>
  <si>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</si>
  <si>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</si>
  <si>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</si>
  <si>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</si>
  <si>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</si>
  <si>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</si>
  <si>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</si>
  <si>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</si>
  <si>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</si>
  <si>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</si>
  <si>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</si>
  <si>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</si>
  <si>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</si>
  <si>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</si>
  <si>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</si>
  <si>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</si>
  <si>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</si>
  <si>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</si>
  <si>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</si>
  <si>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</si>
  <si>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</si>
  <si>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</si>
  <si>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</si>
  <si>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</si>
  <si>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</si>
  <si>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</si>
  <si>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</si>
  <si>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</si>
  <si>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</si>
  <si>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</si>
  <si>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</si>
  <si>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</si>
  <si>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</si>
  <si>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</si>
  <si>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</si>
  <si>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</si>
  <si>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</si>
  <si>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</si>
  <si>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</si>
  <si>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</si>
  <si>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</si>
  <si>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</si>
  <si>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</si>
  <si>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</si>
  <si>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</si>
  <si>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</si>
  <si>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</si>
  <si>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</si>
  <si>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</si>
  <si>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</si>
  <si>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</si>
  <si>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</si>
  <si>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</si>
  <si>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</si>
  <si>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</si>
  <si>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</si>
  <si>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</si>
  <si>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</si>
  <si>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</si>
  <si>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</si>
  <si>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</si>
  <si>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</si>
  <si>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</si>
  <si>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</si>
  <si>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</si>
  <si>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</si>
  <si>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</si>
  <si>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</si>
  <si>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</si>
  <si>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</si>
  <si>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</si>
  <si>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</si>
  <si>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</si>
  <si>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</si>
  <si>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</si>
  <si>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</si>
  <si>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</si>
  <si>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</si>
  <si>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</si>
  <si>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</si>
  <si>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</si>
  <si>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</si>
  <si>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</si>
  <si>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</si>
  <si>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</si>
  <si>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</si>
  <si>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</si>
  <si>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</si>
  <si>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</si>
  <si>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</si>
  <si>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</si>
  <si>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</si>
  <si>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</si>
  <si>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</si>
  <si>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</si>
  <si>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</si>
  <si>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</si>
  <si>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</si>
  <si>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</si>
  <si>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</si>
  <si>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</si>
  <si>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</si>
  <si>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</si>
  <si>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</si>
  <si>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</si>
  <si>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</si>
  <si>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</si>
  <si>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</si>
  <si>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</si>
  <si>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</si>
  <si>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</si>
  <si>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</si>
  <si>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</si>
  <si>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</si>
  <si>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</si>
  <si>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</si>
  <si>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</si>
  <si>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</si>
  <si>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</si>
  <si>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</si>
  <si>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</si>
  <si>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</si>
  <si>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</si>
  <si>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</si>
  <si>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</si>
  <si>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</si>
  <si>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</si>
  <si>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</si>
  <si>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</si>
  <si>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</si>
  <si>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</si>
  <si>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</si>
  <si>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</si>
  <si>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</si>
  <si>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</si>
  <si>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</si>
  <si>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</si>
  <si>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</si>
  <si>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</si>
  <si>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</si>
  <si>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</si>
  <si>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</si>
  <si>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</si>
  <si>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</si>
  <si>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</si>
  <si>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</si>
  <si>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</si>
  <si>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</si>
  <si>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</si>
  <si>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</si>
  <si>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</si>
  <si>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</si>
  <si>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</si>
  <si>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</si>
  <si>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</si>
  <si>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</si>
  <si>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</si>
  <si>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</si>
  <si>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</si>
  <si>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</si>
  <si>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</si>
  <si>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</si>
  <si>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</si>
  <si>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</si>
  <si>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</si>
  <si>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</si>
  <si>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</si>
  <si>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</si>
  <si>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</si>
  <si>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</si>
  <si>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</si>
  <si>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</si>
  <si>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</si>
  <si>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</si>
  <si>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</si>
  <si>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</si>
  <si>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</si>
  <si>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</si>
  <si>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</si>
  <si>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</si>
  <si>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</si>
  <si>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</si>
  <si>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</si>
  <si>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</si>
  <si>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</si>
  <si>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</si>
  <si>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</si>
  <si>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</si>
  <si>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</si>
  <si>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</si>
  <si>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</si>
  <si>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</si>
  <si>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</si>
  <si>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</si>
  <si>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</si>
  <si>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</si>
  <si>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</si>
  <si>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</si>
  <si>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</si>
  <si>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</si>
  <si>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</si>
  <si>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</si>
  <si>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</si>
  <si>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</si>
  <si>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</si>
  <si>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</si>
  <si>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</si>
  <si>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</si>
  <si>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</si>
  <si>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</si>
  <si>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</si>
  <si>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</si>
  <si>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</si>
  <si>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\alpha_{avail}(t)</t>
  </si>
  <si>
    <t>\bar{S}_{targ}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</si>
</sst>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59"/>
  <sheetViews>
    <sheetView tabSelected="1" topLeftCell="A5" zoomScale="126" zoomScaleNormal="126" workbookViewId="0">
      <selection activeCell="B15" sqref="B15"/>
    </sheetView>
  </sheetViews>
  <sheetFormatPr baseColWidth="10" defaultRowHeight="16" x14ac:dyDescent="0.2"/>
  <cols>
    <col min="1" max="2" width="62.1640625" style="33" customWidth="1"/>
    <col min="3" max="3" width="14" style="36" customWidth="1"/>
    <col min="4" max="4" width="4.1640625" style="32" customWidth="1"/>
    <col min="5" max="5" width="27" style="22" hidden="1" customWidth="1"/>
    <col min="6" max="6" width="44" style="10" hidden="1" customWidth="1"/>
    <col min="7" max="7" width="11" style="4" customWidth="1"/>
    <col min="8" max="8" width="15.1640625" style="4" customWidth="1"/>
    <col min="9" max="9" width="11.5" style="5" customWidth="1"/>
    <col min="10" max="11" width="13.33203125" style="4" customWidth="1"/>
    <col min="12" max="12" width="11.83203125" style="5" customWidth="1"/>
    <col min="13" max="14" width="13.33203125" style="4" customWidth="1"/>
    <col min="15" max="15" width="21.1640625" style="5" customWidth="1"/>
    <col min="16" max="16" width="21.1640625" style="4" customWidth="1"/>
    <col min="17" max="17" width="13.33203125" style="4" customWidth="1"/>
    <col min="18" max="18" width="22.83203125" style="5" customWidth="1"/>
    <col min="19" max="20" width="13.33203125" style="4" customWidth="1"/>
    <col min="21" max="21" width="9.1640625" style="5" customWidth="1"/>
    <col min="22" max="22" width="13.33203125" style="4" customWidth="1"/>
    <col min="23" max="23" width="12.5" style="4" customWidth="1"/>
    <col min="24" max="24" width="9.1640625" style="5" customWidth="1"/>
    <col min="25" max="26" width="13.33203125" style="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33"/>
      <c r="B1" s="33"/>
      <c r="C1" s="36"/>
      <c r="D1" s="32"/>
      <c r="E1" s="22"/>
      <c r="F1" s="10"/>
      <c r="G1" s="5" t="s">
        <v>59</v>
      </c>
      <c r="H1" s="5" t="s">
        <v>61</v>
      </c>
      <c r="I1" s="5">
        <v>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40" s="7" customFormat="1" x14ac:dyDescent="0.2">
      <c r="A2" s="33"/>
      <c r="B2" s="33"/>
      <c r="C2" s="36"/>
      <c r="D2" s="32"/>
      <c r="E2" s="22"/>
      <c r="F2" s="10"/>
      <c r="G2" s="5" t="s">
        <v>60</v>
      </c>
      <c r="H2" s="5" t="s">
        <v>62</v>
      </c>
      <c r="I2" s="27">
        <v>150</v>
      </c>
      <c r="J2" s="27"/>
      <c r="K2" s="5"/>
      <c r="L2" s="5"/>
      <c r="M2" s="5"/>
      <c r="N2" s="5"/>
      <c r="O2" s="5"/>
      <c r="P2" s="5"/>
      <c r="Q2" s="4">
        <v>249700</v>
      </c>
      <c r="R2" s="5"/>
      <c r="S2" s="5"/>
      <c r="T2" s="5"/>
      <c r="U2" s="5"/>
      <c r="V2" s="5"/>
      <c r="W2" s="5"/>
      <c r="X2" s="5"/>
      <c r="Y2" s="5"/>
      <c r="Z2" s="5"/>
    </row>
    <row r="3" spans="1:40" s="7" customFormat="1" x14ac:dyDescent="0.2">
      <c r="A3" s="33"/>
      <c r="B3" s="33"/>
      <c r="C3" s="36"/>
      <c r="D3" s="32"/>
      <c r="E3" s="22"/>
      <c r="F3" s="10"/>
      <c r="G3" s="5"/>
      <c r="H3" s="5" t="s">
        <v>63</v>
      </c>
      <c r="I3" s="27">
        <v>30</v>
      </c>
      <c r="J3" s="27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40" ht="60" customHeight="1" x14ac:dyDescent="0.2">
      <c r="G4" s="8">
        <v>0</v>
      </c>
      <c r="H4" s="8"/>
      <c r="I4" s="16"/>
      <c r="J4" s="20">
        <v>1</v>
      </c>
      <c r="K4" s="20"/>
      <c r="L4" s="18"/>
      <c r="M4" s="20">
        <v>2</v>
      </c>
      <c r="N4" s="20"/>
      <c r="O4" s="18"/>
      <c r="P4" s="20">
        <v>3</v>
      </c>
      <c r="Q4" s="20"/>
      <c r="R4" s="18"/>
      <c r="S4" s="20">
        <v>4</v>
      </c>
      <c r="T4" s="20"/>
      <c r="U4" s="18"/>
      <c r="V4" s="20">
        <v>5</v>
      </c>
      <c r="W4" s="20"/>
      <c r="X4" s="18"/>
      <c r="Y4" s="20">
        <v>6</v>
      </c>
      <c r="Z4" s="20"/>
      <c r="AD4" s="30" t="s">
        <v>89</v>
      </c>
      <c r="AE4" s="30"/>
      <c r="AF4" s="30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33" t="s">
        <v>155</v>
      </c>
      <c r="B5" s="33" t="s">
        <v>284</v>
      </c>
      <c r="C5" s="39" t="s">
        <v>161</v>
      </c>
      <c r="E5" s="31" t="s">
        <v>153</v>
      </c>
      <c r="F5" s="31" t="s">
        <v>154</v>
      </c>
      <c r="G5" s="29" t="s">
        <v>51</v>
      </c>
      <c r="H5" s="29"/>
      <c r="I5" s="17"/>
      <c r="J5" s="29" t="s">
        <v>64</v>
      </c>
      <c r="K5" s="29"/>
      <c r="M5" s="29" t="s">
        <v>65</v>
      </c>
      <c r="N5" s="29"/>
      <c r="P5" s="29" t="s">
        <v>78</v>
      </c>
      <c r="Q5" s="29"/>
      <c r="S5" s="29" t="s">
        <v>83</v>
      </c>
      <c r="T5" s="29"/>
      <c r="V5" s="29" t="s">
        <v>84</v>
      </c>
      <c r="W5" s="29"/>
      <c r="Y5" s="29" t="s">
        <v>135</v>
      </c>
      <c r="Z5" s="29"/>
      <c r="AC5" s="4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C6" s="39"/>
      <c r="G6" s="4" t="s">
        <v>24</v>
      </c>
      <c r="H6" s="4" t="s">
        <v>25</v>
      </c>
      <c r="J6" s="4" t="s">
        <v>24</v>
      </c>
      <c r="K6" s="4" t="s">
        <v>25</v>
      </c>
      <c r="M6" s="4" t="s">
        <v>24</v>
      </c>
      <c r="N6" s="4" t="s">
        <v>25</v>
      </c>
      <c r="P6" s="4" t="s">
        <v>24</v>
      </c>
      <c r="Q6" s="4" t="s">
        <v>25</v>
      </c>
      <c r="S6" s="4" t="s">
        <v>24</v>
      </c>
      <c r="T6" s="4" t="s">
        <v>25</v>
      </c>
      <c r="V6" s="4" t="s">
        <v>24</v>
      </c>
      <c r="W6" s="4" t="s">
        <v>25</v>
      </c>
      <c r="Y6" s="4" t="s">
        <v>24</v>
      </c>
      <c r="Z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49" t="s">
        <v>156</v>
      </c>
      <c r="B7" s="49" t="s">
        <v>285</v>
      </c>
      <c r="C7" s="40" t="s">
        <v>174</v>
      </c>
      <c r="F7" s="10" t="s">
        <v>67</v>
      </c>
      <c r="G7" s="4">
        <v>10000</v>
      </c>
      <c r="H7" s="4">
        <v>250000</v>
      </c>
      <c r="J7" s="4">
        <f>G13</f>
        <v>9950</v>
      </c>
      <c r="K7" s="4">
        <f>H13</f>
        <v>249900</v>
      </c>
      <c r="M7" s="4">
        <f>J13</f>
        <v>9888</v>
      </c>
      <c r="N7" s="4">
        <f>K13</f>
        <v>249790</v>
      </c>
      <c r="P7" s="4">
        <f>M13</f>
        <v>9830</v>
      </c>
      <c r="Q7" s="4">
        <f>N13</f>
        <v>249696</v>
      </c>
      <c r="S7" s="4">
        <f>P13</f>
        <v>9760</v>
      </c>
      <c r="T7" s="4">
        <f>Q13</f>
        <v>249504</v>
      </c>
      <c r="V7" s="4">
        <f>S13</f>
        <v>9660</v>
      </c>
      <c r="W7" s="4">
        <f>T13</f>
        <v>249465</v>
      </c>
      <c r="Y7" s="4">
        <f>V7-V9</f>
        <v>9562</v>
      </c>
      <c r="Z7" s="4">
        <f>MAX(W7-W9,0)</f>
        <v>249360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49" t="s">
        <v>157</v>
      </c>
      <c r="B8" s="49" t="s">
        <v>286</v>
      </c>
      <c r="C8" s="41" t="s">
        <v>162</v>
      </c>
      <c r="F8" s="10" t="s">
        <v>114</v>
      </c>
      <c r="G8" s="4">
        <f>G7</f>
        <v>10000</v>
      </c>
      <c r="H8" s="4">
        <f>H7</f>
        <v>250000</v>
      </c>
      <c r="J8" s="4">
        <f>J7</f>
        <v>9950</v>
      </c>
      <c r="K8" s="4">
        <f>H8-H9+H12</f>
        <v>249985</v>
      </c>
      <c r="M8" s="4">
        <f>M7</f>
        <v>9888</v>
      </c>
      <c r="N8" s="4">
        <f>K8-K9+K12</f>
        <v>249955</v>
      </c>
      <c r="P8" s="4">
        <f>P7</f>
        <v>9830</v>
      </c>
      <c r="Q8" s="4">
        <f>N8-N9+N12</f>
        <v>249953</v>
      </c>
      <c r="S8" s="4">
        <f>S7</f>
        <v>9760</v>
      </c>
      <c r="T8" s="4">
        <f>Q8-Q9+Q12</f>
        <v>249804</v>
      </c>
      <c r="V8" s="4">
        <f>V7</f>
        <v>9660</v>
      </c>
      <c r="W8" s="4">
        <f>T8-T9+T12</f>
        <v>249857</v>
      </c>
      <c r="Y8" s="4">
        <f>Y7</f>
        <v>9562</v>
      </c>
      <c r="Z8" s="4">
        <f>W8-W9+W12</f>
        <v>249801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49" t="s">
        <v>224</v>
      </c>
      <c r="B9" s="49" t="s">
        <v>288</v>
      </c>
      <c r="C9" s="41" t="s">
        <v>162</v>
      </c>
      <c r="F9" s="10" t="s">
        <v>55</v>
      </c>
      <c r="G9" s="4">
        <v>50</v>
      </c>
      <c r="H9" s="4">
        <v>100</v>
      </c>
      <c r="J9" s="4">
        <v>62</v>
      </c>
      <c r="K9" s="4">
        <v>110</v>
      </c>
      <c r="M9" s="4">
        <v>58</v>
      </c>
      <c r="N9" s="4">
        <v>94</v>
      </c>
      <c r="P9" s="4">
        <v>70</v>
      </c>
      <c r="Q9" s="4">
        <v>192</v>
      </c>
      <c r="S9" s="4">
        <v>100</v>
      </c>
      <c r="T9" s="4">
        <v>39</v>
      </c>
      <c r="V9" s="4">
        <v>98</v>
      </c>
      <c r="W9" s="4">
        <v>105</v>
      </c>
      <c r="Y9" s="4">
        <v>98</v>
      </c>
      <c r="Z9" s="4">
        <v>116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49" t="s">
        <v>223</v>
      </c>
      <c r="B10" s="49" t="s">
        <v>289</v>
      </c>
      <c r="C10" s="40" t="s">
        <v>174</v>
      </c>
      <c r="F10" s="10" t="s">
        <v>145</v>
      </c>
      <c r="H10" s="4">
        <f>-MIN(H7-H9,0)</f>
        <v>0</v>
      </c>
      <c r="K10" s="4">
        <f>-MIN(K7-K9,0)</f>
        <v>0</v>
      </c>
      <c r="N10" s="4">
        <f>-MIN(N7-N9,0)</f>
        <v>0</v>
      </c>
      <c r="Q10" s="4">
        <f>-MIN(Q7-Q9,0)</f>
        <v>0</v>
      </c>
      <c r="T10" s="4">
        <f>-MIN(T7-T9,0)</f>
        <v>0</v>
      </c>
      <c r="W10" s="4">
        <f>-MIN(W7-W9,0)</f>
        <v>0</v>
      </c>
      <c r="Z10" s="4">
        <f>-MIN(Z7-Z9,0)</f>
        <v>0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49" t="s">
        <v>221</v>
      </c>
      <c r="B11" s="49" t="s">
        <v>290</v>
      </c>
      <c r="C11" s="40" t="s">
        <v>174</v>
      </c>
      <c r="F11" s="10" t="s">
        <v>113</v>
      </c>
      <c r="H11" s="4">
        <f>MAX(H10-H25,0)</f>
        <v>0</v>
      </c>
      <c r="K11" s="4">
        <f>MAX(K10-K25,0)</f>
        <v>0</v>
      </c>
      <c r="N11" s="4">
        <f>MAX(N10-N25,0)</f>
        <v>0</v>
      </c>
      <c r="Q11" s="4">
        <f>MAX(Q10-Q25,0)</f>
        <v>0</v>
      </c>
      <c r="T11" s="4">
        <f>MAX(T10-T25,0)</f>
        <v>0</v>
      </c>
      <c r="W11" s="4">
        <f>MAX(W10-W25,0)</f>
        <v>0</v>
      </c>
      <c r="Z11" s="4">
        <f>MAX(Z10-Z25,0)</f>
        <v>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49" t="s">
        <v>222</v>
      </c>
      <c r="B12" s="49" t="s">
        <v>287</v>
      </c>
      <c r="C12" s="41" t="s">
        <v>162</v>
      </c>
      <c r="F12" s="10" t="s">
        <v>66</v>
      </c>
      <c r="H12" s="4">
        <v>85</v>
      </c>
      <c r="K12" s="4">
        <v>80</v>
      </c>
      <c r="N12" s="4">
        <v>92</v>
      </c>
      <c r="Q12" s="4">
        <v>43</v>
      </c>
      <c r="T12" s="4">
        <v>92</v>
      </c>
      <c r="W12" s="4">
        <v>49</v>
      </c>
      <c r="Z12" s="4">
        <v>110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49" t="s">
        <v>158</v>
      </c>
      <c r="B13" s="49" t="s">
        <v>291</v>
      </c>
      <c r="C13" s="40" t="s">
        <v>174</v>
      </c>
      <c r="F13" s="10" t="s">
        <v>143</v>
      </c>
      <c r="G13" s="4">
        <f>MAX(G7-G9,0)</f>
        <v>9950</v>
      </c>
      <c r="H13" s="4">
        <f>MAX(H7-H9,0)</f>
        <v>249900</v>
      </c>
      <c r="J13" s="4">
        <f>MAX(J7-J9,0)</f>
        <v>9888</v>
      </c>
      <c r="K13" s="4">
        <f>MAX(K7-K9,0)</f>
        <v>249790</v>
      </c>
      <c r="M13" s="4">
        <f>MAX(M7-M9,0)</f>
        <v>9830</v>
      </c>
      <c r="N13" s="4">
        <f>MAX(N7-N9,0)</f>
        <v>249696</v>
      </c>
      <c r="P13" s="4">
        <f>MAX(P7-P9,0)</f>
        <v>9760</v>
      </c>
      <c r="Q13" s="4">
        <f>MAX(Q7-Q9,0)</f>
        <v>249504</v>
      </c>
      <c r="S13" s="4">
        <f>MAX(S7-S9,0)</f>
        <v>9660</v>
      </c>
      <c r="T13" s="4">
        <f>MAX(T7-T9,0)</f>
        <v>249465</v>
      </c>
      <c r="V13" s="4">
        <f>MAX(V7-V9,0)</f>
        <v>9562</v>
      </c>
      <c r="W13" s="4">
        <f>MAX(W7-W9,0)</f>
        <v>249360</v>
      </c>
      <c r="Y13" s="4">
        <f>MAX(Y7-Y9,0)</f>
        <v>9464</v>
      </c>
      <c r="Z13" s="4">
        <f>MAX(Z7-Z9,0)</f>
        <v>249244</v>
      </c>
      <c r="AD13" s="19"/>
      <c r="AE13" s="19"/>
      <c r="AF13" s="19"/>
    </row>
    <row r="14" spans="1:40" ht="32" customHeight="1" x14ac:dyDescent="0.2">
      <c r="A14" s="49" t="s">
        <v>225</v>
      </c>
      <c r="B14" s="49" t="s">
        <v>292</v>
      </c>
      <c r="C14" s="41" t="s">
        <v>162</v>
      </c>
      <c r="F14" s="10" t="s">
        <v>54</v>
      </c>
      <c r="G14" s="4">
        <v>0.7</v>
      </c>
      <c r="J14" s="4">
        <v>0.7</v>
      </c>
      <c r="M14" s="4">
        <v>0.7</v>
      </c>
      <c r="P14" s="4">
        <v>0.7</v>
      </c>
      <c r="S14" s="4">
        <v>0.7</v>
      </c>
      <c r="V14" s="4">
        <v>0.7</v>
      </c>
      <c r="Y14" s="4">
        <v>0.7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49" t="s">
        <v>249</v>
      </c>
      <c r="B15" s="49" t="s">
        <v>293</v>
      </c>
      <c r="C15" s="41" t="s">
        <v>162</v>
      </c>
      <c r="E15" s="22" t="s">
        <v>248</v>
      </c>
      <c r="F15" s="10" t="s">
        <v>247</v>
      </c>
      <c r="G15" s="4">
        <v>5</v>
      </c>
      <c r="H15" s="4">
        <v>10</v>
      </c>
      <c r="J15" s="4">
        <v>5.0999999999999996</v>
      </c>
      <c r="K15" s="4">
        <v>9.8000000000000007</v>
      </c>
      <c r="M15" s="4">
        <v>5.2</v>
      </c>
      <c r="N15" s="4">
        <v>9.8000000000000007</v>
      </c>
      <c r="P15" s="4">
        <v>4.7</v>
      </c>
      <c r="Q15" s="4">
        <v>9.9</v>
      </c>
      <c r="S15" s="4">
        <v>5.2</v>
      </c>
      <c r="T15" s="4">
        <v>10.1</v>
      </c>
      <c r="V15" s="4">
        <v>4.0999999999999996</v>
      </c>
      <c r="W15" s="4">
        <v>11</v>
      </c>
      <c r="Y15" s="4">
        <v>5.0999999999999996</v>
      </c>
      <c r="Z15" s="4">
        <v>9</v>
      </c>
      <c r="AD15" s="19"/>
      <c r="AE15" s="19"/>
      <c r="AF15" s="19"/>
    </row>
    <row r="16" spans="1:40" ht="51" x14ac:dyDescent="0.2">
      <c r="A16" s="49" t="s">
        <v>226</v>
      </c>
      <c r="B16" s="49"/>
      <c r="C16" s="41" t="s">
        <v>162</v>
      </c>
      <c r="F16" s="10" t="s">
        <v>229</v>
      </c>
      <c r="G16" s="4">
        <v>1E-3</v>
      </c>
      <c r="J16" s="4">
        <v>0.3</v>
      </c>
      <c r="M16" s="4">
        <v>0.3</v>
      </c>
      <c r="P16" s="4">
        <v>0.3</v>
      </c>
      <c r="S16" s="4">
        <v>0.3</v>
      </c>
      <c r="V16" s="4">
        <v>0.3</v>
      </c>
      <c r="Y16" s="4">
        <v>0.3</v>
      </c>
      <c r="AD16" s="19">
        <v>1.8</v>
      </c>
      <c r="AE16" s="19">
        <f>SUM(AD$6:AD16)</f>
        <v>3.34</v>
      </c>
      <c r="AF16" s="19">
        <v>20</v>
      </c>
    </row>
    <row r="17" spans="1:32" ht="34" x14ac:dyDescent="0.2">
      <c r="A17" s="49" t="s">
        <v>227</v>
      </c>
      <c r="B17" s="49"/>
      <c r="C17" s="41" t="s">
        <v>162</v>
      </c>
      <c r="E17" s="28" t="s">
        <v>118</v>
      </c>
      <c r="F17" s="10" t="s">
        <v>117</v>
      </c>
      <c r="G17" s="4">
        <v>0.2</v>
      </c>
      <c r="AD17" s="19">
        <v>3</v>
      </c>
      <c r="AE17" s="19">
        <f>SUM(AD$6:AD17)</f>
        <v>6.34</v>
      </c>
      <c r="AF17" s="19">
        <v>20</v>
      </c>
    </row>
    <row r="18" spans="1:32" ht="51" x14ac:dyDescent="0.2">
      <c r="A18" s="49" t="s">
        <v>228</v>
      </c>
      <c r="B18" s="49"/>
      <c r="C18" s="41" t="s">
        <v>162</v>
      </c>
      <c r="E18" s="28"/>
      <c r="F18" s="10" t="s">
        <v>138</v>
      </c>
      <c r="G18" s="4">
        <v>0.67</v>
      </c>
      <c r="AD18" s="19">
        <v>6</v>
      </c>
      <c r="AE18" s="19">
        <f>SUM(AD$6:AD18)</f>
        <v>12.34</v>
      </c>
      <c r="AF18" s="19">
        <v>20</v>
      </c>
    </row>
    <row r="19" spans="1:32" ht="17" x14ac:dyDescent="0.2">
      <c r="A19" s="49" t="s">
        <v>230</v>
      </c>
      <c r="B19" s="49"/>
      <c r="C19" s="41" t="s">
        <v>162</v>
      </c>
      <c r="F19" s="10" t="s">
        <v>116</v>
      </c>
      <c r="G19" s="4">
        <v>150</v>
      </c>
      <c r="H19" s="4">
        <v>100</v>
      </c>
      <c r="AD19" s="19">
        <v>10</v>
      </c>
      <c r="AE19" s="19">
        <f>SUM(AD$6:AD19)</f>
        <v>22.34</v>
      </c>
      <c r="AF19" s="19">
        <v>20</v>
      </c>
    </row>
    <row r="20" spans="1:32" ht="17" x14ac:dyDescent="0.2">
      <c r="A20" s="49" t="s">
        <v>232</v>
      </c>
      <c r="B20" s="49"/>
      <c r="C20" s="41" t="s">
        <v>162</v>
      </c>
      <c r="F20" s="10" t="s">
        <v>173</v>
      </c>
      <c r="G20" s="4">
        <v>0.3</v>
      </c>
      <c r="H20" s="4">
        <v>0.25</v>
      </c>
      <c r="AD20" s="19"/>
      <c r="AE20" s="19"/>
      <c r="AF20" s="19"/>
    </row>
    <row r="21" spans="1:32" ht="17" x14ac:dyDescent="0.2">
      <c r="A21" s="49" t="s">
        <v>280</v>
      </c>
      <c r="B21" s="49"/>
      <c r="C21" s="42" t="s">
        <v>174</v>
      </c>
      <c r="F21" s="10" t="s">
        <v>115</v>
      </c>
      <c r="G21" s="4">
        <f>G$19*$G$16</f>
        <v>0.15</v>
      </c>
      <c r="H21" s="4">
        <f>H$19*$G$16</f>
        <v>0.1</v>
      </c>
      <c r="AD21" s="19">
        <v>12</v>
      </c>
      <c r="AE21" s="19">
        <f>SUM(AD$6:AD21)</f>
        <v>34.340000000000003</v>
      </c>
      <c r="AF21" s="19">
        <v>20</v>
      </c>
    </row>
    <row r="22" spans="1:32" ht="17" x14ac:dyDescent="0.2">
      <c r="A22" s="49" t="s">
        <v>231</v>
      </c>
      <c r="B22" s="49"/>
      <c r="C22" s="42" t="s">
        <v>174</v>
      </c>
      <c r="F22" s="10" t="s">
        <v>175</v>
      </c>
      <c r="G22" s="4">
        <f>G19-G21</f>
        <v>149.85</v>
      </c>
      <c r="H22" s="4">
        <f>H19-H21</f>
        <v>99.9</v>
      </c>
      <c r="AD22" s="19">
        <v>13.5</v>
      </c>
      <c r="AE22" s="19">
        <f>SUM(AD$6:AD22)</f>
        <v>47.84</v>
      </c>
      <c r="AF22" s="19">
        <v>20</v>
      </c>
    </row>
    <row r="23" spans="1:32" x14ac:dyDescent="0.2">
      <c r="AD23" s="19">
        <v>12</v>
      </c>
      <c r="AE23" s="19">
        <f>SUM(AD$6:AD23)</f>
        <v>59.84</v>
      </c>
      <c r="AF23" s="19">
        <v>20</v>
      </c>
    </row>
    <row r="24" spans="1:32" ht="17" x14ac:dyDescent="0.2">
      <c r="A24" s="49" t="s">
        <v>159</v>
      </c>
      <c r="B24" s="49"/>
      <c r="C24" s="41" t="s">
        <v>162</v>
      </c>
      <c r="F24" s="10" t="s">
        <v>52</v>
      </c>
      <c r="G24" s="4">
        <v>5000</v>
      </c>
      <c r="H24" s="4">
        <v>50000</v>
      </c>
      <c r="J24" s="4">
        <v>5000</v>
      </c>
      <c r="K24" s="4">
        <v>50000</v>
      </c>
      <c r="M24" s="4">
        <v>5500</v>
      </c>
      <c r="N24" s="4">
        <v>50000</v>
      </c>
      <c r="P24" s="4">
        <v>6000</v>
      </c>
      <c r="Q24" s="4">
        <v>50000</v>
      </c>
      <c r="S24" s="4">
        <v>6500</v>
      </c>
      <c r="T24" s="4">
        <v>49000</v>
      </c>
      <c r="V24" s="4">
        <v>7200</v>
      </c>
      <c r="W24" s="4">
        <v>49500</v>
      </c>
      <c r="Y24" s="4">
        <v>7200</v>
      </c>
      <c r="Z24" s="4">
        <v>49500</v>
      </c>
      <c r="AD24" s="19">
        <v>10</v>
      </c>
      <c r="AE24" s="19">
        <f>SUM(AD$6:AD24)</f>
        <v>69.84</v>
      </c>
      <c r="AF24" s="19">
        <v>20</v>
      </c>
    </row>
    <row r="25" spans="1:32" ht="17" x14ac:dyDescent="0.2">
      <c r="A25" s="49" t="s">
        <v>279</v>
      </c>
      <c r="B25" s="49"/>
      <c r="C25" s="43" t="s">
        <v>163</v>
      </c>
      <c r="F25" s="14" t="s">
        <v>108</v>
      </c>
      <c r="H25" s="4">
        <f>MAX(H$24-H$13, 0)</f>
        <v>0</v>
      </c>
      <c r="K25" s="4">
        <f>MAX(K$24-K$13, 0)</f>
        <v>0</v>
      </c>
      <c r="N25" s="4">
        <f>MAX(N$24-N$13, 0)</f>
        <v>0</v>
      </c>
      <c r="Q25" s="4">
        <f>MAX(Q$24-Q$13, 0)</f>
        <v>0</v>
      </c>
      <c r="T25" s="4">
        <f>MAX(T$24-T$13, 0)</f>
        <v>0</v>
      </c>
      <c r="W25" s="4">
        <f>MAX(W$24-W$13, 0)</f>
        <v>0</v>
      </c>
      <c r="Z25" s="4">
        <f>MAX(Z$24-Z$13, 0)</f>
        <v>0</v>
      </c>
      <c r="AD25" s="19">
        <v>6</v>
      </c>
      <c r="AE25" s="19">
        <f>SUM(AD$6:AD25)</f>
        <v>75.84</v>
      </c>
      <c r="AF25" s="19">
        <v>20</v>
      </c>
    </row>
    <row r="26" spans="1:32" ht="17" x14ac:dyDescent="0.2">
      <c r="A26" s="49" t="s">
        <v>160</v>
      </c>
      <c r="B26" s="49"/>
      <c r="C26" s="43" t="s">
        <v>163</v>
      </c>
      <c r="F26" s="14" t="s">
        <v>144</v>
      </c>
      <c r="G26" s="4">
        <f>MIN(G13,G24)</f>
        <v>5000</v>
      </c>
      <c r="H26" s="4">
        <f>MIN(H13,H24)</f>
        <v>50000</v>
      </c>
      <c r="J26" s="4">
        <f>MIN(J13,J24)</f>
        <v>5000</v>
      </c>
      <c r="K26" s="4">
        <f>MIN(K13,K24)</f>
        <v>50000</v>
      </c>
      <c r="M26" s="4">
        <f>MIN(M13,M24)</f>
        <v>5500</v>
      </c>
      <c r="N26" s="4">
        <f>MIN(N13,N24)</f>
        <v>50000</v>
      </c>
      <c r="P26" s="4">
        <f>MIN(P13,P24)</f>
        <v>6000</v>
      </c>
      <c r="Q26" s="4">
        <f>MIN(Q13,Q24)</f>
        <v>50000</v>
      </c>
      <c r="S26" s="4">
        <f>MIN(S13,S24)</f>
        <v>6500</v>
      </c>
      <c r="T26" s="4">
        <f>MIN(T13,T24)</f>
        <v>49000</v>
      </c>
      <c r="V26" s="4">
        <f>MIN(V13,V24)</f>
        <v>7200</v>
      </c>
      <c r="W26" s="4">
        <f>MIN(W13,W24)</f>
        <v>49500</v>
      </c>
      <c r="Y26" s="4">
        <f>MIN(Y13,Y24)</f>
        <v>7200</v>
      </c>
      <c r="Z26" s="4">
        <f>MIN(Z13,Z24)</f>
        <v>49500</v>
      </c>
      <c r="AD26" s="19">
        <v>3</v>
      </c>
      <c r="AE26" s="19">
        <f>SUM(AD$6:AD26)</f>
        <v>78.84</v>
      </c>
      <c r="AF26" s="19">
        <v>20</v>
      </c>
    </row>
    <row r="27" spans="1:32" ht="17" x14ac:dyDescent="0.2">
      <c r="F27" s="15" t="s">
        <v>169</v>
      </c>
      <c r="G27" s="8"/>
      <c r="H27" s="8"/>
      <c r="J27" s="8"/>
      <c r="K27" s="8"/>
      <c r="M27" s="8"/>
      <c r="N27" s="8"/>
      <c r="P27" s="8"/>
      <c r="Q27" s="8"/>
      <c r="S27" s="8"/>
      <c r="T27" s="8"/>
      <c r="V27" s="8"/>
      <c r="W27" s="8"/>
      <c r="Y27" s="8"/>
      <c r="Z27" s="8"/>
      <c r="AD27" s="19">
        <v>1.8</v>
      </c>
      <c r="AE27" s="19">
        <f>SUM(AD$6:AD27)</f>
        <v>80.64</v>
      </c>
      <c r="AF27" s="19">
        <v>20</v>
      </c>
    </row>
    <row r="28" spans="1:32" ht="73" customHeight="1" x14ac:dyDescent="0.2">
      <c r="A28" s="49" t="s">
        <v>278</v>
      </c>
      <c r="B28" s="49"/>
      <c r="C28" s="41" t="s">
        <v>162</v>
      </c>
      <c r="E28" s="28" t="s">
        <v>170</v>
      </c>
      <c r="F28" s="34" t="s">
        <v>68</v>
      </c>
      <c r="G28" s="4">
        <v>0.3</v>
      </c>
      <c r="H28" s="4">
        <v>0.92</v>
      </c>
    </row>
    <row r="29" spans="1:32" ht="73" customHeight="1" x14ac:dyDescent="0.2">
      <c r="A29" s="49" t="s">
        <v>233</v>
      </c>
      <c r="B29" s="49"/>
      <c r="C29" s="42" t="s">
        <v>174</v>
      </c>
      <c r="E29" s="28"/>
      <c r="F29" s="34" t="s">
        <v>171</v>
      </c>
      <c r="G29" s="4">
        <f>G28/G19</f>
        <v>2E-3</v>
      </c>
      <c r="H29" s="4">
        <f>G29</f>
        <v>2E-3</v>
      </c>
    </row>
    <row r="30" spans="1:32" ht="18" customHeight="1" x14ac:dyDescent="0.2">
      <c r="E30" s="35"/>
    </row>
    <row r="31" spans="1:32" ht="17" x14ac:dyDescent="0.2">
      <c r="F31" s="15" t="s">
        <v>56</v>
      </c>
      <c r="G31" s="8"/>
      <c r="H31" s="8"/>
      <c r="J31" s="8"/>
      <c r="K31" s="8"/>
      <c r="M31" s="8"/>
      <c r="N31" s="8"/>
      <c r="P31" s="8"/>
      <c r="Q31" s="8"/>
      <c r="S31" s="8"/>
      <c r="T31" s="8"/>
      <c r="V31" s="8"/>
      <c r="W31" s="8"/>
      <c r="Y31" s="8"/>
      <c r="Z31" s="8"/>
    </row>
    <row r="32" spans="1:32" ht="17" x14ac:dyDescent="0.2">
      <c r="A32" s="49" t="s">
        <v>168</v>
      </c>
      <c r="B32" s="49"/>
      <c r="C32" s="41" t="s">
        <v>162</v>
      </c>
      <c r="F32" s="10" t="s">
        <v>53</v>
      </c>
      <c r="G32" s="4">
        <v>2000000</v>
      </c>
      <c r="J32" s="4">
        <v>2050000</v>
      </c>
      <c r="M32" s="4">
        <v>2110000</v>
      </c>
      <c r="P32" s="4">
        <v>2210000</v>
      </c>
      <c r="S32" s="4">
        <v>3000000</v>
      </c>
      <c r="V32" s="4">
        <v>25000000</v>
      </c>
      <c r="Y32" s="4">
        <v>2520000</v>
      </c>
    </row>
    <row r="34" spans="1:27" ht="17" x14ac:dyDescent="0.2">
      <c r="F34" s="11" t="s">
        <v>57</v>
      </c>
      <c r="G34" s="12"/>
      <c r="H34" s="12"/>
      <c r="J34" s="12"/>
      <c r="K34" s="12"/>
      <c r="M34" s="12"/>
      <c r="N34" s="12"/>
      <c r="P34" s="12"/>
      <c r="Q34" s="12"/>
      <c r="S34" s="12"/>
      <c r="T34" s="12"/>
      <c r="V34" s="12"/>
      <c r="W34" s="12"/>
      <c r="Y34" s="12"/>
      <c r="Z34" s="12"/>
    </row>
    <row r="35" spans="1:27" ht="17" x14ac:dyDescent="0.2">
      <c r="F35" s="15" t="s">
        <v>139</v>
      </c>
      <c r="G35" s="8" t="s">
        <v>124</v>
      </c>
      <c r="H35" s="8"/>
      <c r="J35" s="4" t="s">
        <v>126</v>
      </c>
      <c r="M35" s="4" t="s">
        <v>126</v>
      </c>
      <c r="O35" s="5" t="s">
        <v>125</v>
      </c>
      <c r="P35" s="4" t="s">
        <v>126</v>
      </c>
    </row>
    <row r="36" spans="1:27" ht="17" x14ac:dyDescent="0.2">
      <c r="A36" s="33" t="s">
        <v>179</v>
      </c>
      <c r="F36" s="14" t="s">
        <v>88</v>
      </c>
      <c r="H36" s="4">
        <v>0</v>
      </c>
      <c r="I36" s="5">
        <f>SUM(K$36:K36)</f>
        <v>0</v>
      </c>
      <c r="K36" s="4">
        <v>0</v>
      </c>
      <c r="L36" s="5">
        <f>SUM(N$36:N36)</f>
        <v>0</v>
      </c>
      <c r="N36" s="4">
        <v>0</v>
      </c>
      <c r="O36" s="5">
        <f>SUM(Q$36:Q36)</f>
        <v>0</v>
      </c>
      <c r="Q36" s="4">
        <v>0</v>
      </c>
      <c r="R36" s="5">
        <f>SUM(T$36:T36)</f>
        <v>0</v>
      </c>
      <c r="T36" s="4">
        <v>0</v>
      </c>
      <c r="U36" s="5">
        <f>SUM(W$36:W36)</f>
        <v>0</v>
      </c>
      <c r="W36" s="4">
        <v>0</v>
      </c>
      <c r="X36" s="5">
        <f>SUM(Z$36:Z36)</f>
        <v>0</v>
      </c>
      <c r="Z36" s="4">
        <v>0</v>
      </c>
    </row>
    <row r="37" spans="1:27" ht="17" x14ac:dyDescent="0.2">
      <c r="A37" s="47" t="s">
        <v>180</v>
      </c>
      <c r="B37" s="51"/>
      <c r="C37" s="37" t="s">
        <v>174</v>
      </c>
      <c r="F37" s="14" t="s">
        <v>87</v>
      </c>
      <c r="G37" s="4">
        <v>0</v>
      </c>
      <c r="H37" s="4">
        <f>H12</f>
        <v>85</v>
      </c>
      <c r="I37" s="5">
        <f>SUM(H$36:H37)</f>
        <v>85</v>
      </c>
      <c r="J37" s="4">
        <f>IF(I37&gt;=K$11, IF(I36&lt;K$11, K$11-I36, 0),H37)</f>
        <v>0</v>
      </c>
      <c r="K37" s="4">
        <f>H37-J37</f>
        <v>85</v>
      </c>
      <c r="L37" s="5">
        <f>SUM(K$36:K37)</f>
        <v>85</v>
      </c>
      <c r="M37" s="4">
        <f>IF(L37&gt;=N$11, IF(L36&lt;N$11, N$11-L36, 0),K37)</f>
        <v>0</v>
      </c>
      <c r="N37" s="4">
        <f>K37-M37</f>
        <v>85</v>
      </c>
      <c r="O37" s="5">
        <f>SUM(N$36:N37)</f>
        <v>85</v>
      </c>
      <c r="P37" s="4">
        <f>IF(O37&gt;=Q$11, IF(O36&lt;Q$11, Q$11-O36, 0),N37)</f>
        <v>0</v>
      </c>
      <c r="Q37" s="4">
        <f>N37-P37</f>
        <v>85</v>
      </c>
      <c r="R37" s="5">
        <f>SUM(Q$36:Q37)</f>
        <v>85</v>
      </c>
      <c r="S37" s="4">
        <f>IF(R37&gt;=T$11, IF(R36&lt;T$11, T$11-R36, 0),Q37)</f>
        <v>0</v>
      </c>
      <c r="T37" s="4">
        <f>Q37-S37</f>
        <v>85</v>
      </c>
      <c r="U37" s="5">
        <f>SUM(T$36:T37)</f>
        <v>85</v>
      </c>
      <c r="V37" s="4">
        <f>IF(U37&gt;=W$11, IF(U36&lt;W$11, W$11-U36, 0),T37)</f>
        <v>0</v>
      </c>
      <c r="W37" s="4">
        <f>T37-V37</f>
        <v>85</v>
      </c>
      <c r="X37" s="5">
        <f>SUM(W$36:W37)</f>
        <v>85</v>
      </c>
      <c r="Y37" s="4">
        <f>IF(X37&gt;=Z$11, IF(X36&lt;Z$11, Z$11-X36, 0),W37)</f>
        <v>0</v>
      </c>
      <c r="Z37" s="4">
        <f>W37-Y37</f>
        <v>85</v>
      </c>
    </row>
    <row r="38" spans="1:27" ht="17" x14ac:dyDescent="0.2">
      <c r="A38" s="48"/>
      <c r="B38" s="49"/>
      <c r="C38" s="37"/>
      <c r="F38" s="14" t="s">
        <v>69</v>
      </c>
      <c r="G38" s="4">
        <v>0</v>
      </c>
      <c r="H38" s="4">
        <v>0</v>
      </c>
      <c r="I38" s="5">
        <f>SUM(H$36:H38)</f>
        <v>85</v>
      </c>
      <c r="J38" s="4">
        <f>IF(I38&gt;=K$11, IF(I37&lt;K$11, K$11-I37, 0),H38)</f>
        <v>0</v>
      </c>
      <c r="K38" s="4">
        <f>K12</f>
        <v>80</v>
      </c>
      <c r="L38" s="5">
        <f>SUM(K$36:K38)</f>
        <v>165</v>
      </c>
      <c r="M38" s="4">
        <f>IF(L38&gt;=N$11, IF(L37&lt;N$11, N$11-L37, 0),K38)</f>
        <v>0</v>
      </c>
      <c r="N38" s="4">
        <f>K38-M38</f>
        <v>80</v>
      </c>
      <c r="O38" s="5">
        <f>SUM(N$36:N38)</f>
        <v>165</v>
      </c>
      <c r="P38" s="4">
        <f t="shared" ref="P38:P40" si="0">IF(O38&gt;=Q$11, IF(O37&lt;Q$11, Q$11-O37, 0),N38)</f>
        <v>0</v>
      </c>
      <c r="Q38" s="4">
        <f>N38-P38</f>
        <v>80</v>
      </c>
      <c r="R38" s="5">
        <f>SUM(Q$36:Q38)</f>
        <v>165</v>
      </c>
      <c r="S38" s="4">
        <f t="shared" ref="S38:S40" si="1">IF(R38&gt;=T$11, IF(R37&lt;T$11, T$11-R37, 0),Q38)</f>
        <v>0</v>
      </c>
      <c r="T38" s="4">
        <f>Q38-S38</f>
        <v>80</v>
      </c>
      <c r="U38" s="5">
        <f>SUM(T$36:T38)</f>
        <v>165</v>
      </c>
      <c r="V38" s="4">
        <f t="shared" ref="V38:V40" si="2">IF(U38&gt;=W$11, IF(U37&lt;W$11, W$11-U37, 0),T38)</f>
        <v>0</v>
      </c>
      <c r="W38" s="4">
        <f>T38-V38</f>
        <v>80</v>
      </c>
      <c r="X38" s="5">
        <f>SUM(W$36:W38)</f>
        <v>165</v>
      </c>
      <c r="Y38" s="4">
        <f t="shared" ref="Y38:Y40" si="3">IF(X38&gt;=Z$11, IF(X37&lt;Z$11, Z$11-X37, 0),W38)</f>
        <v>0</v>
      </c>
      <c r="Z38" s="4">
        <f>W38-Y38</f>
        <v>80</v>
      </c>
    </row>
    <row r="39" spans="1:27" ht="17" x14ac:dyDescent="0.2">
      <c r="A39" s="48"/>
      <c r="B39" s="49"/>
      <c r="C39" s="37"/>
      <c r="F39" s="14" t="s">
        <v>79</v>
      </c>
      <c r="G39" s="4">
        <v>0</v>
      </c>
      <c r="H39" s="4">
        <v>0</v>
      </c>
      <c r="I39" s="5">
        <f>SUM(H$36:H39)</f>
        <v>85</v>
      </c>
      <c r="J39" s="4">
        <f>IF(I39&gt;=K$11, IF(I38&lt;K$11, K$11-I38, 0),H39)</f>
        <v>0</v>
      </c>
      <c r="K39" s="4">
        <v>0</v>
      </c>
      <c r="L39" s="5">
        <f>SUM(K$36:K39)</f>
        <v>165</v>
      </c>
      <c r="M39" s="4">
        <f t="shared" ref="M39:M40" si="4">IF(L39&gt;=N$11, IF(L38&lt;N$11, N$11-L38, 0),K39)</f>
        <v>0</v>
      </c>
      <c r="N39" s="4">
        <f>N12</f>
        <v>92</v>
      </c>
      <c r="O39" s="5">
        <f>SUM(N$36:N39)</f>
        <v>257</v>
      </c>
      <c r="P39" s="4">
        <f t="shared" si="0"/>
        <v>0</v>
      </c>
      <c r="Q39" s="4">
        <f>N39-P39</f>
        <v>92</v>
      </c>
      <c r="R39" s="5">
        <f>SUM(Q$36:Q39)</f>
        <v>257</v>
      </c>
      <c r="S39" s="4">
        <f t="shared" si="1"/>
        <v>0</v>
      </c>
      <c r="T39" s="4">
        <f>Q39-S39</f>
        <v>92</v>
      </c>
      <c r="U39" s="5">
        <f>SUM(T$36:T39)</f>
        <v>257</v>
      </c>
      <c r="V39" s="4">
        <f t="shared" si="2"/>
        <v>0</v>
      </c>
      <c r="W39" s="4">
        <f>T39-V39</f>
        <v>92</v>
      </c>
      <c r="X39" s="5">
        <f>SUM(W$36:W39)</f>
        <v>257</v>
      </c>
      <c r="Y39" s="4">
        <f t="shared" si="3"/>
        <v>0</v>
      </c>
      <c r="Z39" s="4">
        <f>W39-Y39</f>
        <v>92</v>
      </c>
    </row>
    <row r="40" spans="1:27" ht="17" x14ac:dyDescent="0.2">
      <c r="A40" s="48"/>
      <c r="B40" s="49"/>
      <c r="C40" s="37"/>
      <c r="F40" s="14" t="s">
        <v>80</v>
      </c>
      <c r="G40" s="4">
        <v>0</v>
      </c>
      <c r="H40" s="4">
        <v>0</v>
      </c>
      <c r="I40" s="5">
        <f>SUM(H$36:H40)</f>
        <v>85</v>
      </c>
      <c r="J40" s="4">
        <f>IF(I40&gt;=K$11, IF(I39&lt;K$11, K$11-I39, 0),H40)</f>
        <v>0</v>
      </c>
      <c r="K40" s="4">
        <v>0</v>
      </c>
      <c r="L40" s="5">
        <f>SUM(K$36:K40)</f>
        <v>165</v>
      </c>
      <c r="M40" s="4">
        <f t="shared" si="4"/>
        <v>0</v>
      </c>
      <c r="N40" s="4">
        <v>0</v>
      </c>
      <c r="O40" s="5">
        <f>SUM(N$36:N40)</f>
        <v>257</v>
      </c>
      <c r="P40" s="4">
        <f t="shared" si="0"/>
        <v>0</v>
      </c>
      <c r="Q40" s="4">
        <f>Q12</f>
        <v>43</v>
      </c>
      <c r="R40" s="5">
        <f>SUM(Q$36:Q40)</f>
        <v>300</v>
      </c>
      <c r="S40" s="4">
        <f t="shared" si="1"/>
        <v>0</v>
      </c>
      <c r="T40" s="4">
        <f>Q40-S40</f>
        <v>43</v>
      </c>
      <c r="U40" s="5">
        <f>SUM(T$36:T40)</f>
        <v>300</v>
      </c>
      <c r="V40" s="4">
        <f t="shared" si="2"/>
        <v>0</v>
      </c>
      <c r="W40" s="4">
        <f>T40-V40</f>
        <v>43</v>
      </c>
      <c r="X40" s="5">
        <f>SUM(W$36:W40)</f>
        <v>300</v>
      </c>
      <c r="Y40" s="4">
        <f t="shared" si="3"/>
        <v>0</v>
      </c>
      <c r="Z40" s="4">
        <f>W40-Y40</f>
        <v>43</v>
      </c>
    </row>
    <row r="41" spans="1:27" ht="17" x14ac:dyDescent="0.2">
      <c r="F41" s="14" t="s">
        <v>82</v>
      </c>
      <c r="AA41" t="s">
        <v>77</v>
      </c>
    </row>
    <row r="42" spans="1:27" ht="17" x14ac:dyDescent="0.2">
      <c r="A42" s="48" t="s">
        <v>191</v>
      </c>
      <c r="B42" s="49"/>
      <c r="C42" s="37" t="s">
        <v>174</v>
      </c>
      <c r="F42" s="14" t="s">
        <v>195</v>
      </c>
      <c r="H42" s="4">
        <v>0</v>
      </c>
      <c r="K42" s="4">
        <f>IF(H37=0, 0, H95*J37/H37)</f>
        <v>0</v>
      </c>
      <c r="N42" s="4">
        <f>IF(K37=0, 0, K95*M37/K37)</f>
        <v>0</v>
      </c>
      <c r="Q42" s="4">
        <f>IF(N37=0, 0, N95*P37/N37)</f>
        <v>0</v>
      </c>
      <c r="T42" s="4">
        <f>IF(Q37=0, 0, Q95*S37/Q37)</f>
        <v>0</v>
      </c>
      <c r="W42" s="4">
        <f>IF(T37=0, 0, T95*V37/T37)</f>
        <v>0</v>
      </c>
      <c r="Z42" s="4">
        <f>IF(W37=0, 0, W95*Y37/W37)</f>
        <v>0</v>
      </c>
    </row>
    <row r="43" spans="1:27" ht="17" x14ac:dyDescent="0.2">
      <c r="A43" s="48"/>
      <c r="B43" s="49"/>
      <c r="C43" s="37"/>
      <c r="F43" s="14" t="s">
        <v>196</v>
      </c>
      <c r="H43" s="4">
        <v>0</v>
      </c>
      <c r="K43" s="4">
        <f>IF(H38=0, 0, H96*J38/H38)</f>
        <v>0</v>
      </c>
      <c r="N43" s="4">
        <f>IF(K38=0, 0, K96*M38/K38)</f>
        <v>0</v>
      </c>
      <c r="Q43" s="4">
        <f>IF(N38=0, 0, N96*P38/N38)</f>
        <v>0</v>
      </c>
      <c r="T43" s="4">
        <f>IF(Q38=0, 0, Q96*S38/Q38)</f>
        <v>0</v>
      </c>
      <c r="W43" s="4">
        <f>IF(T38=0, 0, T96*V38/T38)</f>
        <v>0</v>
      </c>
      <c r="Z43" s="4">
        <f>IF(W38=0, 0, W96*Y38/W38)</f>
        <v>0</v>
      </c>
    </row>
    <row r="44" spans="1:27" ht="17" x14ac:dyDescent="0.2">
      <c r="A44" s="48"/>
      <c r="B44" s="49"/>
      <c r="C44" s="37"/>
      <c r="F44" s="14" t="s">
        <v>197</v>
      </c>
      <c r="H44" s="4">
        <v>0</v>
      </c>
      <c r="K44" s="4">
        <f>IF(H39=0, 0, H97*J39/H39)</f>
        <v>0</v>
      </c>
      <c r="N44" s="4">
        <f>IF(K39=0, 0, K97*M39/K39)</f>
        <v>0</v>
      </c>
      <c r="Q44" s="4">
        <f>IF(N39=0, 0, N97*P39/N39)</f>
        <v>0</v>
      </c>
      <c r="T44" s="4">
        <f>IF(Q39=0, 0, Q97*S39/Q39)</f>
        <v>0</v>
      </c>
      <c r="W44" s="4">
        <f>IF(T39=0, 0, T97*V39/T39)</f>
        <v>0</v>
      </c>
      <c r="Z44" s="4">
        <f>IF(W39=0, 0, W97*Y39/W39)</f>
        <v>0</v>
      </c>
    </row>
    <row r="45" spans="1:27" ht="17" x14ac:dyDescent="0.2">
      <c r="A45" s="48"/>
      <c r="B45" s="49"/>
      <c r="C45" s="37"/>
      <c r="F45" s="14" t="s">
        <v>198</v>
      </c>
      <c r="H45" s="4">
        <v>0</v>
      </c>
      <c r="K45" s="4">
        <f>IF(H40=0, 0, H98*J40/H40)</f>
        <v>0</v>
      </c>
      <c r="N45" s="4">
        <f>IF(K40=0, 0, K98*M40/K40)</f>
        <v>0</v>
      </c>
      <c r="Q45" s="4">
        <f>IF(N40=0, 0, N98*P40/N40)</f>
        <v>0</v>
      </c>
      <c r="T45" s="4">
        <f>IF(Q40=0, 0, Q98*S40/Q40)</f>
        <v>0</v>
      </c>
      <c r="W45" s="4">
        <f>IF(T40=0, 0, T98*V40/T40)</f>
        <v>0</v>
      </c>
      <c r="Z45" s="4">
        <f>IF(W40=0, 0, W98*Y40/W40)</f>
        <v>0</v>
      </c>
    </row>
    <row r="46" spans="1:27" x14ac:dyDescent="0.2">
      <c r="A46" s="49" t="s">
        <v>192</v>
      </c>
      <c r="B46" s="49"/>
      <c r="C46" s="40" t="s">
        <v>174</v>
      </c>
      <c r="F46" s="14"/>
      <c r="H46" s="4">
        <f>SUM(H42:H45)</f>
        <v>0</v>
      </c>
      <c r="K46" s="4">
        <f>SUM(K42:K45)</f>
        <v>0</v>
      </c>
      <c r="N46" s="4">
        <f>SUM(N42:N45)</f>
        <v>0</v>
      </c>
      <c r="Q46" s="4">
        <f>SUM(Q42:Q45)</f>
        <v>0</v>
      </c>
      <c r="T46" s="4">
        <f>SUM(T42:T45)</f>
        <v>0</v>
      </c>
      <c r="W46" s="4">
        <f>SUM(W42:W45)</f>
        <v>0</v>
      </c>
      <c r="Z46" s="4">
        <f>SUM(Z42:Z45)</f>
        <v>0</v>
      </c>
    </row>
    <row r="47" spans="1:27" ht="17" x14ac:dyDescent="0.2">
      <c r="F47" s="14" t="s">
        <v>82</v>
      </c>
      <c r="AA47" t="s">
        <v>77</v>
      </c>
    </row>
    <row r="48" spans="1:27" ht="17" x14ac:dyDescent="0.2">
      <c r="A48" s="48" t="s">
        <v>263</v>
      </c>
      <c r="B48" s="49"/>
      <c r="C48" s="37" t="s">
        <v>174</v>
      </c>
      <c r="E48" s="28" t="s">
        <v>251</v>
      </c>
      <c r="F48" s="14" t="s">
        <v>250</v>
      </c>
      <c r="H48" s="4">
        <f>MIN(H42,H$15*G37)</f>
        <v>0</v>
      </c>
      <c r="K48" s="4">
        <f>MIN(K42,K$15*J37)</f>
        <v>0</v>
      </c>
      <c r="N48" s="4">
        <f>MIN(N42,N$15*M37)</f>
        <v>0</v>
      </c>
      <c r="Q48" s="4">
        <f>MIN(Q42,Q$15*P37)</f>
        <v>0</v>
      </c>
      <c r="T48" s="4">
        <f>MIN(T42,T$15*S37)</f>
        <v>0</v>
      </c>
      <c r="W48" s="4">
        <f>MIN(W42,W$15*V37)</f>
        <v>0</v>
      </c>
      <c r="Z48" s="4">
        <f>MIN(Z42,Z$15*Y37)</f>
        <v>0</v>
      </c>
    </row>
    <row r="49" spans="1:26" ht="17" x14ac:dyDescent="0.2">
      <c r="A49" s="48"/>
      <c r="B49" s="49"/>
      <c r="C49" s="37"/>
      <c r="E49" s="28"/>
      <c r="F49" s="14" t="s">
        <v>252</v>
      </c>
      <c r="H49" s="4">
        <f>MIN(H43,H$15*G38)</f>
        <v>0</v>
      </c>
      <c r="K49" s="4">
        <f>MIN(K43,K$15*J38)</f>
        <v>0</v>
      </c>
      <c r="N49" s="4">
        <f>MIN(N43,N$15*M38)</f>
        <v>0</v>
      </c>
      <c r="Q49" s="4">
        <f t="shared" ref="Q49" si="5">MIN(Q43,Q$15*P38)</f>
        <v>0</v>
      </c>
      <c r="T49" s="4">
        <f t="shared" ref="T49" si="6">MIN(T43,T$15*S38)</f>
        <v>0</v>
      </c>
      <c r="W49" s="4">
        <f t="shared" ref="W49" si="7">MIN(W43,W$15*V38)</f>
        <v>0</v>
      </c>
      <c r="Z49" s="4">
        <f t="shared" ref="Z49" si="8">MIN(Z43,Z$15*Y38)</f>
        <v>0</v>
      </c>
    </row>
    <row r="50" spans="1:26" ht="17" x14ac:dyDescent="0.2">
      <c r="A50" s="48"/>
      <c r="B50" s="49"/>
      <c r="C50" s="37"/>
      <c r="E50" s="28"/>
      <c r="F50" s="14" t="s">
        <v>253</v>
      </c>
      <c r="H50" s="4">
        <f>MIN(H44,H$15*G39)</f>
        <v>0</v>
      </c>
      <c r="K50" s="4">
        <f>MIN(K44,K$15*J39)</f>
        <v>0</v>
      </c>
      <c r="N50" s="4">
        <f>MIN(N44,N$15*M39)</f>
        <v>0</v>
      </c>
      <c r="Q50" s="4">
        <f>MIN(Q44,Q$15*P39)</f>
        <v>0</v>
      </c>
      <c r="T50" s="4">
        <f>MIN(T44,T$15*S39)</f>
        <v>0</v>
      </c>
      <c r="W50" s="4">
        <f>MIN(W44,W$15*V39)</f>
        <v>0</v>
      </c>
      <c r="Z50" s="4">
        <f>MIN(Z44,Z$15*Y39)</f>
        <v>0</v>
      </c>
    </row>
    <row r="51" spans="1:26" ht="17" x14ac:dyDescent="0.2">
      <c r="A51" s="48"/>
      <c r="B51" s="49"/>
      <c r="C51" s="37"/>
      <c r="E51" s="28"/>
      <c r="F51" s="14" t="s">
        <v>254</v>
      </c>
      <c r="H51" s="4">
        <f>MIN(H45,H$15*G40)</f>
        <v>0</v>
      </c>
      <c r="K51" s="4">
        <f>MIN(K45,K$15*J40)</f>
        <v>0</v>
      </c>
      <c r="N51" s="4">
        <f>MIN(N45,N$15*M40)</f>
        <v>0</v>
      </c>
      <c r="Q51" s="4">
        <f>MIN(Q45,Q$15*P40)</f>
        <v>0</v>
      </c>
      <c r="T51" s="4">
        <f>MIN(T45,T$15*S40)</f>
        <v>0</v>
      </c>
      <c r="W51" s="4">
        <f>MIN(W45,W$15*V40)</f>
        <v>0</v>
      </c>
      <c r="Z51" s="4">
        <f>MIN(Z45,Z$15*Y40)</f>
        <v>0</v>
      </c>
    </row>
    <row r="52" spans="1:26" x14ac:dyDescent="0.2">
      <c r="A52" s="49" t="s">
        <v>264</v>
      </c>
      <c r="B52" s="49"/>
      <c r="C52" s="40" t="s">
        <v>174</v>
      </c>
      <c r="F52" s="14"/>
      <c r="H52" s="4">
        <f>SUM(H48:H51)</f>
        <v>0</v>
      </c>
      <c r="K52" s="4">
        <f>SUM(K48:K51)</f>
        <v>0</v>
      </c>
      <c r="N52" s="4">
        <f>SUM(N48:N51)</f>
        <v>0</v>
      </c>
      <c r="Q52" s="4">
        <f>SUM(Q48:Q51)</f>
        <v>0</v>
      </c>
      <c r="T52" s="4">
        <f>SUM(T48:T51)</f>
        <v>0</v>
      </c>
      <c r="W52" s="4">
        <f>SUM(W48:W51)</f>
        <v>0</v>
      </c>
      <c r="Z52" s="4">
        <f>SUM(Z48:Z51)</f>
        <v>0</v>
      </c>
    </row>
    <row r="53" spans="1:26" x14ac:dyDescent="0.2">
      <c r="A53" s="49" t="s">
        <v>266</v>
      </c>
      <c r="B53" s="49"/>
      <c r="C53" s="40"/>
      <c r="F53" s="14"/>
      <c r="H53" s="4">
        <f>H46-H52</f>
        <v>0</v>
      </c>
      <c r="K53" s="4">
        <f>K46-K52</f>
        <v>0</v>
      </c>
      <c r="N53" s="4">
        <f>N46-N52</f>
        <v>0</v>
      </c>
      <c r="Q53" s="4">
        <f>Q46-Q52</f>
        <v>0</v>
      </c>
      <c r="T53" s="4">
        <f>T46-T52</f>
        <v>0</v>
      </c>
      <c r="W53" s="4">
        <f>W46-W52</f>
        <v>0</v>
      </c>
      <c r="Z53" s="4">
        <f>Z46-Z52</f>
        <v>0</v>
      </c>
    </row>
    <row r="54" spans="1:26" x14ac:dyDescent="0.2">
      <c r="F54" s="14"/>
    </row>
    <row r="55" spans="1:26" ht="17" x14ac:dyDescent="0.2">
      <c r="A55" s="48" t="s">
        <v>193</v>
      </c>
      <c r="B55" s="49"/>
      <c r="C55" s="37" t="s">
        <v>174</v>
      </c>
      <c r="F55" s="14" t="s">
        <v>199</v>
      </c>
      <c r="H55" s="4">
        <f>H42*$H$20</f>
        <v>0</v>
      </c>
      <c r="K55" s="4">
        <f>K42*$H$20</f>
        <v>0</v>
      </c>
      <c r="N55" s="4">
        <f>N42*$H$20</f>
        <v>0</v>
      </c>
      <c r="Q55" s="4">
        <f>Q42*$H$20</f>
        <v>0</v>
      </c>
      <c r="T55" s="4">
        <f>T42*$H$20</f>
        <v>0</v>
      </c>
      <c r="W55" s="4">
        <f>W42*$H$20</f>
        <v>0</v>
      </c>
      <c r="Z55" s="4">
        <f>Z42*$H$20</f>
        <v>0</v>
      </c>
    </row>
    <row r="56" spans="1:26" ht="17" x14ac:dyDescent="0.2">
      <c r="A56" s="48"/>
      <c r="B56" s="49"/>
      <c r="C56" s="37"/>
      <c r="F56" s="14" t="s">
        <v>200</v>
      </c>
      <c r="H56" s="4">
        <f>H43*$H$20</f>
        <v>0</v>
      </c>
      <c r="K56" s="4">
        <f>K43*$H$20</f>
        <v>0</v>
      </c>
      <c r="N56" s="4">
        <f>N43*$H$20</f>
        <v>0</v>
      </c>
      <c r="Q56" s="4">
        <f>Q43*$H$20</f>
        <v>0</v>
      </c>
      <c r="T56" s="4">
        <f>T43*$H$20</f>
        <v>0</v>
      </c>
      <c r="W56" s="4">
        <f>W43*$H$20</f>
        <v>0</v>
      </c>
      <c r="Z56" s="4">
        <f>Z43*$H$20</f>
        <v>0</v>
      </c>
    </row>
    <row r="57" spans="1:26" ht="17" x14ac:dyDescent="0.2">
      <c r="A57" s="48"/>
      <c r="B57" s="49"/>
      <c r="C57" s="37"/>
      <c r="F57" s="14" t="s">
        <v>201</v>
      </c>
      <c r="H57" s="4">
        <f>H44*$H$20</f>
        <v>0</v>
      </c>
      <c r="K57" s="4">
        <f>K44*$H$20</f>
        <v>0</v>
      </c>
      <c r="N57" s="4">
        <f>N44*$H$20</f>
        <v>0</v>
      </c>
      <c r="Q57" s="4">
        <f>Q44*$H$20</f>
        <v>0</v>
      </c>
      <c r="T57" s="4">
        <f>T44*$H$20</f>
        <v>0</v>
      </c>
      <c r="W57" s="4">
        <f>W44*$H$20</f>
        <v>0</v>
      </c>
      <c r="Z57" s="4">
        <f>Z44*$H$20</f>
        <v>0</v>
      </c>
    </row>
    <row r="58" spans="1:26" ht="17" x14ac:dyDescent="0.2">
      <c r="A58" s="48"/>
      <c r="B58" s="49"/>
      <c r="C58" s="37"/>
      <c r="F58" s="14" t="s">
        <v>202</v>
      </c>
      <c r="H58" s="4">
        <f>H45*$H$20</f>
        <v>0</v>
      </c>
      <c r="K58" s="4">
        <f>K45*$H$20</f>
        <v>0</v>
      </c>
      <c r="N58" s="4">
        <f>N45*$H$20</f>
        <v>0</v>
      </c>
      <c r="Q58" s="4">
        <f>Q45*$H$20</f>
        <v>0</v>
      </c>
      <c r="T58" s="4">
        <f>T45*$H$20</f>
        <v>0</v>
      </c>
      <c r="W58" s="4">
        <f>W45*$H$20</f>
        <v>0</v>
      </c>
      <c r="Z58" s="4">
        <f>Z45*$H$20</f>
        <v>0</v>
      </c>
    </row>
    <row r="59" spans="1:26" x14ac:dyDescent="0.2">
      <c r="A59" s="49" t="s">
        <v>194</v>
      </c>
      <c r="B59" s="49"/>
      <c r="C59" s="40" t="s">
        <v>174</v>
      </c>
      <c r="F59" s="14"/>
      <c r="H59" s="4">
        <f>SUM(H55:H58)</f>
        <v>0</v>
      </c>
      <c r="K59" s="4">
        <f>SUM(K55:K58)</f>
        <v>0</v>
      </c>
      <c r="N59" s="4">
        <f>SUM(N55:N58)</f>
        <v>0</v>
      </c>
      <c r="Q59" s="4">
        <f>SUM(Q55:Q58)</f>
        <v>0</v>
      </c>
      <c r="T59" s="4">
        <f>SUM(T55:T58)</f>
        <v>0</v>
      </c>
      <c r="W59" s="4">
        <f>SUM(W55:W58)</f>
        <v>0</v>
      </c>
      <c r="Z59" s="4">
        <f>SUM(Z55:Z58)</f>
        <v>0</v>
      </c>
    </row>
    <row r="60" spans="1:26" x14ac:dyDescent="0.2">
      <c r="F60" s="14"/>
    </row>
    <row r="61" spans="1:26" ht="17" x14ac:dyDescent="0.2">
      <c r="A61" s="48" t="s">
        <v>178</v>
      </c>
      <c r="B61" s="49"/>
      <c r="C61" s="37" t="s">
        <v>174</v>
      </c>
      <c r="F61" s="14" t="s">
        <v>90</v>
      </c>
      <c r="H61" s="4">
        <f>AD6</f>
        <v>0</v>
      </c>
      <c r="K61" s="4">
        <f>AD7</f>
        <v>0.01</v>
      </c>
      <c r="N61" s="4">
        <f>AD8</f>
        <v>0.05</v>
      </c>
      <c r="Q61" s="4">
        <f>AD9</f>
        <v>0.12</v>
      </c>
      <c r="T61" s="4">
        <f>AD11</f>
        <v>0.2</v>
      </c>
      <c r="W61" s="4">
        <f>AD12</f>
        <v>0.36</v>
      </c>
      <c r="Z61" s="4">
        <f>AD14</f>
        <v>0.6</v>
      </c>
    </row>
    <row r="62" spans="1:26" ht="17" x14ac:dyDescent="0.2">
      <c r="A62" s="48"/>
      <c r="B62" s="49"/>
      <c r="C62" s="37"/>
      <c r="F62" s="14" t="s">
        <v>91</v>
      </c>
      <c r="H62" s="4">
        <v>0</v>
      </c>
      <c r="K62" s="4">
        <v>0</v>
      </c>
      <c r="N62" s="4">
        <f>AD7</f>
        <v>0.01</v>
      </c>
      <c r="Q62" s="4">
        <f>AD8</f>
        <v>0.05</v>
      </c>
      <c r="T62" s="4">
        <f>AD9</f>
        <v>0.12</v>
      </c>
      <c r="W62" s="4">
        <f>AD11</f>
        <v>0.2</v>
      </c>
      <c r="Z62" s="4">
        <f>AD12</f>
        <v>0.36</v>
      </c>
    </row>
    <row r="63" spans="1:26" ht="17" x14ac:dyDescent="0.2">
      <c r="A63" s="48"/>
      <c r="B63" s="49"/>
      <c r="C63" s="37"/>
      <c r="F63" s="14" t="s">
        <v>92</v>
      </c>
      <c r="H63" s="4">
        <v>0</v>
      </c>
      <c r="K63" s="4">
        <v>0</v>
      </c>
      <c r="N63" s="4">
        <v>0</v>
      </c>
      <c r="Q63" s="4">
        <f>AD7</f>
        <v>0.01</v>
      </c>
      <c r="T63" s="4">
        <f>AD8</f>
        <v>0.05</v>
      </c>
      <c r="W63" s="4">
        <f>AD9</f>
        <v>0.12</v>
      </c>
      <c r="Z63" s="4">
        <f>AD11</f>
        <v>0.2</v>
      </c>
    </row>
    <row r="64" spans="1:26" ht="17" x14ac:dyDescent="0.2">
      <c r="A64" s="48"/>
      <c r="B64" s="49"/>
      <c r="C64" s="37"/>
      <c r="F64" s="14" t="s">
        <v>93</v>
      </c>
      <c r="H64" s="4">
        <v>0</v>
      </c>
      <c r="K64" s="4">
        <v>0</v>
      </c>
      <c r="N64" s="4">
        <v>0</v>
      </c>
      <c r="Q64" s="4">
        <v>0</v>
      </c>
      <c r="T64" s="4">
        <f>AD7</f>
        <v>0.01</v>
      </c>
      <c r="W64" s="4">
        <f>AD8</f>
        <v>0.05</v>
      </c>
      <c r="Z64" s="4">
        <f>AD9</f>
        <v>0.12</v>
      </c>
    </row>
    <row r="65" spans="1:31" ht="17" x14ac:dyDescent="0.2">
      <c r="F65" s="14" t="s">
        <v>49</v>
      </c>
    </row>
    <row r="66" spans="1:31" x14ac:dyDescent="0.2">
      <c r="F66" s="14"/>
    </row>
    <row r="67" spans="1:31" ht="17" x14ac:dyDescent="0.2">
      <c r="A67" s="48" t="s">
        <v>238</v>
      </c>
      <c r="B67" s="49"/>
      <c r="C67" s="37" t="s">
        <v>174</v>
      </c>
      <c r="F67" s="14" t="s">
        <v>109</v>
      </c>
      <c r="H67" s="4">
        <f>H37*H61</f>
        <v>0</v>
      </c>
      <c r="K67" s="4">
        <f>K37*K61</f>
        <v>0.85</v>
      </c>
      <c r="N67" s="4">
        <f>K67*(1- $G$29)+N37*N61</f>
        <v>5.0983000000000001</v>
      </c>
      <c r="Q67" s="4">
        <f>N67*(1- $G$29)+Q37*Q61</f>
        <v>15.288103399999999</v>
      </c>
      <c r="T67" s="4">
        <f>Q67*(1- $G$29)+T37*T61</f>
        <v>32.257527193199998</v>
      </c>
      <c r="W67" s="4">
        <f>T67*(1- $G$29)+W37*W61</f>
        <v>62.793012138813594</v>
      </c>
      <c r="Z67" s="4">
        <f>W67*(1- $G$29)+Z37*Z61</f>
        <v>113.66742611453597</v>
      </c>
    </row>
    <row r="68" spans="1:31" ht="17" x14ac:dyDescent="0.2">
      <c r="A68" s="48"/>
      <c r="B68" s="49"/>
      <c r="C68" s="37"/>
      <c r="F68" s="14" t="s">
        <v>110</v>
      </c>
      <c r="K68" s="4">
        <f>K38*K62</f>
        <v>0</v>
      </c>
      <c r="N68" s="4">
        <f>K68*(1- $G$29)+N38*N62</f>
        <v>0.8</v>
      </c>
      <c r="Q68" s="4">
        <f>N68*(1- $G$29)+Q38*Q62</f>
        <v>4.7984</v>
      </c>
      <c r="T68" s="4">
        <f>Q68*(1- $G$29)+T38*T62</f>
        <v>14.3888032</v>
      </c>
      <c r="W68" s="4">
        <f>T68*(1- $G$29)+W38*W62</f>
        <v>30.3600255936</v>
      </c>
      <c r="Z68" s="4">
        <f>W68*(1- $G$29)+Z38*Z62</f>
        <v>59.099305542412793</v>
      </c>
    </row>
    <row r="69" spans="1:31" ht="17" x14ac:dyDescent="0.2">
      <c r="A69" s="48"/>
      <c r="B69" s="49"/>
      <c r="C69" s="37"/>
      <c r="E69" s="28"/>
      <c r="F69" s="14" t="s">
        <v>111</v>
      </c>
      <c r="N69" s="4">
        <f>K69*(1- $G$29)+N39*N63</f>
        <v>0</v>
      </c>
      <c r="Q69" s="4">
        <f>N69*(1- $G$29)+Q39*Q63</f>
        <v>0.92</v>
      </c>
      <c r="T69" s="4">
        <f>Q69*(1- $G$29)+T39*T63</f>
        <v>5.5181600000000008</v>
      </c>
      <c r="W69" s="4">
        <f>T69*(1- $G$29)+W39*W63</f>
        <v>16.547123679999999</v>
      </c>
      <c r="Z69" s="4">
        <f>W69*(1- $G$29)+Z39*Z63</f>
        <v>34.91402943264</v>
      </c>
    </row>
    <row r="70" spans="1:31" ht="17" x14ac:dyDescent="0.2">
      <c r="A70" s="48"/>
      <c r="B70" s="49"/>
      <c r="C70" s="37"/>
      <c r="E70" s="28"/>
      <c r="F70" s="14" t="s">
        <v>112</v>
      </c>
      <c r="N70" s="4">
        <f>K70*(1- $G$29)+N40*N64</f>
        <v>0</v>
      </c>
      <c r="Q70" s="4">
        <f>N70*(1- $G$29)+Q40*Q64</f>
        <v>0</v>
      </c>
      <c r="T70" s="4">
        <f>Q70*(1- $G$29)+T40*T64</f>
        <v>0.43</v>
      </c>
      <c r="W70" s="4">
        <f>T70*(1- $G$29)+W40*W64</f>
        <v>2.5791399999999998</v>
      </c>
      <c r="Z70" s="4">
        <f>W70*(1- $G$29)+Z40*Z64</f>
        <v>7.7339817200000001</v>
      </c>
    </row>
    <row r="71" spans="1:31" x14ac:dyDescent="0.2">
      <c r="E71" s="28"/>
      <c r="F71" s="14"/>
    </row>
    <row r="72" spans="1:31" ht="17" x14ac:dyDescent="0.2">
      <c r="A72" s="48" t="s">
        <v>235</v>
      </c>
      <c r="B72" s="49"/>
      <c r="C72" s="37" t="s">
        <v>174</v>
      </c>
      <c r="F72" s="14" t="s">
        <v>127</v>
      </c>
      <c r="H72" s="4">
        <v>0</v>
      </c>
      <c r="K72" s="4">
        <f>INT(J$4-$AF$6 &gt; $E80)*MAX(H95-$H$21*H37-K42,0)</f>
        <v>0</v>
      </c>
      <c r="N72" s="4">
        <f>INT(M$4-$AF$6 &gt; $E80)*MAX(K95-$H$21*K37-N42,0)</f>
        <v>0</v>
      </c>
      <c r="Q72" s="4">
        <f>INT(P$4-$AF$6 &gt; $E80)*MAX(N95-$H$21*N37-Q42,0)</f>
        <v>0</v>
      </c>
      <c r="T72" s="4">
        <f>INT(S$4-$AF$6 &gt; $E80)*MAX(Q95-$H$21*Q37-T42,0)</f>
        <v>6.7881033999999989</v>
      </c>
      <c r="W72" s="4">
        <f>INT(V$4-$AF$6 &gt; $E80)*MAX(T95-$H$21*T37-W42,0)</f>
        <v>23.757527193199998</v>
      </c>
      <c r="Z72" s="4">
        <f>INT(Y$4-$AF$6 &gt; $E80)*MAX(W95-$H$21*W37-Z42,0)</f>
        <v>30.582999999999998</v>
      </c>
    </row>
    <row r="73" spans="1:31" ht="17" x14ac:dyDescent="0.2">
      <c r="A73" s="48"/>
      <c r="B73" s="49"/>
      <c r="C73" s="37"/>
      <c r="F73" s="14" t="s">
        <v>128</v>
      </c>
      <c r="H73" s="4">
        <v>0</v>
      </c>
      <c r="K73" s="4">
        <f>INT(J$4-$AF$6 &gt; $E81)*MAX(H96-$H$21*H38-K43,0)</f>
        <v>0</v>
      </c>
      <c r="N73" s="4">
        <f>INT(M$4-$AF$6 &gt; $E81)*MAX(K96-$H$21*K38-N43,0)</f>
        <v>0</v>
      </c>
      <c r="Q73" s="4">
        <f>INT(P$4-$AF$6 &gt; $E81)*MAX(N96-$H$21*N38-Q43,0)</f>
        <v>0</v>
      </c>
      <c r="T73" s="4">
        <f>INT(S$4-$AF$6 &gt; $E81)*MAX(Q96-$H$21*Q38-T43,0)</f>
        <v>0</v>
      </c>
      <c r="W73" s="4">
        <f>INT(V$4-$AF$6 &gt; $E81)*MAX(T96-$H$21*T38-W43,0)</f>
        <v>6.3888031999999999</v>
      </c>
      <c r="Z73" s="4">
        <f>INT(Y$4-$AF$6 &gt; $E81)*MAX(W96-$H$21*W38-Z43,0)</f>
        <v>15.984000000000002</v>
      </c>
    </row>
    <row r="74" spans="1:31" ht="17" x14ac:dyDescent="0.2">
      <c r="A74" s="48"/>
      <c r="B74" s="49"/>
      <c r="C74" s="37"/>
      <c r="E74" s="28" t="s">
        <v>152</v>
      </c>
      <c r="F74" s="14" t="s">
        <v>129</v>
      </c>
      <c r="H74" s="4">
        <v>0</v>
      </c>
      <c r="K74" s="4">
        <f>INT(J$4-$AF$6 &gt; $E82)*MAX(H97-$H$21*H39-K44,0)</f>
        <v>0</v>
      </c>
      <c r="N74" s="4">
        <f>INT(M$4-$AF$6 &gt; $E82)*MAX(K97-$H$21*K39-N44,0)</f>
        <v>0</v>
      </c>
      <c r="Q74" s="4">
        <f>INT(P$4-$AF$6 &gt; $E82)*MAX(N97-$H$21*N39-Q44,0)</f>
        <v>0</v>
      </c>
      <c r="T74" s="4">
        <f>INT(S$4-$AF$6 &gt; $E82)*MAX(Q97-$H$21*Q39-T44,0)</f>
        <v>0</v>
      </c>
      <c r="W74" s="4">
        <f>INT(V$4-$AF$6 &gt; $E82)*MAX(T97-$H$21*T39-W44,0)</f>
        <v>0</v>
      </c>
      <c r="Z74" s="4">
        <f>INT(Y$4-$AF$6 &gt; $E82)*MAX(W97-$H$21*W39-Z44,0)</f>
        <v>7.3471236799999975</v>
      </c>
    </row>
    <row r="75" spans="1:31" ht="17" x14ac:dyDescent="0.2">
      <c r="A75" s="48"/>
      <c r="B75" s="49"/>
      <c r="C75" s="37"/>
      <c r="E75" s="28"/>
      <c r="F75" s="14" t="s">
        <v>130</v>
      </c>
      <c r="H75" s="4">
        <v>0</v>
      </c>
      <c r="K75" s="4">
        <f>INT(J$4-$AF$6 &gt; $E83)*MAX(H98-$H$21*H40-K45,0)</f>
        <v>0</v>
      </c>
      <c r="N75" s="4">
        <f>INT(M$4-$AF$6 &gt; $E83)*MAX(K98-$H$21*K40-N45,0)</f>
        <v>0</v>
      </c>
      <c r="Q75" s="4">
        <f>INT(P$4-$AF$6 &gt; $E83)*MAX(N98-$H$21*N40-Q45,0)</f>
        <v>0</v>
      </c>
      <c r="T75" s="4">
        <f>INT(S$4-$AF$6 &gt; $E83)*MAX(Q98-$H$21*Q40-T45,0)</f>
        <v>0</v>
      </c>
      <c r="W75" s="4">
        <f>INT(V$4-$AF$6 &gt; $E83)*MAX(T98-$H$21*T40-W45,0)</f>
        <v>0</v>
      </c>
      <c r="Z75" s="4">
        <f>INT(Y$4-$AF$6 &gt; $E83)*MAX(W98-$H$21*W40-Z45,0)</f>
        <v>0</v>
      </c>
    </row>
    <row r="76" spans="1:31" ht="17" x14ac:dyDescent="0.2">
      <c r="A76" s="49" t="s">
        <v>236</v>
      </c>
      <c r="B76" s="49"/>
      <c r="C76" s="40" t="s">
        <v>174</v>
      </c>
      <c r="E76" s="28"/>
      <c r="F76" s="14" t="s">
        <v>147</v>
      </c>
      <c r="H76" s="4">
        <v>0</v>
      </c>
      <c r="K76" s="4">
        <f>SUM(K72:K75)</f>
        <v>0</v>
      </c>
      <c r="N76" s="4">
        <f>SUM(N72:N75)</f>
        <v>0</v>
      </c>
      <c r="Q76" s="4">
        <f>SUM(Q72:Q75)</f>
        <v>0</v>
      </c>
      <c r="T76" s="4">
        <f>SUM(T72:T75)</f>
        <v>6.7881033999999989</v>
      </c>
      <c r="W76" s="4">
        <f>SUM(W72:W75)</f>
        <v>30.146330393199996</v>
      </c>
      <c r="Z76" s="4">
        <f>SUM(Z72:Z75)</f>
        <v>53.914123679999996</v>
      </c>
      <c r="AE76" t="s">
        <v>106</v>
      </c>
    </row>
    <row r="77" spans="1:31" x14ac:dyDescent="0.2">
      <c r="E77" s="28"/>
      <c r="F77" s="14"/>
      <c r="AC77" t="s">
        <v>85</v>
      </c>
      <c r="AE77" t="s">
        <v>107</v>
      </c>
    </row>
    <row r="78" spans="1:31" ht="17" customHeight="1" x14ac:dyDescent="0.2">
      <c r="A78" s="50" t="s">
        <v>237</v>
      </c>
      <c r="B78" s="52"/>
      <c r="C78" s="37" t="s">
        <v>174</v>
      </c>
      <c r="F78" s="14" t="s">
        <v>88</v>
      </c>
      <c r="G78" s="4">
        <v>0</v>
      </c>
      <c r="J78" s="4">
        <v>0</v>
      </c>
      <c r="M78" s="4">
        <v>0</v>
      </c>
      <c r="P78" s="4">
        <v>0</v>
      </c>
      <c r="S78" s="4">
        <v>0</v>
      </c>
      <c r="V78" s="4">
        <v>0</v>
      </c>
      <c r="Y78" s="4">
        <v>0</v>
      </c>
      <c r="AC78" t="s">
        <v>86</v>
      </c>
    </row>
    <row r="79" spans="1:31" ht="17" x14ac:dyDescent="0.2">
      <c r="A79" s="50"/>
      <c r="B79" s="52"/>
      <c r="C79" s="37"/>
      <c r="F79" s="14" t="s">
        <v>148</v>
      </c>
      <c r="G79" s="4">
        <f>SUM(H$72:H72)</f>
        <v>0</v>
      </c>
      <c r="H79" s="4">
        <f>IF(G79&gt;=G$131, IF(G78&lt;G$131, G$131-G78, 0),H72)</f>
        <v>0</v>
      </c>
      <c r="J79" s="4">
        <f>SUM(K$72:K72)</f>
        <v>0</v>
      </c>
      <c r="K79" s="4">
        <f>IF(J79&gt;=J$131, IF(J78&lt;J$131, J$131-J78, 0),K72)</f>
        <v>0</v>
      </c>
      <c r="M79" s="4">
        <f>SUM(N$72:N72)</f>
        <v>0</v>
      </c>
      <c r="N79" s="4">
        <f>IF(M79&gt;=M$131, IF(M78&lt;M$131, M$131-M78, 0),N72)</f>
        <v>0</v>
      </c>
      <c r="P79" s="4">
        <f>SUM(Q$72:Q72)</f>
        <v>0</v>
      </c>
      <c r="Q79" s="4">
        <f>IF(P79&gt;=P$131, IF(P78&lt;P$131, P$131-P78, 0),Q72)</f>
        <v>0</v>
      </c>
      <c r="S79" s="4">
        <f>SUM(T$72:T72)</f>
        <v>6.7881033999999989</v>
      </c>
      <c r="T79" s="4">
        <f>IF(S79&gt;=S$131, IF(S78&lt;S$131, S$131-S78, 0),T72)</f>
        <v>0</v>
      </c>
      <c r="V79" s="4">
        <f>SUM(W$72:W72)</f>
        <v>23.757527193199998</v>
      </c>
      <c r="W79" s="4">
        <f>IF(V79&gt;=V$131, IF(V78&lt;V$131, V$131-V78, 0),W72)</f>
        <v>23.757527193199998</v>
      </c>
      <c r="Y79" s="4">
        <f>SUM(Z$72:Z72)</f>
        <v>30.582999999999998</v>
      </c>
      <c r="Z79" s="4">
        <f>IF(Y79&gt;=Y$131, IF(Y78&lt;Y$131, Y$131-Y78, 0),Z72)</f>
        <v>30.582999999999998</v>
      </c>
    </row>
    <row r="80" spans="1:31" ht="17" x14ac:dyDescent="0.2">
      <c r="A80" s="50"/>
      <c r="B80" s="52"/>
      <c r="C80" s="37"/>
      <c r="E80" s="22">
        <v>0</v>
      </c>
      <c r="F80" s="14" t="s">
        <v>149</v>
      </c>
      <c r="G80" s="4">
        <f>SUM(H$72:H73)</f>
        <v>0</v>
      </c>
      <c r="H80" s="4">
        <f>IF(G80&gt;=G$131, IF(G79&lt;G$131, G$131-G79, 0),H73)</f>
        <v>0</v>
      </c>
      <c r="J80" s="4">
        <f>SUM(K$72:K73)</f>
        <v>0</v>
      </c>
      <c r="K80" s="4">
        <f>IF(J80&gt;=J$131, IF(J79&lt;J$131, J$131-J79, 0),K73)</f>
        <v>0</v>
      </c>
      <c r="M80" s="4">
        <f>SUM(N$72:N73)</f>
        <v>0</v>
      </c>
      <c r="N80" s="4">
        <f>IF(M80&gt;=M$131, IF(M79&lt;M$131, M$131-M79, 0),N73)</f>
        <v>0</v>
      </c>
      <c r="P80" s="4">
        <f>SUM(Q$72:Q73)</f>
        <v>0</v>
      </c>
      <c r="Q80" s="4">
        <f>IF(P80&gt;=P$131, IF(P79&lt;P$131, P$131-P79, 0),Q73)</f>
        <v>0</v>
      </c>
      <c r="S80" s="4">
        <f>SUM(T$72:T73)</f>
        <v>6.7881033999999989</v>
      </c>
      <c r="T80" s="4">
        <f>IF(S80&gt;=S$131, IF(S79&lt;S$131, S$131-S79, 0),T73)</f>
        <v>0</v>
      </c>
      <c r="V80" s="4">
        <f>SUM(W$72:W73)</f>
        <v>30.146330393199996</v>
      </c>
      <c r="W80" s="4">
        <f>IF(V80&gt;=V$131, IF(V79&lt;V$131, V$131-V79, 0),W73)</f>
        <v>6.3888031999999981</v>
      </c>
      <c r="Y80" s="4">
        <f>SUM(Z$72:Z73)</f>
        <v>46.567</v>
      </c>
      <c r="Z80" s="4">
        <f>IF(Y80&gt;=Y$131, IF(Y79&lt;Y$131, Y$131-Y79, 0),Z73)</f>
        <v>15.984000000000002</v>
      </c>
    </row>
    <row r="81" spans="1:26" ht="17" x14ac:dyDescent="0.2">
      <c r="A81" s="50"/>
      <c r="B81" s="52"/>
      <c r="C81" s="37"/>
      <c r="E81" s="22">
        <v>1</v>
      </c>
      <c r="F81" s="14" t="s">
        <v>150</v>
      </c>
      <c r="G81" s="4">
        <f>SUM(H$72:H74)</f>
        <v>0</v>
      </c>
      <c r="H81" s="4">
        <f>IF(G81&gt;=G$131, IF(G80&lt;G$131, G$131-G80, 0),H74)</f>
        <v>0</v>
      </c>
      <c r="J81" s="4">
        <f>SUM(K$72:K74)</f>
        <v>0</v>
      </c>
      <c r="K81" s="4">
        <f>IF(J81&gt;=J$131, IF(J80&lt;J$131, J$131-J80, 0),K74)</f>
        <v>0</v>
      </c>
      <c r="M81" s="4">
        <f>SUM(N$72:N74)</f>
        <v>0</v>
      </c>
      <c r="N81" s="4">
        <f>IF(M81&gt;=M$131, IF(M80&lt;M$131, M$131-M80, 0),N74)</f>
        <v>0</v>
      </c>
      <c r="P81" s="4">
        <f>SUM(Q$72:Q74)</f>
        <v>0</v>
      </c>
      <c r="Q81" s="4">
        <f>IF(P81&gt;=P$131, IF(P80&lt;P$131, P$131-P80, 0),Q74)</f>
        <v>0</v>
      </c>
      <c r="S81" s="4">
        <f>SUM(T$72:T74)</f>
        <v>6.7881033999999989</v>
      </c>
      <c r="T81" s="4">
        <f>IF(S81&gt;=S$131, IF(S80&lt;S$131, S$131-S80, 0),T74)</f>
        <v>0</v>
      </c>
      <c r="V81" s="4">
        <f>SUM(W$72:W74)</f>
        <v>30.146330393199996</v>
      </c>
      <c r="W81" s="4">
        <f>IF(V81&gt;=V$131, IF(V80&lt;V$131, V$131-V80, 0),W74)</f>
        <v>0</v>
      </c>
      <c r="Y81" s="4">
        <f>SUM(Z$72:Z74)</f>
        <v>53.914123679999996</v>
      </c>
      <c r="Z81" s="4">
        <f>IF(Y81&gt;=Y$131, IF(Y80&lt;Y$131, Y$131-Y80, 0),Z74)</f>
        <v>7.3471236799999957</v>
      </c>
    </row>
    <row r="82" spans="1:26" ht="17" x14ac:dyDescent="0.2">
      <c r="A82" s="50"/>
      <c r="B82" s="52"/>
      <c r="C82" s="37"/>
      <c r="E82" s="22">
        <v>2</v>
      </c>
      <c r="F82" s="14" t="s">
        <v>151</v>
      </c>
      <c r="G82" s="4">
        <f>SUM(H$72:H75)</f>
        <v>0</v>
      </c>
      <c r="H82" s="4">
        <f>IF(G82&gt;=G$131, IF(G81&lt;G$131, G$131-G81, 0),H75)</f>
        <v>0</v>
      </c>
      <c r="J82" s="4">
        <f>SUM(K$72:K75)</f>
        <v>0</v>
      </c>
      <c r="K82" s="4">
        <f>IF(J82&gt;=J$131, IF(J81&lt;J$131, J$131-J81, 0),K75)</f>
        <v>0</v>
      </c>
      <c r="M82" s="4">
        <f>SUM(N$72:N75)</f>
        <v>0</v>
      </c>
      <c r="N82" s="4">
        <f>IF(M82&gt;=M$131, IF(M81&lt;M$131, M$131-M81, 0),N75)</f>
        <v>0</v>
      </c>
      <c r="P82" s="4">
        <f>SUM(Q$72:Q75)</f>
        <v>0</v>
      </c>
      <c r="Q82" s="4">
        <f>IF(P82&gt;=P$131, IF(P81&lt;P$131, P$131-P81, 0),Q75)</f>
        <v>0</v>
      </c>
      <c r="S82" s="4">
        <f>SUM(T$72:T75)</f>
        <v>6.7881033999999989</v>
      </c>
      <c r="T82" s="4">
        <f>IF(S82&gt;=S$131, IF(S81&lt;S$131, S$131-S81, 0),T75)</f>
        <v>0</v>
      </c>
      <c r="V82" s="4">
        <f>SUM(W$72:W75)</f>
        <v>30.146330393199996</v>
      </c>
      <c r="W82" s="4">
        <f>IF(V82&gt;=V$131, IF(V81&lt;V$131, V$131-V81, 0),W75)</f>
        <v>0</v>
      </c>
      <c r="Y82" s="4">
        <f>SUM(Z$72:Z75)</f>
        <v>53.914123679999996</v>
      </c>
      <c r="Z82" s="4">
        <f>IF(Y82&gt;=Y$131, IF(Y81&lt;Y$131, Y$131-Y81, 0),Z75)</f>
        <v>0</v>
      </c>
    </row>
    <row r="83" spans="1:26" x14ac:dyDescent="0.2">
      <c r="E83" s="22">
        <v>3</v>
      </c>
      <c r="F83" s="14"/>
    </row>
    <row r="84" spans="1:26" x14ac:dyDescent="0.2">
      <c r="F84" s="14"/>
      <c r="J84" s="4" t="s">
        <v>136</v>
      </c>
      <c r="M84" s="4" t="s">
        <v>136</v>
      </c>
      <c r="P84" s="4" t="s">
        <v>136</v>
      </c>
      <c r="S84" s="4" t="s">
        <v>136</v>
      </c>
      <c r="V84" s="4" t="s">
        <v>136</v>
      </c>
      <c r="Y84" s="4" t="s">
        <v>136</v>
      </c>
    </row>
    <row r="85" spans="1:26" ht="17" x14ac:dyDescent="0.2">
      <c r="A85" s="47" t="s">
        <v>181</v>
      </c>
      <c r="B85" s="51"/>
      <c r="C85" s="37" t="s">
        <v>174</v>
      </c>
      <c r="F85" s="14" t="s">
        <v>131</v>
      </c>
      <c r="H85" s="4">
        <f>H61</f>
        <v>0</v>
      </c>
      <c r="J85" s="4">
        <f>IF(H95=0,1,MIN(MAX((H95/H67-$G$16)/($G$18-$G$16), 0), 1))</f>
        <v>1</v>
      </c>
      <c r="K85" s="4">
        <f>K61*J85</f>
        <v>0.01</v>
      </c>
      <c r="M85" s="4">
        <f>IF(K95=0,1,MIN(MAX((K95/K67-$G$16)/($G$18-$G$16), 0), 1))</f>
        <v>1</v>
      </c>
      <c r="N85" s="4">
        <f>N61*M85</f>
        <v>0.05</v>
      </c>
      <c r="P85" s="4">
        <f>IF(N95=0,1,MIN(MAX((N95/N67-$G$16)/($G$18-$G$16), 0), 1))</f>
        <v>1</v>
      </c>
      <c r="Q85" s="4">
        <f>Q61*P85</f>
        <v>0.12</v>
      </c>
      <c r="S85" s="4">
        <f>IF(Q95=0,1,MIN(MAX((Q95/Q67-$G$16)/($G$18-$G$16), 0), 1))</f>
        <v>1</v>
      </c>
      <c r="T85" s="4">
        <f>T61*S85</f>
        <v>0.2</v>
      </c>
      <c r="V85" s="4">
        <f>IF(T95=0,1,MIN(MAX((T95/T67-$G$16)/($G$18-$G$16), 0), 1))</f>
        <v>1</v>
      </c>
      <c r="W85" s="4">
        <f>W61*V85</f>
        <v>0.36</v>
      </c>
      <c r="Y85" s="4">
        <f>IF(W95=0,1,MIN(MAX((W95/W67-$G$16)/($G$18-$G$16), 0), 1))</f>
        <v>0.92886400737928387</v>
      </c>
      <c r="Z85" s="4">
        <f>Z61*Y85</f>
        <v>0.5573184044275703</v>
      </c>
    </row>
    <row r="86" spans="1:26" ht="17" x14ac:dyDescent="0.2">
      <c r="A86" s="47"/>
      <c r="B86" s="51"/>
      <c r="C86" s="37"/>
      <c r="F86" s="14" t="s">
        <v>132</v>
      </c>
      <c r="H86" s="4">
        <f>H62</f>
        <v>0</v>
      </c>
      <c r="J86" s="4">
        <f>IF(H96=0,1,MIN(MAX((H96/H68-$G$16)/($G$18-$G$16), 0), 1))</f>
        <v>1</v>
      </c>
      <c r="K86" s="4">
        <f>K62</f>
        <v>0</v>
      </c>
      <c r="M86" s="4">
        <f>IF(K96=0,1,MIN(MAX((K96/K68-$G$16)/($G$18-$G$16), 0), 1))</f>
        <v>1</v>
      </c>
      <c r="N86" s="4">
        <f>N62</f>
        <v>0.01</v>
      </c>
      <c r="P86" s="4">
        <f>IF(N96=0,1,MIN(MAX((N96/N68-$G$16)/($G$18-$G$16), 0), 1))</f>
        <v>1</v>
      </c>
      <c r="Q86" s="4">
        <f>Q62</f>
        <v>0.05</v>
      </c>
      <c r="S86" s="4">
        <f>IF(Q96=0,1,MIN(MAX((Q96/Q68-$G$16)/($G$18-$G$16), 0), 1))</f>
        <v>1</v>
      </c>
      <c r="T86" s="4">
        <f>T62</f>
        <v>0.12</v>
      </c>
      <c r="V86" s="4">
        <f>IF(T96=0,1,MIN(MAX((T96/T68-$G$16)/($G$18-$G$16), 0), 1))</f>
        <v>1</v>
      </c>
      <c r="W86" s="4">
        <f>W62</f>
        <v>0.2</v>
      </c>
      <c r="Y86" s="4">
        <f>IF(W96=0,1,MIN(MAX((W96/W68-$G$16)/($G$18-$G$16), 0), 1))</f>
        <v>1</v>
      </c>
      <c r="Z86" s="4">
        <f>Z62</f>
        <v>0.36</v>
      </c>
    </row>
    <row r="87" spans="1:26" ht="17" x14ac:dyDescent="0.2">
      <c r="A87" s="47"/>
      <c r="B87" s="51"/>
      <c r="C87" s="37"/>
      <c r="F87" s="14" t="s">
        <v>133</v>
      </c>
      <c r="H87" s="4">
        <f>H63</f>
        <v>0</v>
      </c>
      <c r="J87" s="4">
        <f>IF(H97=0,1,MIN(MAX((H97/H69-$G$16)/($G$18-$G$16), 0), 1))</f>
        <v>1</v>
      </c>
      <c r="K87" s="4">
        <f>K63</f>
        <v>0</v>
      </c>
      <c r="M87" s="4">
        <f>IF(K97=0,1,MIN(MAX((K97/K69-$G$16)/($G$18-$G$16), 0), 1))</f>
        <v>1</v>
      </c>
      <c r="N87" s="4">
        <f>N63</f>
        <v>0</v>
      </c>
      <c r="P87" s="4">
        <f>IF(N97=0,1,MIN(MAX((N97/N69-$G$16)/($G$18-$G$16), 0), 1))</f>
        <v>1</v>
      </c>
      <c r="Q87" s="4">
        <f>Q63</f>
        <v>0.01</v>
      </c>
      <c r="S87" s="4">
        <f>IF(Q97=0,1,MIN(MAX((Q97/Q69-$G$16)/($G$18-$G$16), 0), 1))</f>
        <v>1</v>
      </c>
      <c r="T87" s="4">
        <f>T63</f>
        <v>0.05</v>
      </c>
      <c r="V87" s="4">
        <f>IF(T97=0,1,MIN(MAX((T97/T69-$G$16)/($G$18-$G$16), 0), 1))</f>
        <v>1</v>
      </c>
      <c r="W87" s="4">
        <f>W63</f>
        <v>0.12</v>
      </c>
      <c r="Y87" s="4">
        <f>IF(W97=0,1,MIN(MAX((W97/W69-$G$16)/($G$18-$G$16), 0), 1))</f>
        <v>1</v>
      </c>
      <c r="Z87" s="4">
        <f>Z63</f>
        <v>0.2</v>
      </c>
    </row>
    <row r="88" spans="1:26" ht="17" x14ac:dyDescent="0.2">
      <c r="A88" s="47"/>
      <c r="B88" s="51"/>
      <c r="C88" s="37"/>
      <c r="F88" s="14" t="s">
        <v>134</v>
      </c>
      <c r="H88" s="4">
        <f>H64</f>
        <v>0</v>
      </c>
      <c r="J88" s="4">
        <f>IF(H98=0,1,MIN(MAX((H98/H70-$G$16)/($G$18-$G$16), 0), 1))</f>
        <v>1</v>
      </c>
      <c r="K88" s="4">
        <f>K64</f>
        <v>0</v>
      </c>
      <c r="M88" s="4">
        <f>IF(K98=0,1,MIN(MAX((K98/K70-$G$16)/($G$18-$G$16), 0), 1))</f>
        <v>1</v>
      </c>
      <c r="N88" s="4">
        <f>N64</f>
        <v>0</v>
      </c>
      <c r="P88" s="4">
        <f>IF(N98=0,1,MIN(MAX((N98/N70-$G$16)/($G$18-$G$16), 0), 1))</f>
        <v>1</v>
      </c>
      <c r="Q88" s="4">
        <f>Q64</f>
        <v>0</v>
      </c>
      <c r="S88" s="4">
        <f>IF(Q98=0,1,MIN(MAX((Q98/Q70-$G$16)/($G$18-$G$16), 0), 1))</f>
        <v>1</v>
      </c>
      <c r="T88" s="4">
        <f>T64</f>
        <v>0.01</v>
      </c>
      <c r="V88" s="4">
        <f>IF(T98=0,1,MIN(MAX((T98/T70-$G$16)/($G$18-$G$16), 0), 1))</f>
        <v>1</v>
      </c>
      <c r="W88" s="4">
        <f>W64</f>
        <v>0.05</v>
      </c>
      <c r="Y88" s="4">
        <f>IF(W98=0,1,MIN(MAX((W98/W70-$G$16)/($G$18-$G$16), 0), 1))</f>
        <v>1</v>
      </c>
      <c r="Z88" s="4">
        <f>Z64</f>
        <v>0.12</v>
      </c>
    </row>
    <row r="89" spans="1:26" x14ac:dyDescent="0.2">
      <c r="F89" s="14"/>
    </row>
    <row r="90" spans="1:26" ht="17" x14ac:dyDescent="0.2">
      <c r="A90" s="47" t="s">
        <v>204</v>
      </c>
      <c r="B90" s="51"/>
      <c r="C90" s="37" t="s">
        <v>174</v>
      </c>
      <c r="F90" s="14" t="s">
        <v>205</v>
      </c>
      <c r="H90" s="4">
        <f>H56*H32</f>
        <v>0</v>
      </c>
      <c r="K90" s="4">
        <f>(H95-K79-K42)*$G$29</f>
        <v>0</v>
      </c>
      <c r="N90" s="4">
        <f>(K95-N79-N42)*$G$29</f>
        <v>1.6999999999999999E-3</v>
      </c>
      <c r="Q90" s="4">
        <f>(N95-Q79-Q42)*$G$29</f>
        <v>1.01966E-2</v>
      </c>
      <c r="T90" s="4">
        <f>(Q95-T79-T42)*$G$29</f>
        <v>3.0576206799999998E-2</v>
      </c>
      <c r="W90" s="4">
        <f>(T95-W79-W42)*$G$29</f>
        <v>1.7000000000000001E-2</v>
      </c>
      <c r="Z90" s="4">
        <f>(W95-Z79-Z42)*$G$29</f>
        <v>1.7000000000000001E-2</v>
      </c>
    </row>
    <row r="91" spans="1:26" ht="17" x14ac:dyDescent="0.2">
      <c r="A91" s="47"/>
      <c r="B91" s="51"/>
      <c r="C91" s="37"/>
      <c r="F91" s="14" t="s">
        <v>206</v>
      </c>
      <c r="H91" s="4">
        <f>H57*H33</f>
        <v>0</v>
      </c>
      <c r="K91" s="4">
        <f>(H96-K80-K43)*$G$29</f>
        <v>0</v>
      </c>
      <c r="N91" s="4">
        <f>(K96-N80-N43)*$G$29</f>
        <v>0</v>
      </c>
      <c r="Q91" s="4">
        <f>(N96-Q80-Q43)*$G$29</f>
        <v>1.6000000000000001E-3</v>
      </c>
      <c r="T91" s="4">
        <f>(Q96-T80-T43)*$G$29</f>
        <v>9.5968000000000008E-3</v>
      </c>
      <c r="W91" s="4">
        <f>(T96-W80-W43)*$G$29</f>
        <v>1.6000000000000004E-2</v>
      </c>
      <c r="Z91" s="4">
        <f>(W96-Z80-Z43)*$G$29</f>
        <v>1.6E-2</v>
      </c>
    </row>
    <row r="92" spans="1:26" ht="17" x14ac:dyDescent="0.2">
      <c r="A92" s="47"/>
      <c r="B92" s="51"/>
      <c r="C92" s="37"/>
      <c r="F92" s="14" t="s">
        <v>207</v>
      </c>
      <c r="H92" s="4">
        <f>H58*H34</f>
        <v>0</v>
      </c>
      <c r="K92" s="4">
        <f>(H97-K81-K44)*$G$29</f>
        <v>0</v>
      </c>
      <c r="N92" s="4">
        <f>(K97-N81-N44)*$G$29</f>
        <v>0</v>
      </c>
      <c r="Q92" s="4">
        <f>(N97-Q81-Q44)*$G$29</f>
        <v>0</v>
      </c>
      <c r="T92" s="4">
        <f>(Q97-T81-T44)*$G$29</f>
        <v>1.8400000000000001E-3</v>
      </c>
      <c r="W92" s="4">
        <f>(T97-W81-W44)*$G$29</f>
        <v>1.1036320000000002E-2</v>
      </c>
      <c r="Z92" s="4">
        <f>(W97-Z81-Z44)*$G$29</f>
        <v>1.8400000000000007E-2</v>
      </c>
    </row>
    <row r="93" spans="1:26" ht="17" x14ac:dyDescent="0.2">
      <c r="A93" s="47"/>
      <c r="B93" s="51"/>
      <c r="C93" s="37"/>
      <c r="F93" s="14" t="s">
        <v>208</v>
      </c>
      <c r="H93" s="4">
        <f>H59*H35</f>
        <v>0</v>
      </c>
      <c r="K93" s="4">
        <f>(H98-K82-K45)*$G$29</f>
        <v>0</v>
      </c>
      <c r="N93" s="4">
        <f>(K98-N82-N45)*$G$29</f>
        <v>0</v>
      </c>
      <c r="Q93" s="4">
        <f>(N98-Q82-Q45)*$G$29</f>
        <v>0</v>
      </c>
      <c r="T93" s="4">
        <f>(Q98-T82-T45)*$G$29</f>
        <v>0</v>
      </c>
      <c r="W93" s="4">
        <f>(T98-W82-W45)*$G$29</f>
        <v>8.5999999999999998E-4</v>
      </c>
      <c r="Z93" s="4">
        <f>(W98-Z82-Z45)*$G$29</f>
        <v>5.1582799999999995E-3</v>
      </c>
    </row>
    <row r="94" spans="1:26" x14ac:dyDescent="0.2">
      <c r="F94" s="14"/>
    </row>
    <row r="95" spans="1:26" ht="17" x14ac:dyDescent="0.2">
      <c r="A95" s="47" t="s">
        <v>209</v>
      </c>
      <c r="B95" s="51"/>
      <c r="C95" s="37" t="s">
        <v>174</v>
      </c>
      <c r="F95" s="14" t="s">
        <v>70</v>
      </c>
      <c r="H95" s="4">
        <f>H61*H37</f>
        <v>0</v>
      </c>
      <c r="K95" s="4">
        <f>H95 - K79 - K90 - K42 + K37*K85</f>
        <v>0.85</v>
      </c>
      <c r="N95" s="4">
        <f>K95 - N79 - N90 - N42 + N37*N85</f>
        <v>5.0983000000000001</v>
      </c>
      <c r="Q95" s="4">
        <f>N95 - Q79 - Q90 - Q42 + Q37*Q85</f>
        <v>15.288103399999999</v>
      </c>
      <c r="T95" s="4">
        <f>Q95 - T79 - T90 - T42 + T37*T85</f>
        <v>32.257527193199998</v>
      </c>
      <c r="W95" s="4">
        <f>T95 - W79 - W90 - W42 + W37*W85</f>
        <v>39.082999999999998</v>
      </c>
      <c r="Z95" s="4">
        <f>W95 - Z79 - Z90 - Z42 + Z37*Z85</f>
        <v>55.855064376343478</v>
      </c>
    </row>
    <row r="96" spans="1:26" ht="17" x14ac:dyDescent="0.2">
      <c r="A96" s="47"/>
      <c r="B96" s="51"/>
      <c r="C96" s="37"/>
      <c r="F96" s="14" t="s">
        <v>71</v>
      </c>
      <c r="H96" s="4">
        <f>H62*H38</f>
        <v>0</v>
      </c>
      <c r="K96" s="4">
        <f>H96 - K80 - K91 - K43 + K38*K86</f>
        <v>0</v>
      </c>
      <c r="N96" s="4">
        <f>K96 - N80 - N91 - N43 + N38*N86</f>
        <v>0.8</v>
      </c>
      <c r="Q96" s="4">
        <f>N96 - Q80 - Q91 - Q43 + Q38*Q86</f>
        <v>4.7984</v>
      </c>
      <c r="T96" s="4">
        <f>Q96 - T80 - T91 - T43 + T38*T86</f>
        <v>14.3888032</v>
      </c>
      <c r="W96" s="4">
        <f>T96 - W80 - W91 - W43 + W38*W86</f>
        <v>23.984000000000002</v>
      </c>
      <c r="Z96" s="4">
        <f>W96 - Z80 - Z91 - Z43 + Z38*Z86</f>
        <v>36.783999999999999</v>
      </c>
    </row>
    <row r="97" spans="1:26" ht="17" x14ac:dyDescent="0.2">
      <c r="A97" s="47"/>
      <c r="B97" s="51"/>
      <c r="C97" s="37"/>
      <c r="F97" s="14" t="s">
        <v>72</v>
      </c>
      <c r="H97" s="4">
        <f>H63*H39</f>
        <v>0</v>
      </c>
      <c r="K97" s="4">
        <f>H97 - K81 - K92 - K44 + K39*K87</f>
        <v>0</v>
      </c>
      <c r="N97" s="4">
        <f>K97 - N81 - N92 - N44 + N39*N87</f>
        <v>0</v>
      </c>
      <c r="Q97" s="4">
        <f>N97 - Q81 - Q92 - Q44 + Q39*Q87</f>
        <v>0.92</v>
      </c>
      <c r="T97" s="4">
        <f>Q97 - T81 - T92 - T44 + T39*T87</f>
        <v>5.5181600000000008</v>
      </c>
      <c r="W97" s="4">
        <f>T97 - W81 - W92 - W44 + W39*W87</f>
        <v>16.547123679999999</v>
      </c>
      <c r="Z97" s="4">
        <f>W97 - Z81 - Z92 - Z44 + Z39*Z87</f>
        <v>27.581600000000005</v>
      </c>
    </row>
    <row r="98" spans="1:26" ht="17" customHeight="1" x14ac:dyDescent="0.2">
      <c r="A98" s="47"/>
      <c r="B98" s="51"/>
      <c r="C98" s="37"/>
      <c r="F98" s="14" t="s">
        <v>81</v>
      </c>
      <c r="H98" s="4">
        <f>H64*H40</f>
        <v>0</v>
      </c>
      <c r="K98" s="4">
        <f>H98 - K82 - K93 - K45 + K40*K88</f>
        <v>0</v>
      </c>
      <c r="N98" s="4">
        <f>K98 - N82 - N93 - N45 + N40*N88</f>
        <v>0</v>
      </c>
      <c r="Q98" s="4">
        <f>N98 - Q82 - Q93 - Q45 + Q40*Q88</f>
        <v>0</v>
      </c>
      <c r="T98" s="4">
        <f>Q98 - T82 - T93 - T45 + T40*T88</f>
        <v>0.43</v>
      </c>
      <c r="W98" s="4">
        <f>T98 - W82 - W93 - W45 + W40*W88</f>
        <v>2.5791399999999998</v>
      </c>
      <c r="Z98" s="4">
        <f>W98 - Z82 - Z93 - Z45 + Z40*Z88</f>
        <v>7.7339817200000001</v>
      </c>
    </row>
    <row r="99" spans="1:26" x14ac:dyDescent="0.2">
      <c r="E99" s="35"/>
      <c r="F99" s="14"/>
    </row>
    <row r="100" spans="1:26" ht="17" x14ac:dyDescent="0.2">
      <c r="A100" s="47" t="s">
        <v>210</v>
      </c>
      <c r="B100" s="51"/>
      <c r="C100" s="37" t="s">
        <v>174</v>
      </c>
      <c r="E100" s="35"/>
      <c r="F100" s="14" t="s">
        <v>211</v>
      </c>
      <c r="H100" s="4">
        <f>H95*$H$20</f>
        <v>0</v>
      </c>
      <c r="K100" s="4">
        <f>K95*$H$20</f>
        <v>0.21249999999999999</v>
      </c>
      <c r="N100" s="4">
        <f>N95*$H$20</f>
        <v>1.274575</v>
      </c>
      <c r="Q100" s="4">
        <f>Q95*$H$20</f>
        <v>3.8220258499999997</v>
      </c>
      <c r="T100" s="4">
        <f>T95*$H$20</f>
        <v>8.0643817982999995</v>
      </c>
      <c r="W100" s="4">
        <f>W95*$H$20</f>
        <v>9.7707499999999996</v>
      </c>
      <c r="Z100" s="4">
        <f>Z95*$H$20</f>
        <v>13.963766094085869</v>
      </c>
    </row>
    <row r="101" spans="1:26" ht="17" x14ac:dyDescent="0.2">
      <c r="A101" s="47"/>
      <c r="B101" s="51"/>
      <c r="C101" s="37"/>
      <c r="E101" s="35"/>
      <c r="F101" s="14" t="s">
        <v>212</v>
      </c>
      <c r="H101" s="4">
        <f t="shared" ref="H101:H103" si="9">H96*$H$20</f>
        <v>0</v>
      </c>
      <c r="K101" s="4">
        <f t="shared" ref="K101:K103" si="10">K96*$H$20</f>
        <v>0</v>
      </c>
      <c r="N101" s="4">
        <f t="shared" ref="N101:N103" si="11">N96*$H$20</f>
        <v>0.2</v>
      </c>
      <c r="Q101" s="4">
        <f t="shared" ref="Q101:Q103" si="12">Q96*$H$20</f>
        <v>1.1996</v>
      </c>
      <c r="T101" s="4">
        <f t="shared" ref="T101:T103" si="13">T96*$H$20</f>
        <v>3.5972008</v>
      </c>
      <c r="W101" s="4">
        <f t="shared" ref="W101:W103" si="14">W96*$H$20</f>
        <v>5.9960000000000004</v>
      </c>
      <c r="Z101" s="4">
        <f t="shared" ref="Z101:Z103" si="15">Z96*$H$20</f>
        <v>9.1959999999999997</v>
      </c>
    </row>
    <row r="102" spans="1:26" ht="17" x14ac:dyDescent="0.2">
      <c r="A102" s="47"/>
      <c r="B102" s="51"/>
      <c r="C102" s="37"/>
      <c r="E102" s="35"/>
      <c r="F102" s="14" t="s">
        <v>213</v>
      </c>
      <c r="H102" s="4">
        <f>H97*$H$20</f>
        <v>0</v>
      </c>
      <c r="K102" s="4">
        <f>K97*$H$20</f>
        <v>0</v>
      </c>
      <c r="N102" s="4">
        <f>N97*$H$20</f>
        <v>0</v>
      </c>
      <c r="Q102" s="4">
        <f>Q97*$H$20</f>
        <v>0.23</v>
      </c>
      <c r="T102" s="4">
        <f>T97*$H$20</f>
        <v>1.3795400000000002</v>
      </c>
      <c r="W102" s="4">
        <f>W97*$H$20</f>
        <v>4.1367809199999996</v>
      </c>
      <c r="Z102" s="4">
        <f>Z97*$H$20</f>
        <v>6.8954000000000013</v>
      </c>
    </row>
    <row r="103" spans="1:26" ht="17" x14ac:dyDescent="0.2">
      <c r="A103" s="47"/>
      <c r="B103" s="51"/>
      <c r="C103" s="37"/>
      <c r="E103" s="35"/>
      <c r="F103" s="14" t="s">
        <v>214</v>
      </c>
      <c r="H103" s="4">
        <f t="shared" si="9"/>
        <v>0</v>
      </c>
      <c r="K103" s="4">
        <f t="shared" si="10"/>
        <v>0</v>
      </c>
      <c r="N103" s="4">
        <f t="shared" si="11"/>
        <v>0</v>
      </c>
      <c r="Q103" s="4">
        <f t="shared" si="12"/>
        <v>0</v>
      </c>
      <c r="T103" s="4">
        <f t="shared" si="13"/>
        <v>0.1075</v>
      </c>
      <c r="W103" s="4">
        <f t="shared" si="14"/>
        <v>0.64478499999999994</v>
      </c>
      <c r="Z103" s="4">
        <f t="shared" si="15"/>
        <v>1.93349543</v>
      </c>
    </row>
    <row r="104" spans="1:26" x14ac:dyDescent="0.2">
      <c r="A104" s="38"/>
      <c r="B104" s="38"/>
      <c r="C104" s="45"/>
      <c r="E104" s="35"/>
      <c r="F104" s="14"/>
    </row>
    <row r="105" spans="1:26" x14ac:dyDescent="0.2">
      <c r="A105" s="38"/>
      <c r="B105" s="38"/>
      <c r="C105" s="45"/>
      <c r="E105" s="35"/>
      <c r="F105" s="14"/>
    </row>
    <row r="106" spans="1:26" ht="17" x14ac:dyDescent="0.2">
      <c r="E106" s="35"/>
      <c r="F106" s="15" t="s">
        <v>140</v>
      </c>
      <c r="G106" s="8" t="s">
        <v>124</v>
      </c>
      <c r="H106" s="8"/>
    </row>
    <row r="107" spans="1:26" ht="17" x14ac:dyDescent="0.2">
      <c r="A107" s="49" t="s">
        <v>239</v>
      </c>
      <c r="B107" s="49"/>
      <c r="C107" s="44" t="s">
        <v>182</v>
      </c>
      <c r="E107" s="35"/>
      <c r="F107" s="14" t="s">
        <v>90</v>
      </c>
      <c r="G107" s="4">
        <f>$G$28</f>
        <v>0.3</v>
      </c>
      <c r="H107" s="4">
        <f>$H$28</f>
        <v>0.92</v>
      </c>
      <c r="J107" s="4">
        <f>$G$28</f>
        <v>0.3</v>
      </c>
      <c r="K107" s="4">
        <f>$H$28</f>
        <v>0.92</v>
      </c>
      <c r="M107" s="4">
        <f>$G$28</f>
        <v>0.3</v>
      </c>
      <c r="N107" s="4">
        <f>$H$28</f>
        <v>0.92</v>
      </c>
      <c r="P107" s="4">
        <f>$G$28</f>
        <v>0.3</v>
      </c>
      <c r="Q107" s="4">
        <f>$H$28</f>
        <v>0.92</v>
      </c>
      <c r="S107" s="4">
        <f>$G$28</f>
        <v>0.3</v>
      </c>
      <c r="T107" s="4">
        <f>$H$28</f>
        <v>0.92</v>
      </c>
      <c r="V107" s="4">
        <f>$G$28</f>
        <v>0.3</v>
      </c>
      <c r="W107" s="4">
        <f>$H$28</f>
        <v>0.92</v>
      </c>
      <c r="Y107" s="4">
        <f>$G$28</f>
        <v>0.3</v>
      </c>
      <c r="Z107" s="4">
        <f>$H$28</f>
        <v>0.92</v>
      </c>
    </row>
    <row r="108" spans="1:26" ht="17" x14ac:dyDescent="0.2">
      <c r="A108" s="49" t="s">
        <v>240</v>
      </c>
      <c r="B108" s="49"/>
      <c r="C108" s="40" t="s">
        <v>174</v>
      </c>
      <c r="F108" s="14" t="s">
        <v>141</v>
      </c>
      <c r="G108" s="4">
        <f>G7*$G$19</f>
        <v>1500000</v>
      </c>
      <c r="H108" s="4">
        <f>H7*$H$19</f>
        <v>25000000</v>
      </c>
      <c r="J108" s="4">
        <f>J7*$G$19</f>
        <v>1492500</v>
      </c>
      <c r="K108" s="4">
        <f>K7*$H$19</f>
        <v>24990000</v>
      </c>
      <c r="M108" s="4">
        <f>M7*$G$19</f>
        <v>1483200</v>
      </c>
      <c r="N108" s="4">
        <f>N7*$H$19</f>
        <v>24979000</v>
      </c>
      <c r="P108" s="4">
        <f>P7*$G$19</f>
        <v>1474500</v>
      </c>
      <c r="Q108" s="4">
        <f>Q7*$H$19</f>
        <v>24969600</v>
      </c>
      <c r="S108" s="4">
        <f>S7*$G$19</f>
        <v>1464000</v>
      </c>
      <c r="T108" s="4">
        <f>T7*$H$19</f>
        <v>24950400</v>
      </c>
      <c r="V108" s="4">
        <f>V7*$G$19</f>
        <v>1449000</v>
      </c>
      <c r="W108" s="4">
        <f>W7*$H$19</f>
        <v>24946500</v>
      </c>
      <c r="Y108" s="4">
        <f>Y7*$G$19</f>
        <v>1434300</v>
      </c>
      <c r="Z108" s="4">
        <f>Z7*$H$19</f>
        <v>24936000</v>
      </c>
    </row>
    <row r="109" spans="1:26" ht="17" x14ac:dyDescent="0.2">
      <c r="A109" s="49" t="s">
        <v>183</v>
      </c>
      <c r="B109" s="49"/>
      <c r="C109" s="40" t="s">
        <v>174</v>
      </c>
      <c r="F109" s="14" t="s">
        <v>164</v>
      </c>
      <c r="G109" s="4">
        <v>1</v>
      </c>
      <c r="H109" s="4">
        <v>1</v>
      </c>
      <c r="J109" s="4">
        <f>IF(G111=0,0,MIN(MAX((G111/G108-$G$16)/($G$18-$G$16), 0), 1))</f>
        <v>1</v>
      </c>
      <c r="K109" s="4">
        <f>IF(H111=0,0,MIN(MAX((H111/H108-$G$16)/($G$18-$G$16), 0), 1))</f>
        <v>1</v>
      </c>
      <c r="M109" s="4">
        <f>IF(J111=0,0,MIN(MAX((J111/J108-$G$16)/($G$18-$G$16), 0), 1))</f>
        <v>1</v>
      </c>
      <c r="N109" s="4">
        <f>IF(K111=0,0,MIN(MAX((K111/K108-$G$16)/($G$18-$G$16), 0), 1))</f>
        <v>1</v>
      </c>
      <c r="P109" s="4">
        <f>IF(M111=0,0,MIN(MAX((M111/M108-$G$16)/($G$18-$G$16), 0), 1))</f>
        <v>1</v>
      </c>
      <c r="Q109" s="4">
        <f>IF(N111=0,0,MIN(MAX((N111/N108-$G$16)/($G$18-$G$16), 0), 1))</f>
        <v>1</v>
      </c>
      <c r="S109" s="4">
        <f>IF(P111=0,0,MIN(MAX((P111/P108-$G$16)/($G$18-$G$16), 0), 1))</f>
        <v>1</v>
      </c>
      <c r="T109" s="4">
        <f>IF(Q111=0,0,MIN(MAX((Q111/Q108-$G$16)/($G$18-$G$16), 0), 1))</f>
        <v>1</v>
      </c>
      <c r="V109" s="4">
        <f>IF(S111=0,0,MIN(MAX((S111/S108-$G$16)/($G$18-$G$16), 0), 1))</f>
        <v>1</v>
      </c>
      <c r="W109" s="4">
        <f>IF(T111=0,0,MIN(MAX((T111/T108-$G$16)/($G$18-$G$16), 0), 1))</f>
        <v>1</v>
      </c>
      <c r="Y109" s="4">
        <f>IF(V111=0,0,MIN(MAX((V111/V108-$G$16)/($G$18-$G$16), 0), 1))</f>
        <v>1</v>
      </c>
      <c r="Z109" s="4">
        <f>IF(W111=0,0,MIN(MAX((W111/W108-$G$16)/($G$18-$G$16), 0), 1))</f>
        <v>0.89478919993714923</v>
      </c>
    </row>
    <row r="110" spans="1:26" ht="17" x14ac:dyDescent="0.2">
      <c r="A110" s="49" t="s">
        <v>184</v>
      </c>
      <c r="B110" s="49"/>
      <c r="C110" s="43" t="s">
        <v>163</v>
      </c>
      <c r="F110" s="14" t="s">
        <v>131</v>
      </c>
      <c r="G110" s="4">
        <f>G107</f>
        <v>0.3</v>
      </c>
      <c r="H110" s="4">
        <f>H107</f>
        <v>0.92</v>
      </c>
      <c r="J110" s="4">
        <f xml:space="preserve"> J107*J109</f>
        <v>0.3</v>
      </c>
      <c r="K110" s="4">
        <f>K107*K109</f>
        <v>0.92</v>
      </c>
      <c r="M110" s="4">
        <f xml:space="preserve"> M107*M109</f>
        <v>0.3</v>
      </c>
      <c r="N110" s="4">
        <f>N107*N109</f>
        <v>0.92</v>
      </c>
      <c r="P110" s="4">
        <f xml:space="preserve"> P107*P109</f>
        <v>0.3</v>
      </c>
      <c r="Q110" s="4">
        <f>Q107*Q109</f>
        <v>0.92</v>
      </c>
      <c r="S110" s="4">
        <f xml:space="preserve"> S107*S109</f>
        <v>0.3</v>
      </c>
      <c r="T110" s="4">
        <f>T107*T109</f>
        <v>0.92</v>
      </c>
      <c r="V110" s="4">
        <f xml:space="preserve"> V107*V109</f>
        <v>0.3</v>
      </c>
      <c r="W110" s="4">
        <f>W107*W109</f>
        <v>0.92</v>
      </c>
      <c r="Y110" s="4">
        <f xml:space="preserve"> Y107*Y109</f>
        <v>0.3</v>
      </c>
      <c r="Z110" s="4">
        <f>Z107*Z109</f>
        <v>0.82320606394217732</v>
      </c>
    </row>
    <row r="111" spans="1:26" ht="17" x14ac:dyDescent="0.2">
      <c r="A111" s="49" t="s">
        <v>241</v>
      </c>
      <c r="B111" s="49"/>
      <c r="C111" s="43" t="s">
        <v>163</v>
      </c>
      <c r="F111" s="14" t="s">
        <v>172</v>
      </c>
      <c r="G111" s="4">
        <f>G7*G19</f>
        <v>1500000</v>
      </c>
      <c r="H111" s="4">
        <f>H7*H19</f>
        <v>25000000</v>
      </c>
      <c r="J111" s="4">
        <f>G111 - G132 - G120 - G143+J110*J7</f>
        <v>1421423.1421982395</v>
      </c>
      <c r="K111" s="4">
        <f>H111 - H132 - H120 - H143 + K110*K7</f>
        <v>23256357.107801761</v>
      </c>
      <c r="M111" s="4">
        <f>J111 - J132 - J120 - J143+M110*M7</f>
        <v>1339098.0188325029</v>
      </c>
      <c r="N111" s="4">
        <f>K111 - K132 - K120 - K143 + N110*N7</f>
        <v>21469509.138674762</v>
      </c>
      <c r="P111" s="4">
        <f>M111 - M132 - M120 - M143+P110*P7</f>
        <v>1262299.2941418488</v>
      </c>
      <c r="Q111" s="4">
        <f>N111 - N132 - N120 - N143 + Q110*Q7</f>
        <v>19621955.060604014</v>
      </c>
      <c r="S111" s="4">
        <f>P111 - P132 - P120 - P143+S110*S7</f>
        <v>1188284.3985157635</v>
      </c>
      <c r="T111" s="4">
        <f>Q111 - Q132 - Q120 - Q143 + T110*T7</f>
        <v>17672326.749100834</v>
      </c>
      <c r="V111" s="4">
        <f>S111 - S132 - S120 - S143+V110*V7</f>
        <v>1097914.9513435864</v>
      </c>
      <c r="W111" s="4">
        <f>T111 - T132 - T120 - T143 + W110*W7</f>
        <v>14958270.021299271</v>
      </c>
      <c r="Y111" s="4">
        <f>V111 - V132 - V120 - V143+Y110*Y7</f>
        <v>819907.25085905532</v>
      </c>
      <c r="Z111" s="4">
        <f>W111 - W132 - W120 - W143 + Z110*Z7</f>
        <v>3187373.6439100648</v>
      </c>
    </row>
    <row r="112" spans="1:26" ht="17" x14ac:dyDescent="0.2">
      <c r="A112" s="49" t="s">
        <v>244</v>
      </c>
      <c r="B112" s="49"/>
      <c r="C112" s="43" t="s">
        <v>163</v>
      </c>
      <c r="F112" s="14" t="s">
        <v>142</v>
      </c>
      <c r="G112" s="4">
        <f>G111/G7</f>
        <v>150</v>
      </c>
      <c r="H112" s="4">
        <f>H111/H7</f>
        <v>100</v>
      </c>
      <c r="J112" s="4">
        <f>J111/J7</f>
        <v>142.85659720585321</v>
      </c>
      <c r="K112" s="4">
        <f>K111/K7</f>
        <v>93.062653492604085</v>
      </c>
      <c r="M112" s="4">
        <f>M111/M7</f>
        <v>135.42657957448452</v>
      </c>
      <c r="N112" s="4">
        <f>N111/N7</f>
        <v>85.950234751890633</v>
      </c>
      <c r="P112" s="4">
        <f>P111/P7</f>
        <v>128.4129495566479</v>
      </c>
      <c r="Q112" s="4">
        <f>Q111/Q7</f>
        <v>78.583377629613665</v>
      </c>
      <c r="S112" s="4">
        <f>S111/S7</f>
        <v>121.75045066759871</v>
      </c>
      <c r="T112" s="4">
        <f>T111/T7</f>
        <v>70.829833385840843</v>
      </c>
      <c r="V112" s="4">
        <f>V111/V7</f>
        <v>113.65579206455347</v>
      </c>
      <c r="W112" s="4">
        <f>W111/W7</f>
        <v>59.961397475795287</v>
      </c>
      <c r="Y112" s="4">
        <f>Y111/Y7</f>
        <v>85.746418203205948</v>
      </c>
      <c r="Z112" s="4">
        <f>Z111/Z7</f>
        <v>12.782217051291566</v>
      </c>
    </row>
    <row r="113" spans="1:26" ht="34" x14ac:dyDescent="0.2">
      <c r="A113" s="49" t="s">
        <v>282</v>
      </c>
      <c r="B113" s="49"/>
      <c r="C113" s="40" t="s">
        <v>174</v>
      </c>
      <c r="F113" s="10" t="s">
        <v>75</v>
      </c>
      <c r="G113" s="4">
        <f>MAX(G112-$G21,0)</f>
        <v>149.85</v>
      </c>
      <c r="H113" s="4">
        <f>MAX(H112-$H21,0)</f>
        <v>99.9</v>
      </c>
      <c r="J113" s="4">
        <f>MAX(J112-$G21,0)</f>
        <v>142.7065972058532</v>
      </c>
      <c r="K113" s="4">
        <f>MAX(K112-$H21,0)</f>
        <v>92.96265349260409</v>
      </c>
      <c r="M113" s="4">
        <f>MAX(M112-$G21,0)</f>
        <v>135.27657957448451</v>
      </c>
      <c r="N113" s="4">
        <f>MAX(N112-$H21,0)</f>
        <v>85.850234751890639</v>
      </c>
      <c r="P113" s="4">
        <f>MAX(P112-$G21,0)</f>
        <v>128.2629495566479</v>
      </c>
      <c r="Q113" s="4">
        <f>MAX(Q112-$H21,0)</f>
        <v>78.48337762961367</v>
      </c>
      <c r="S113" s="4">
        <f>MAX(S112-$G21,0)</f>
        <v>121.60045066759871</v>
      </c>
      <c r="T113" s="4">
        <f>MAX(T112-$H21,0)</f>
        <v>70.729833385840848</v>
      </c>
      <c r="V113" s="4">
        <f>MAX(V112-$G21,0)</f>
        <v>113.50579206455346</v>
      </c>
      <c r="W113" s="4">
        <f>MAX(W112-$H21,0)</f>
        <v>59.861397475795286</v>
      </c>
      <c r="Y113" s="4">
        <f>MAX(Y112-$G21,0)</f>
        <v>85.596418203205943</v>
      </c>
      <c r="Z113" s="4">
        <f>MAX(Z112-$H21,0)</f>
        <v>12.682217051291566</v>
      </c>
    </row>
    <row r="114" spans="1:26" x14ac:dyDescent="0.2">
      <c r="F114" s="13"/>
    </row>
    <row r="115" spans="1:26" ht="17" x14ac:dyDescent="0.2">
      <c r="F115" s="11" t="s">
        <v>58</v>
      </c>
      <c r="G115" s="12"/>
      <c r="H115" s="12"/>
      <c r="J115" s="12"/>
      <c r="K115" s="12"/>
      <c r="M115" s="12"/>
      <c r="N115" s="12"/>
      <c r="P115" s="12"/>
      <c r="Q115" s="12"/>
      <c r="S115" s="12"/>
      <c r="T115" s="12"/>
      <c r="V115" s="12"/>
      <c r="W115" s="12"/>
      <c r="Y115" s="12"/>
      <c r="Z115" s="12"/>
    </row>
    <row r="116" spans="1:26" ht="17" x14ac:dyDescent="0.2">
      <c r="A116" s="49" t="s">
        <v>246</v>
      </c>
      <c r="B116" s="49"/>
      <c r="C116" s="44" t="s">
        <v>182</v>
      </c>
      <c r="F116" s="10" t="s">
        <v>219</v>
      </c>
      <c r="G116" s="4">
        <f>G112*G7</f>
        <v>1500000</v>
      </c>
      <c r="H116" s="4">
        <f>H112*H7</f>
        <v>25000000</v>
      </c>
      <c r="J116" s="4">
        <f>J112*J7</f>
        <v>1421423.1421982395</v>
      </c>
      <c r="K116" s="4">
        <f>K112*K7</f>
        <v>23256357.107801761</v>
      </c>
      <c r="M116" s="4">
        <f>M112*M7</f>
        <v>1339098.0188325029</v>
      </c>
      <c r="N116" s="4">
        <f>N112*N7</f>
        <v>21469509.138674762</v>
      </c>
      <c r="P116" s="4">
        <f>P112*P7</f>
        <v>1262299.2941418488</v>
      </c>
      <c r="Q116" s="4">
        <f>Q112*Q7</f>
        <v>19621955.060604014</v>
      </c>
      <c r="S116" s="4">
        <f>S112*S7</f>
        <v>1188284.3985157635</v>
      </c>
      <c r="T116" s="4">
        <f>T112*T7</f>
        <v>17672326.749100834</v>
      </c>
      <c r="V116" s="4">
        <f>V112*V7</f>
        <v>1097914.9513435864</v>
      </c>
      <c r="W116" s="4">
        <f>W112*W7</f>
        <v>14958270.021299271</v>
      </c>
      <c r="Y116" s="4">
        <f>Y112*Y7</f>
        <v>819907.25085905532</v>
      </c>
      <c r="Z116" s="4">
        <f>Z112*Z7</f>
        <v>3187373.6439100648</v>
      </c>
    </row>
    <row r="117" spans="1:26" ht="17" x14ac:dyDescent="0.2">
      <c r="A117" s="49" t="s">
        <v>245</v>
      </c>
      <c r="B117" s="49"/>
      <c r="C117" s="43" t="s">
        <v>163</v>
      </c>
      <c r="F117" s="10" t="s">
        <v>218</v>
      </c>
      <c r="H117" s="4">
        <f>SUM(H95:H98)</f>
        <v>0</v>
      </c>
      <c r="K117" s="4">
        <f>SUM(K95:K98)</f>
        <v>0.85</v>
      </c>
      <c r="N117" s="4">
        <f>SUM(N95:N98)</f>
        <v>5.8982999999999999</v>
      </c>
      <c r="Q117" s="4">
        <f>SUM(Q95:Q98)</f>
        <v>21.0065034</v>
      </c>
      <c r="T117" s="4">
        <f>SUM(T95:T98)</f>
        <v>52.594490393199997</v>
      </c>
      <c r="W117" s="4">
        <f>SUM(W95:W98)</f>
        <v>82.193263680000001</v>
      </c>
      <c r="Z117" s="4">
        <f>SUM(Z95:Z98)</f>
        <v>127.95464609634348</v>
      </c>
    </row>
    <row r="118" spans="1:26" ht="17" x14ac:dyDescent="0.2">
      <c r="A118" s="49" t="s">
        <v>242</v>
      </c>
      <c r="B118" s="49"/>
      <c r="C118" s="43" t="s">
        <v>163</v>
      </c>
      <c r="F118" s="10" t="s">
        <v>217</v>
      </c>
      <c r="G118" s="4">
        <f>G116+G117</f>
        <v>1500000</v>
      </c>
      <c r="H118" s="4">
        <f>H116+H117</f>
        <v>25000000</v>
      </c>
      <c r="J118" s="4">
        <f>J116+J117</f>
        <v>1421423.1421982395</v>
      </c>
      <c r="K118" s="4">
        <f>K116+K117</f>
        <v>23256357.957801763</v>
      </c>
      <c r="M118" s="4">
        <f>M116+M117</f>
        <v>1339098.0188325029</v>
      </c>
      <c r="N118" s="4">
        <f>N116+N117</f>
        <v>21469515.036974762</v>
      </c>
      <c r="P118" s="4">
        <f>P116+P117</f>
        <v>1262299.2941418488</v>
      </c>
      <c r="Q118" s="4">
        <f>Q116+Q117</f>
        <v>19621976.067107413</v>
      </c>
      <c r="S118" s="4">
        <f>S116+S117</f>
        <v>1188284.3985157635</v>
      </c>
      <c r="T118" s="4">
        <f>T116+T117</f>
        <v>17672379.343591228</v>
      </c>
      <c r="V118" s="4">
        <f>V116+V117</f>
        <v>1097914.9513435864</v>
      </c>
      <c r="W118" s="4">
        <f>W116+W117</f>
        <v>14958352.214562951</v>
      </c>
      <c r="Y118" s="4">
        <f>Y116+Y117</f>
        <v>819907.25085905532</v>
      </c>
      <c r="Z118" s="4">
        <f>Z116+Z117</f>
        <v>3187501.5985561614</v>
      </c>
    </row>
    <row r="119" spans="1:26" ht="17" x14ac:dyDescent="0.2">
      <c r="A119" s="49" t="s">
        <v>243</v>
      </c>
      <c r="B119" s="49"/>
      <c r="C119" s="43" t="s">
        <v>163</v>
      </c>
      <c r="F119" s="10" t="s">
        <v>220</v>
      </c>
      <c r="G119" s="4">
        <f>G111*$G$20</f>
        <v>450000</v>
      </c>
      <c r="H119" s="4">
        <f>H111*$H$20</f>
        <v>6250000</v>
      </c>
      <c r="J119" s="4">
        <f>J111*$G$20</f>
        <v>426426.94265947182</v>
      </c>
      <c r="K119" s="4">
        <f>K111*$H$20</f>
        <v>5814089.2769504404</v>
      </c>
      <c r="M119" s="4">
        <f>M111*$G$20</f>
        <v>401729.40564975084</v>
      </c>
      <c r="N119" s="4">
        <f>N111*$H$20</f>
        <v>5367377.2846686905</v>
      </c>
      <c r="P119" s="4">
        <f>P111*$G$20</f>
        <v>378689.78824255464</v>
      </c>
      <c r="Q119" s="4">
        <f>Q111*$H$20</f>
        <v>4905488.7651510034</v>
      </c>
      <c r="S119" s="4">
        <f>S111*$G$20</f>
        <v>356485.31955472904</v>
      </c>
      <c r="T119" s="4">
        <f>T111*$H$20</f>
        <v>4418081.6872752085</v>
      </c>
      <c r="V119" s="4">
        <f>V111*$G$20</f>
        <v>329374.48540307593</v>
      </c>
      <c r="W119" s="4">
        <f>W111*$H$20</f>
        <v>3739567.5053248177</v>
      </c>
      <c r="Y119" s="4">
        <f>Y111*$G$20</f>
        <v>245972.17525771659</v>
      </c>
      <c r="Z119" s="4">
        <f>Z111*$H$20</f>
        <v>796843.41097751621</v>
      </c>
    </row>
    <row r="120" spans="1:26" ht="17" x14ac:dyDescent="0.2">
      <c r="A120" s="49" t="s">
        <v>281</v>
      </c>
      <c r="B120" s="49"/>
      <c r="C120" s="40" t="s">
        <v>174</v>
      </c>
      <c r="F120" s="10" t="s">
        <v>269</v>
      </c>
      <c r="G120" s="4">
        <f>G9*G112</f>
        <v>7500</v>
      </c>
      <c r="H120" s="4">
        <f>H9*H112</f>
        <v>10000</v>
      </c>
      <c r="J120" s="4">
        <f>J9*J112</f>
        <v>8857.1090267628988</v>
      </c>
      <c r="K120" s="4">
        <f>K9*K112</f>
        <v>10236.891884186449</v>
      </c>
      <c r="M120" s="4">
        <f>M9*M112</f>
        <v>7854.741615320102</v>
      </c>
      <c r="N120" s="4">
        <f>N9*N112</f>
        <v>8079.3220666777197</v>
      </c>
      <c r="P120" s="4">
        <f>P9*P112</f>
        <v>8988.9064689653533</v>
      </c>
      <c r="Q120" s="4">
        <f>Q9*Q112</f>
        <v>15088.008504885824</v>
      </c>
      <c r="S120" s="4">
        <f>S9*S112</f>
        <v>12175.045066759871</v>
      </c>
      <c r="T120" s="4">
        <f>T9*T112</f>
        <v>2762.3635020477927</v>
      </c>
      <c r="V120" s="4">
        <f>V9*V112</f>
        <v>11138.267622326241</v>
      </c>
      <c r="W120" s="4">
        <f>W9*W112</f>
        <v>6295.9467349585047</v>
      </c>
      <c r="Y120" s="4">
        <f>Y9*Y112</f>
        <v>8403.1489839141832</v>
      </c>
      <c r="Z120" s="4">
        <f>Z9*Z112</f>
        <v>1482.7371779498217</v>
      </c>
    </row>
    <row r="121" spans="1:26" ht="17" x14ac:dyDescent="0.2">
      <c r="A121" s="49" t="s">
        <v>265</v>
      </c>
      <c r="B121" s="49"/>
      <c r="C121" s="40" t="s">
        <v>174</v>
      </c>
      <c r="F121" s="10" t="s">
        <v>270</v>
      </c>
      <c r="G121" s="4">
        <f>MIN(G120,G9*G15)</f>
        <v>250</v>
      </c>
      <c r="H121" s="4">
        <f>MIN(H120,H9*H15)</f>
        <v>1000</v>
      </c>
      <c r="J121" s="4">
        <f>MIN(J120,J9*J15)</f>
        <v>316.2</v>
      </c>
      <c r="K121" s="4">
        <f>MIN(K120,K9*K15)</f>
        <v>1078</v>
      </c>
      <c r="M121" s="4">
        <f>MIN(M120,M9*M15)</f>
        <v>301.60000000000002</v>
      </c>
      <c r="N121" s="4">
        <f>MIN(N120,N9*N15)</f>
        <v>921.2</v>
      </c>
      <c r="P121" s="4">
        <f>MIN(P120,P9*P15)</f>
        <v>329</v>
      </c>
      <c r="Q121" s="4">
        <f>MIN(Q120,Q9*Q15)</f>
        <v>1900.8000000000002</v>
      </c>
      <c r="S121" s="4">
        <f>MIN(S120,S9*S15)</f>
        <v>520</v>
      </c>
      <c r="T121" s="4">
        <f>MIN(T120,T9*T15)</f>
        <v>393.9</v>
      </c>
      <c r="V121" s="4">
        <f>MIN(V120,V9*V15)</f>
        <v>401.79999999999995</v>
      </c>
      <c r="W121" s="4">
        <f>MIN(W120,W9*W15)</f>
        <v>1155</v>
      </c>
      <c r="Y121" s="4">
        <f>MIN(Y120,Y9*Y15)</f>
        <v>499.79999999999995</v>
      </c>
      <c r="Z121" s="4">
        <f>MIN(Z120,Z9*Z15)</f>
        <v>1044</v>
      </c>
    </row>
    <row r="122" spans="1:26" ht="17" x14ac:dyDescent="0.2">
      <c r="A122" s="49" t="s">
        <v>283</v>
      </c>
      <c r="B122" s="49"/>
      <c r="C122" s="40" t="s">
        <v>174</v>
      </c>
      <c r="F122" s="10" t="s">
        <v>257</v>
      </c>
      <c r="G122" s="4">
        <f>(G120-G121)*$G$14</f>
        <v>5075</v>
      </c>
      <c r="H122" s="4">
        <f>(H120-H121+H53)*$G$14</f>
        <v>6300</v>
      </c>
      <c r="J122" s="4">
        <f>(J120-J121)*$G$14</f>
        <v>5978.6363187340285</v>
      </c>
      <c r="K122" s="4">
        <f>(K120-K121+K53)*$G$14</f>
        <v>6411.2243189305136</v>
      </c>
      <c r="M122" s="4">
        <f>(M120-M121)*$G$14</f>
        <v>5287.1991307240705</v>
      </c>
      <c r="N122" s="4">
        <f>(N120-N121+N53)*$G$14</f>
        <v>5010.6854466744035</v>
      </c>
      <c r="P122" s="4">
        <f>(P120-P121)*$G$14</f>
        <v>6061.9345282757467</v>
      </c>
      <c r="Q122" s="4">
        <f>(Q120-Q121+Q53)*$G$14</f>
        <v>9231.0459534200763</v>
      </c>
      <c r="S122" s="4">
        <f>(S120-S121)*$G$14</f>
        <v>8158.5315467319087</v>
      </c>
      <c r="T122" s="4">
        <f>(T120-T121+T53)*$G$14</f>
        <v>1657.9244514334548</v>
      </c>
      <c r="V122" s="4">
        <f>(V120-V121)*$G$14</f>
        <v>7515.5273356283687</v>
      </c>
      <c r="W122" s="4">
        <f>(W120-W121+W53)*$G$14</f>
        <v>3598.6627144709532</v>
      </c>
      <c r="Y122" s="4">
        <f>(Y120-Y121)*$G$14</f>
        <v>5532.3442887399278</v>
      </c>
      <c r="Z122" s="4">
        <f>(Z120-Z121+Z53)*$G$14</f>
        <v>307.11602456487515</v>
      </c>
    </row>
    <row r="123" spans="1:26" ht="17" x14ac:dyDescent="0.2">
      <c r="A123" s="49" t="s">
        <v>258</v>
      </c>
      <c r="B123" s="49"/>
      <c r="C123" s="43" t="s">
        <v>163</v>
      </c>
      <c r="F123" s="14" t="s">
        <v>255</v>
      </c>
      <c r="G123" s="4">
        <f>MIN(G122+H122, G32)</f>
        <v>11375</v>
      </c>
      <c r="J123" s="4">
        <f>MIN(J122+K122, J32)</f>
        <v>12389.860637664542</v>
      </c>
      <c r="M123" s="4">
        <f>MIN(M122+N122, M32)</f>
        <v>10297.884577398474</v>
      </c>
      <c r="P123" s="4">
        <f>MIN(P122+Q122, P32)</f>
        <v>15292.980481695824</v>
      </c>
      <c r="S123" s="4">
        <f>MIN(S122+T122, S32)</f>
        <v>9816.4559981653638</v>
      </c>
      <c r="V123" s="4">
        <f>MIN(V122+W122, V32)</f>
        <v>11114.190050099322</v>
      </c>
      <c r="Y123" s="4">
        <f>MIN(Y122+Z122, Y32)</f>
        <v>5839.4603133048031</v>
      </c>
    </row>
    <row r="124" spans="1:26" ht="17" x14ac:dyDescent="0.2">
      <c r="A124" s="49" t="s">
        <v>259</v>
      </c>
      <c r="B124" s="49"/>
      <c r="C124" s="40" t="s">
        <v>174</v>
      </c>
      <c r="F124" s="14" t="s">
        <v>271</v>
      </c>
      <c r="G124" s="4">
        <f>G122/(G122+H122)</f>
        <v>0.44615384615384618</v>
      </c>
      <c r="H124" s="4">
        <f>H122/(G122+H122)</f>
        <v>0.55384615384615388</v>
      </c>
      <c r="J124" s="4">
        <f>J122/(J122+K122)</f>
        <v>0.48254266077531816</v>
      </c>
      <c r="K124" s="4">
        <f>K122/(J122+K122)</f>
        <v>0.51745733922468184</v>
      </c>
      <c r="M124" s="4">
        <f>M122/(M122+N122)</f>
        <v>0.51342575176345207</v>
      </c>
      <c r="N124" s="4">
        <f>N122/(M122+N122)</f>
        <v>0.48657424823654793</v>
      </c>
      <c r="P124" s="4">
        <f>P122/(P122+Q122)</f>
        <v>0.39638673020810294</v>
      </c>
      <c r="Q124" s="4">
        <f>Q122/(P122+Q122)</f>
        <v>0.603613269791897</v>
      </c>
      <c r="S124" s="4">
        <f>S122/(S122+T122)</f>
        <v>0.83110763683519684</v>
      </c>
      <c r="T124" s="4">
        <f>T122/(S122+T122)</f>
        <v>0.16889236316480316</v>
      </c>
      <c r="V124" s="4">
        <f>V122/(V122+W122)</f>
        <v>0.67621007934457689</v>
      </c>
      <c r="W124" s="4">
        <f>W122/(V122+W122)</f>
        <v>0.32378992065542317</v>
      </c>
      <c r="Y124" s="4">
        <f>Y122/(Y122+Z122)</f>
        <v>0.94740677937905793</v>
      </c>
      <c r="Z124" s="4">
        <f>Z122/(Y122+Z122)</f>
        <v>5.2593220620942092E-2</v>
      </c>
    </row>
    <row r="125" spans="1:26" ht="34" x14ac:dyDescent="0.2">
      <c r="A125" s="49" t="s">
        <v>185</v>
      </c>
      <c r="B125" s="49"/>
      <c r="C125" s="40" t="s">
        <v>174</v>
      </c>
      <c r="F125" s="10" t="s">
        <v>121</v>
      </c>
      <c r="G125" s="4">
        <f>MAX(G13-G26, 0)*G113</f>
        <v>741757.5</v>
      </c>
      <c r="H125" s="4">
        <f>MAX(H13-H26, 0)*H113</f>
        <v>19970010</v>
      </c>
      <c r="J125" s="4">
        <f>MAX(J13-J26, 0)*J113</f>
        <v>697549.84714221046</v>
      </c>
      <c r="K125" s="4">
        <f>MAX(K13-K26, 0)*K113</f>
        <v>18573008.54128737</v>
      </c>
      <c r="M125" s="4">
        <f>MAX(M13-M26, 0)*M113</f>
        <v>585747.5895575179</v>
      </c>
      <c r="N125" s="4">
        <f>MAX(N13-N26, 0)*N113</f>
        <v>17143948.479013555</v>
      </c>
      <c r="P125" s="4">
        <f>MAX(P13-P26, 0)*P113</f>
        <v>482268.69033299608</v>
      </c>
      <c r="Q125" s="4">
        <f>MAX(Q13-Q26, 0)*Q113</f>
        <v>15657747.770618446</v>
      </c>
      <c r="S125" s="4">
        <f>MAX(S13-S26, 0)*S113</f>
        <v>384257.42410961189</v>
      </c>
      <c r="T125" s="4">
        <f>MAX(T13-T26, 0)*T113</f>
        <v>14178856.049692586</v>
      </c>
      <c r="V125" s="4">
        <f>MAX(V13-V26, 0)*V113</f>
        <v>268100.68085647526</v>
      </c>
      <c r="W125" s="4">
        <f>MAX(W13-W26, 0)*W113</f>
        <v>11963898.899512446</v>
      </c>
      <c r="Y125" s="4">
        <f>MAX(Y13-Y26, 0)*Y113</f>
        <v>193790.29081205826</v>
      </c>
      <c r="Z125" s="4">
        <f>MAX(Z13-Z26, 0)*Z113</f>
        <v>2533196.7626931826</v>
      </c>
    </row>
    <row r="127" spans="1:26" ht="17" x14ac:dyDescent="0.2">
      <c r="F127" s="15" t="s">
        <v>73</v>
      </c>
      <c r="G127" s="8"/>
      <c r="H127" s="8"/>
      <c r="J127" s="8"/>
      <c r="K127" s="8"/>
      <c r="M127" s="8"/>
      <c r="N127" s="8"/>
      <c r="P127" s="8"/>
      <c r="Q127" s="8"/>
      <c r="S127" s="8"/>
      <c r="T127" s="8"/>
      <c r="V127" s="8"/>
      <c r="W127" s="8"/>
      <c r="Y127" s="8"/>
      <c r="Z127" s="8"/>
    </row>
    <row r="128" spans="1:26" ht="17" x14ac:dyDescent="0.2">
      <c r="A128" s="49" t="s">
        <v>260</v>
      </c>
      <c r="B128" s="49"/>
      <c r="C128" s="40" t="s">
        <v>174</v>
      </c>
      <c r="F128" s="14" t="s">
        <v>262</v>
      </c>
      <c r="G128" s="4">
        <f>MAX(G32-G123,0)</f>
        <v>1988625</v>
      </c>
      <c r="J128" s="4">
        <f>MAX(J32-J123,0)</f>
        <v>2037610.1393623354</v>
      </c>
      <c r="M128" s="4">
        <f>MAX(M32-M123,0)</f>
        <v>2099702.1154226013</v>
      </c>
      <c r="P128" s="4">
        <f>MAX(P32-P123,0)</f>
        <v>2194707.0195183042</v>
      </c>
      <c r="S128" s="4">
        <f>MAX(S32-S123,0)</f>
        <v>2990183.5440018345</v>
      </c>
      <c r="V128" s="4">
        <f>MAX(V32-V123,0)</f>
        <v>24988885.809949901</v>
      </c>
      <c r="Y128" s="4">
        <f>MAX(Y32-Y123,0)</f>
        <v>2514160.5396866952</v>
      </c>
    </row>
    <row r="129" spans="1:29" ht="17" x14ac:dyDescent="0.2">
      <c r="A129" s="49" t="s">
        <v>261</v>
      </c>
      <c r="B129" s="49"/>
      <c r="C129" s="40" t="s">
        <v>174</v>
      </c>
      <c r="F129" s="10" t="s">
        <v>165</v>
      </c>
      <c r="G129" s="4">
        <f>MIN(G139,G128)</f>
        <v>1988625</v>
      </c>
      <c r="J129" s="4">
        <f>MIN(J139,J128)</f>
        <v>2037610.1393623354</v>
      </c>
      <c r="M129" s="4">
        <f>MIN(M139,M128)</f>
        <v>2099702.1154226013</v>
      </c>
      <c r="P129" s="4">
        <f>MIN(P139,P128)</f>
        <v>2194707.0195183042</v>
      </c>
      <c r="S129" s="4">
        <f>MIN(S139,S128)</f>
        <v>2990183.5440018345</v>
      </c>
      <c r="V129" s="4">
        <f>MIN(V139,V128)</f>
        <v>12231999.580368921</v>
      </c>
      <c r="Y129" s="4">
        <f>MIN(Y139,Y128)</f>
        <v>1789059.8013981958</v>
      </c>
    </row>
    <row r="130" spans="1:29" ht="17" x14ac:dyDescent="0.2">
      <c r="A130" s="49" t="s">
        <v>272</v>
      </c>
      <c r="B130" s="49"/>
      <c r="C130" s="40" t="s">
        <v>174</v>
      </c>
      <c r="F130" s="10" t="s">
        <v>123</v>
      </c>
      <c r="G130" s="4">
        <f>G128-G129</f>
        <v>0</v>
      </c>
      <c r="J130" s="4">
        <f>J128-J129</f>
        <v>0</v>
      </c>
      <c r="M130" s="4">
        <f>M128-M129</f>
        <v>0</v>
      </c>
      <c r="P130" s="4">
        <f>P128-P129</f>
        <v>0</v>
      </c>
      <c r="S130" s="4">
        <f>S128-S129</f>
        <v>0</v>
      </c>
      <c r="V130" s="4">
        <f>V128-V129</f>
        <v>12756886.22958098</v>
      </c>
      <c r="Y130" s="4">
        <f>Y128-Y129</f>
        <v>725100.73828849941</v>
      </c>
    </row>
    <row r="131" spans="1:29" ht="17" x14ac:dyDescent="0.2">
      <c r="A131" s="49" t="s">
        <v>216</v>
      </c>
      <c r="B131" s="49"/>
      <c r="C131" s="40" t="s">
        <v>174</v>
      </c>
      <c r="F131" s="10" t="s">
        <v>146</v>
      </c>
      <c r="G131" s="4">
        <f>MIN(G130,H76)</f>
        <v>0</v>
      </c>
      <c r="J131" s="4">
        <f>MIN(J130,K76)</f>
        <v>0</v>
      </c>
      <c r="M131" s="4">
        <f>MIN(M130,N76)</f>
        <v>0</v>
      </c>
      <c r="P131" s="4">
        <f>MIN(P130,Q76)</f>
        <v>0</v>
      </c>
      <c r="S131" s="4">
        <f>MIN(S130,T76)</f>
        <v>0</v>
      </c>
      <c r="V131" s="4">
        <f>MIN(V130,W76)</f>
        <v>30.146330393199996</v>
      </c>
      <c r="Y131" s="4">
        <f>MIN(Y130,Z76)</f>
        <v>53.914123679999996</v>
      </c>
    </row>
    <row r="132" spans="1:29" ht="17" x14ac:dyDescent="0.2">
      <c r="A132" s="49" t="s">
        <v>268</v>
      </c>
      <c r="B132" s="49"/>
      <c r="C132" s="40" t="s">
        <v>174</v>
      </c>
      <c r="F132" s="10" t="s">
        <v>120</v>
      </c>
      <c r="G132" s="4">
        <f>G140*G129</f>
        <v>71219.296394549616</v>
      </c>
      <c r="H132" s="4">
        <f>H140*G129</f>
        <v>1917405.7036054505</v>
      </c>
      <c r="J132" s="4">
        <f>J140*J129</f>
        <v>73756.795864359185</v>
      </c>
      <c r="K132" s="4">
        <f>K140*J129</f>
        <v>1963853.343497976</v>
      </c>
      <c r="M132" s="4">
        <f>M140*M129</f>
        <v>69369.234990881247</v>
      </c>
      <c r="N132" s="4">
        <f>N140*M129</f>
        <v>2030332.8804317201</v>
      </c>
      <c r="P132" s="4">
        <f>P140*P129</f>
        <v>65578.525432639595</v>
      </c>
      <c r="Q132" s="4">
        <f>Q140*P129</f>
        <v>2129128.4940856644</v>
      </c>
      <c r="S132" s="4">
        <f>S140*S129</f>
        <v>78897.979357233533</v>
      </c>
      <c r="T132" s="4">
        <f>T140*S129</f>
        <v>2911285.5646446007</v>
      </c>
      <c r="V132" s="4">
        <f>V140*V129</f>
        <v>268100.68085647526</v>
      </c>
      <c r="W132" s="4">
        <f>W140*V129</f>
        <v>11963898.899512446</v>
      </c>
      <c r="Y132" s="4">
        <f>Y140*Y129</f>
        <v>193790.29081205826</v>
      </c>
      <c r="Z132" s="4">
        <f>Z140*Y129</f>
        <v>1595269.5105861374</v>
      </c>
    </row>
    <row r="133" spans="1:29" ht="17" x14ac:dyDescent="0.2">
      <c r="A133" s="49" t="s">
        <v>273</v>
      </c>
      <c r="B133" s="49"/>
      <c r="C133" s="43" t="s">
        <v>163</v>
      </c>
      <c r="F133" s="10" t="s">
        <v>165</v>
      </c>
      <c r="G133" s="4">
        <f>G132</f>
        <v>71219.296394549616</v>
      </c>
      <c r="H133" s="4">
        <f>H132+G131</f>
        <v>1917405.7036054505</v>
      </c>
      <c r="J133" s="4">
        <f>J132</f>
        <v>73756.795864359185</v>
      </c>
      <c r="K133" s="4">
        <f>K132+J131</f>
        <v>1963853.343497976</v>
      </c>
      <c r="M133" s="4">
        <f>M132</f>
        <v>69369.234990881247</v>
      </c>
      <c r="N133" s="4">
        <f>N132+M131</f>
        <v>2030332.8804317201</v>
      </c>
      <c r="P133" s="4">
        <f>P132</f>
        <v>65578.525432639595</v>
      </c>
      <c r="Q133" s="4">
        <f>Q132+P131</f>
        <v>2129128.4940856644</v>
      </c>
      <c r="S133" s="4">
        <f>S132</f>
        <v>78897.979357233533</v>
      </c>
      <c r="T133" s="4">
        <f>T132+S131</f>
        <v>2911285.5646446007</v>
      </c>
      <c r="V133" s="4">
        <f>V132</f>
        <v>268100.68085647526</v>
      </c>
      <c r="W133" s="4">
        <f>W132+V131</f>
        <v>11963929.045842839</v>
      </c>
      <c r="Y133" s="4">
        <f>Y132</f>
        <v>193790.29081205826</v>
      </c>
      <c r="Z133" s="4">
        <f>Z132+Y131</f>
        <v>1595323.4247098174</v>
      </c>
    </row>
    <row r="134" spans="1:29" ht="17" x14ac:dyDescent="0.2">
      <c r="F134" s="15" t="s">
        <v>74</v>
      </c>
      <c r="G134" s="8"/>
      <c r="H134" s="8"/>
      <c r="J134" s="8"/>
      <c r="K134" s="8"/>
      <c r="M134" s="8"/>
      <c r="N134" s="8"/>
      <c r="P134" s="8"/>
      <c r="Q134" s="8"/>
      <c r="S134" s="8"/>
      <c r="T134" s="8"/>
      <c r="V134" s="8"/>
      <c r="W134" s="8"/>
      <c r="Y134" s="8"/>
      <c r="Z134" s="8"/>
    </row>
    <row r="135" spans="1:29" ht="34" x14ac:dyDescent="0.2">
      <c r="A135" s="49" t="s">
        <v>276</v>
      </c>
      <c r="B135" s="49"/>
      <c r="C135" s="40" t="s">
        <v>174</v>
      </c>
      <c r="F135" s="10" t="s">
        <v>137</v>
      </c>
      <c r="G135" s="4">
        <f>G113/$G$22</f>
        <v>1</v>
      </c>
      <c r="H135" s="4">
        <f>H113/$H$22</f>
        <v>1</v>
      </c>
      <c r="J135" s="4">
        <f>J113/$G$22</f>
        <v>0.95232964435003808</v>
      </c>
      <c r="K135" s="4">
        <f>K113/$H$22</f>
        <v>0.93055709201805892</v>
      </c>
      <c r="M135" s="4">
        <f>M113/$G$22</f>
        <v>0.9027466104403371</v>
      </c>
      <c r="N135" s="4">
        <f>N113/$H$22</f>
        <v>0.85936170922813448</v>
      </c>
      <c r="P135" s="4">
        <f>P113/$G$22</f>
        <v>0.85594227265030298</v>
      </c>
      <c r="Q135" s="4">
        <f>Q113/$H$22</f>
        <v>0.78561939569182848</v>
      </c>
      <c r="S135" s="4">
        <f>S113/$G$22</f>
        <v>0.81148115226959439</v>
      </c>
      <c r="T135" s="4">
        <f>T113/$H$22</f>
        <v>0.70800634019860709</v>
      </c>
      <c r="V135" s="4">
        <f>V113/$G$22</f>
        <v>0.75746274317353002</v>
      </c>
      <c r="W135" s="4">
        <f>W113/$H$22</f>
        <v>0.59921318794589873</v>
      </c>
      <c r="Y135" s="4">
        <f>Y113/$G$22</f>
        <v>0.57121400202339634</v>
      </c>
      <c r="Z135" s="4">
        <f>Z113/$H$22</f>
        <v>0.12694911963254821</v>
      </c>
      <c r="AA135">
        <v>0.5</v>
      </c>
      <c r="AB135">
        <f>SUM(AA$6:AA135)</f>
        <v>0.5</v>
      </c>
      <c r="AC135">
        <v>20</v>
      </c>
    </row>
    <row r="136" spans="1:29" ht="17" x14ac:dyDescent="0.2">
      <c r="A136" s="49" t="s">
        <v>186</v>
      </c>
      <c r="B136" s="49"/>
      <c r="C136" s="40" t="s">
        <v>174</v>
      </c>
      <c r="F136" s="10" t="s">
        <v>187</v>
      </c>
      <c r="G136" s="4">
        <f>MAX(MIN((G135-$G$16)/$G$17, 1), 0)</f>
        <v>1</v>
      </c>
      <c r="H136" s="4">
        <f>MAX(MIN((H135-$G$16)/$G$17, 1), 0)</f>
        <v>1</v>
      </c>
      <c r="J136" s="4">
        <f>MAX(MIN((J135-$G$16)/$G$17, 1), 0)</f>
        <v>1</v>
      </c>
      <c r="K136" s="4">
        <f>MAX(MIN((K135-$G$16)/$G$17, 1), 0)</f>
        <v>1</v>
      </c>
      <c r="M136" s="4">
        <f>MAX(MIN((M135-$G$16)/$G$17, 1), 0)</f>
        <v>1</v>
      </c>
      <c r="N136" s="4">
        <f>MAX(MIN((N135-$G$16)/$G$17, 1), 0)</f>
        <v>1</v>
      </c>
      <c r="P136" s="4">
        <f>MAX(MIN((P135-$G$16)/$G$17, 1), 0)</f>
        <v>1</v>
      </c>
      <c r="Q136" s="4">
        <f>MAX(MIN((Q135-$G$16)/$G$17, 1), 0)</f>
        <v>1</v>
      </c>
      <c r="S136" s="4">
        <f>MAX(MIN((S135-$G$16)/$G$17, 1), 0)</f>
        <v>1</v>
      </c>
      <c r="T136" s="4">
        <f>MAX(MIN((T135-$G$16)/$G$17, 1), 0)</f>
        <v>1</v>
      </c>
      <c r="V136" s="4">
        <f>MAX(MIN((V135-$G$16)/$G$17, 1), 0)</f>
        <v>1</v>
      </c>
      <c r="W136" s="4">
        <f>MAX(MIN((W135-$G$16)/$G$17, 1), 0)</f>
        <v>1</v>
      </c>
      <c r="Y136" s="4">
        <f>MAX(MIN((Y135-$G$16)/$G$17, 1), 0)</f>
        <v>1</v>
      </c>
      <c r="Z136" s="4">
        <f>MAX(MIN((Z135-$G$16)/$G$17, 1), 0)</f>
        <v>0.629745598162741</v>
      </c>
      <c r="AA136">
        <v>0.3</v>
      </c>
      <c r="AB136">
        <f>SUM(AA$6:AA136)</f>
        <v>0.8</v>
      </c>
      <c r="AC136">
        <v>20</v>
      </c>
    </row>
    <row r="137" spans="1:29" x14ac:dyDescent="0.2">
      <c r="A137" s="49"/>
      <c r="B137" s="49"/>
      <c r="AA137">
        <v>0.2</v>
      </c>
      <c r="AB137">
        <f>SUM(AA$6:AA137)</f>
        <v>1</v>
      </c>
      <c r="AC137">
        <v>20</v>
      </c>
    </row>
    <row r="138" spans="1:29" ht="17" x14ac:dyDescent="0.2">
      <c r="A138" s="49" t="s">
        <v>188</v>
      </c>
      <c r="B138" s="49"/>
      <c r="C138" s="40" t="s">
        <v>174</v>
      </c>
      <c r="F138" s="10" t="s">
        <v>76</v>
      </c>
      <c r="G138" s="4">
        <f>G125*G136</f>
        <v>741757.5</v>
      </c>
      <c r="H138" s="4">
        <f>H125*H136</f>
        <v>19970010</v>
      </c>
      <c r="J138" s="4">
        <f>J125*J136</f>
        <v>697549.84714221046</v>
      </c>
      <c r="K138" s="4">
        <f>K125*K136</f>
        <v>18573008.54128737</v>
      </c>
      <c r="M138" s="4">
        <f>M125*M136</f>
        <v>585747.5895575179</v>
      </c>
      <c r="N138" s="4">
        <f>N125*N136</f>
        <v>17143948.479013555</v>
      </c>
      <c r="P138" s="4">
        <f>P125*P136</f>
        <v>482268.69033299608</v>
      </c>
      <c r="Q138" s="4">
        <f>Q125*Q136</f>
        <v>15657747.770618446</v>
      </c>
      <c r="S138" s="4">
        <f>S125*S136</f>
        <v>384257.42410961189</v>
      </c>
      <c r="T138" s="4">
        <f>T125*T136</f>
        <v>14178856.049692586</v>
      </c>
      <c r="V138" s="4">
        <f>V125*V136</f>
        <v>268100.68085647526</v>
      </c>
      <c r="W138" s="4">
        <f>W125*W136</f>
        <v>11963898.899512446</v>
      </c>
      <c r="Y138" s="4">
        <f>Y125*Y136</f>
        <v>193790.29081205826</v>
      </c>
      <c r="Z138" s="4">
        <f>Z125*Z136</f>
        <v>1595269.5105861374</v>
      </c>
      <c r="AA138">
        <v>0.125</v>
      </c>
      <c r="AB138">
        <f>SUM(AA$6:AA156)</f>
        <v>1.125</v>
      </c>
      <c r="AC138">
        <v>20</v>
      </c>
    </row>
    <row r="139" spans="1:29" ht="17" x14ac:dyDescent="0.2">
      <c r="A139" s="49" t="s">
        <v>189</v>
      </c>
      <c r="B139" s="49"/>
      <c r="C139" s="40" t="s">
        <v>174</v>
      </c>
      <c r="F139" s="10" t="s">
        <v>122</v>
      </c>
      <c r="G139" s="4">
        <f>G138+H138</f>
        <v>20711767.5</v>
      </c>
      <c r="H139" s="4">
        <f>G139</f>
        <v>20711767.5</v>
      </c>
      <c r="J139" s="4">
        <f>J138+K138</f>
        <v>19270558.388429582</v>
      </c>
      <c r="K139" s="4">
        <f>J139</f>
        <v>19270558.388429582</v>
      </c>
      <c r="M139" s="4">
        <f>M138+N138</f>
        <v>17729696.068571072</v>
      </c>
      <c r="N139" s="4">
        <f>M139</f>
        <v>17729696.068571072</v>
      </c>
      <c r="P139" s="4">
        <f>P138+Q138</f>
        <v>16140016.460951442</v>
      </c>
      <c r="Q139" s="4">
        <f>P139</f>
        <v>16140016.460951442</v>
      </c>
      <c r="S139" s="4">
        <f>S138+T138</f>
        <v>14563113.473802198</v>
      </c>
      <c r="T139" s="4">
        <f>S139</f>
        <v>14563113.473802198</v>
      </c>
      <c r="V139" s="4">
        <f>V138+W138</f>
        <v>12231999.580368921</v>
      </c>
      <c r="W139" s="4">
        <f>V139</f>
        <v>12231999.580368921</v>
      </c>
      <c r="Y139" s="4">
        <f>Y138+Z138</f>
        <v>1789059.8013981958</v>
      </c>
      <c r="Z139" s="4">
        <f>Y139</f>
        <v>1789059.8013981958</v>
      </c>
    </row>
    <row r="140" spans="1:29" ht="17" x14ac:dyDescent="0.2">
      <c r="A140" s="49" t="s">
        <v>190</v>
      </c>
      <c r="B140" s="49"/>
      <c r="C140" s="40" t="s">
        <v>174</v>
      </c>
      <c r="F140" s="10" t="s">
        <v>119</v>
      </c>
      <c r="G140" s="4">
        <f>G138/G139</f>
        <v>3.5813336548896658E-2</v>
      </c>
      <c r="H140" s="4">
        <f>H138/H139</f>
        <v>0.96418666345110338</v>
      </c>
      <c r="J140" s="4">
        <f>J138/J139</f>
        <v>3.6197697704547727E-2</v>
      </c>
      <c r="K140" s="4">
        <f>K138/K139</f>
        <v>0.96380230229545216</v>
      </c>
      <c r="M140" s="4">
        <f>M138/M139</f>
        <v>3.3037655428050795E-2</v>
      </c>
      <c r="N140" s="4">
        <f>N138/N139</f>
        <v>0.96696234457194918</v>
      </c>
      <c r="P140" s="4">
        <f>P138/P139</f>
        <v>2.9880309694836998E-2</v>
      </c>
      <c r="Q140" s="4">
        <f>Q138/Q139</f>
        <v>0.97011969030516298</v>
      </c>
      <c r="S140" s="4">
        <f>S138/S139</f>
        <v>2.6385664356791447E-2</v>
      </c>
      <c r="T140" s="4">
        <f>T138/T139</f>
        <v>0.97361433564320854</v>
      </c>
      <c r="V140" s="4">
        <f>V138/V139</f>
        <v>2.1917976623114736E-2</v>
      </c>
      <c r="W140" s="4">
        <f>W138/W139</f>
        <v>0.97808202337688521</v>
      </c>
      <c r="Y140" s="4">
        <f>Y138/Y139</f>
        <v>0.10831962724812565</v>
      </c>
      <c r="Z140" s="4">
        <f>Z138/Z139</f>
        <v>0.89168037275187428</v>
      </c>
    </row>
    <row r="142" spans="1:29" ht="17" x14ac:dyDescent="0.2">
      <c r="F142" s="15" t="s">
        <v>256</v>
      </c>
      <c r="G142" s="8"/>
      <c r="H142" s="8"/>
      <c r="J142" s="8"/>
      <c r="K142" s="8"/>
      <c r="M142" s="8"/>
      <c r="N142" s="8"/>
      <c r="P142" s="8"/>
      <c r="Q142" s="8"/>
      <c r="S142" s="8"/>
      <c r="T142" s="8"/>
      <c r="V142" s="8"/>
      <c r="W142" s="8"/>
      <c r="Y142" s="8"/>
      <c r="Z142" s="8"/>
    </row>
    <row r="143" spans="1:29" ht="17" x14ac:dyDescent="0.2">
      <c r="A143" s="49" t="s">
        <v>274</v>
      </c>
      <c r="B143" s="49"/>
      <c r="C143" s="43" t="s">
        <v>163</v>
      </c>
      <c r="F143" s="10" t="s">
        <v>203</v>
      </c>
      <c r="G143" s="4">
        <f>(G111 - G132 - G120)*$G$29</f>
        <v>2842.5614072109011</v>
      </c>
      <c r="H143" s="4">
        <f>(H111 - H132 - H120)*$H$29+SUM(H90:H93)</f>
        <v>46145.188592789098</v>
      </c>
      <c r="J143" s="4">
        <f>(J111 - J132 - J120)*$G$29</f>
        <v>2677.6184746142349</v>
      </c>
      <c r="K143" s="4">
        <f>(K111 - K132 - K120)*$H$29+SUM(K90:K93)</f>
        <v>42564.533744839202</v>
      </c>
      <c r="M143" s="4">
        <f>(M111 - M132 - M120)*$G$29</f>
        <v>2523.7480844526031</v>
      </c>
      <c r="N143" s="4">
        <f>(N111 - N132 - N120)*$H$29+SUM(N90:N93)</f>
        <v>38862.195572352735</v>
      </c>
      <c r="P143" s="4">
        <f>(P111 - P132 - P120)*$G$29</f>
        <v>2375.4637244804881</v>
      </c>
      <c r="Q143" s="4">
        <f>(Q111 - Q132 - Q120)*$H$29+SUM(Q90:Q93)</f>
        <v>34955.488912626926</v>
      </c>
      <c r="S143" s="4">
        <f>(S111 - S132 - S120)*$G$29</f>
        <v>2194.4227481835401</v>
      </c>
      <c r="T143" s="4">
        <f>(T111 - T132 - T120)*$H$29+SUM(T90:T93)</f>
        <v>29516.599654915171</v>
      </c>
      <c r="V143" s="4">
        <f>(V111 - V132 - V120)*$G$29</f>
        <v>1637.3520057295698</v>
      </c>
      <c r="W143" s="4">
        <f>(W111 - W132 - W120)*$H$29+SUM(W90:W93)</f>
        <v>5976.1952464237338</v>
      </c>
      <c r="Y143" s="4">
        <f>(Y111 - Y132 - Y120)*$G$29</f>
        <v>1235.4276221261657</v>
      </c>
      <c r="Z143" s="4">
        <f>(Z111 - Z132 - Z120)*$H$29+SUM(Z90:Z93)</f>
        <v>3181.2993505719551</v>
      </c>
    </row>
    <row r="144" spans="1:29" ht="17" x14ac:dyDescent="0.2">
      <c r="A144" s="49" t="s">
        <v>275</v>
      </c>
      <c r="B144" s="49"/>
      <c r="C144" s="43" t="s">
        <v>163</v>
      </c>
      <c r="F144" s="14" t="s">
        <v>215</v>
      </c>
      <c r="G144" s="4">
        <f>G132*$G20</f>
        <v>21365.788918364884</v>
      </c>
      <c r="H144" s="4">
        <f>(H132+G131)*$H20</f>
        <v>479351.42590136261</v>
      </c>
      <c r="J144" s="4">
        <f>J132*$G20</f>
        <v>22127.038759307754</v>
      </c>
      <c r="K144" s="4">
        <f>(K132+J131)*$H20</f>
        <v>490963.33587449399</v>
      </c>
      <c r="M144" s="4">
        <f>M132*$G20</f>
        <v>20810.770497264373</v>
      </c>
      <c r="N144" s="4">
        <f>(N132+M131)*$H20</f>
        <v>507583.22010793001</v>
      </c>
      <c r="P144" s="4">
        <f>P132*$G20</f>
        <v>19673.557629791878</v>
      </c>
      <c r="Q144" s="4">
        <f>(Q132+P131)*$H20</f>
        <v>532282.1235214161</v>
      </c>
      <c r="S144" s="4">
        <f>S132*$G20</f>
        <v>23669.393807170058</v>
      </c>
      <c r="T144" s="4">
        <f>(T132+S131)*$H20</f>
        <v>727821.39116115018</v>
      </c>
      <c r="V144" s="4">
        <f>V132*$G20</f>
        <v>80430.204256942568</v>
      </c>
      <c r="W144" s="4">
        <f>(W132+V131)*$H20</f>
        <v>2990982.2614607099</v>
      </c>
      <c r="Y144" s="4">
        <f>Y132*$G20</f>
        <v>58137.087243617476</v>
      </c>
      <c r="Z144" s="4">
        <f>(Z132+Y131)*$H20</f>
        <v>398830.85617745435</v>
      </c>
    </row>
    <row r="145" spans="1:29" ht="17" x14ac:dyDescent="0.2">
      <c r="A145" s="49" t="s">
        <v>176</v>
      </c>
      <c r="B145" s="49"/>
      <c r="C145" s="43" t="s">
        <v>163</v>
      </c>
      <c r="F145" s="10" t="s">
        <v>166</v>
      </c>
      <c r="G145" s="4">
        <f>G120-G123*G124-G121</f>
        <v>2175</v>
      </c>
      <c r="H145" s="4">
        <f>H120-G123*H124-H121+H53</f>
        <v>2700</v>
      </c>
      <c r="J145" s="4">
        <f>J120-J123*J124-J121</f>
        <v>2562.2727080288705</v>
      </c>
      <c r="K145" s="4">
        <f>K120-J123*K124-K121+K53</f>
        <v>2747.6675652559352</v>
      </c>
      <c r="M145" s="4">
        <f>M120-M123*M124-M121</f>
        <v>2265.9424845960316</v>
      </c>
      <c r="N145" s="4">
        <f>N120-M123*N124-N121+N53</f>
        <v>2147.4366200033164</v>
      </c>
      <c r="P145" s="4">
        <f>P120-P123*P124-P121</f>
        <v>2597.9719406896065</v>
      </c>
      <c r="Q145" s="4">
        <f>Q120-P123*Q124-Q121+Q53</f>
        <v>3956.1625514657471</v>
      </c>
      <c r="S145" s="4">
        <f>S120-S123*S124-S121</f>
        <v>3496.5135200279619</v>
      </c>
      <c r="T145" s="4">
        <f>T120-S123*T124-T121+T53</f>
        <v>710.53905061433773</v>
      </c>
      <c r="V145" s="4">
        <f>V120-V123*V124-V121</f>
        <v>3220.9402866978717</v>
      </c>
      <c r="W145" s="4">
        <f>W120-V123*W124-W121+W53</f>
        <v>1542.284020487552</v>
      </c>
      <c r="Y145" s="4">
        <f>Y120-Y123*Y124-Y121</f>
        <v>2371.0046951742552</v>
      </c>
      <c r="Z145" s="4">
        <f>Z120-Y123*Z124-Z121+Z53</f>
        <v>131.62115338494641</v>
      </c>
    </row>
    <row r="146" spans="1:29" ht="17" x14ac:dyDescent="0.2">
      <c r="A146" s="49" t="s">
        <v>177</v>
      </c>
      <c r="B146" s="49"/>
      <c r="C146" s="43" t="s">
        <v>163</v>
      </c>
      <c r="F146" s="10" t="s">
        <v>167</v>
      </c>
      <c r="G146" s="4">
        <f>G120*$G20</f>
        <v>2250</v>
      </c>
      <c r="H146" s="4">
        <f>(H120+H53)*$H20</f>
        <v>2500</v>
      </c>
      <c r="J146" s="4">
        <f>J120*$G20</f>
        <v>2657.1327080288697</v>
      </c>
      <c r="K146" s="4">
        <f>(K120+K53)*$H20</f>
        <v>2559.2229710466122</v>
      </c>
      <c r="M146" s="4">
        <f>M120*$G20</f>
        <v>2356.4224845960307</v>
      </c>
      <c r="N146" s="4">
        <f>(N120+N53)*$H20</f>
        <v>2019.8305166694299</v>
      </c>
      <c r="P146" s="4">
        <f>P120*$G20</f>
        <v>2696.6719406896059</v>
      </c>
      <c r="Q146" s="4">
        <f>(Q120+Q53)*$H20</f>
        <v>3772.0021262214559</v>
      </c>
      <c r="S146" s="4">
        <f>S120*$G20</f>
        <v>3652.513520027961</v>
      </c>
      <c r="T146" s="4">
        <f>(T120+T53)*$H20</f>
        <v>690.59087551194818</v>
      </c>
      <c r="V146" s="4">
        <f>V120*$G20</f>
        <v>3341.4802866978721</v>
      </c>
      <c r="W146" s="4">
        <f>(W120+W53)*$H20</f>
        <v>1573.9866837396262</v>
      </c>
      <c r="Y146" s="4">
        <f>Y120*$G20</f>
        <v>2520.9446951742548</v>
      </c>
      <c r="Z146" s="4">
        <f>(Z120+Z53)*$H20</f>
        <v>370.68429448745542</v>
      </c>
    </row>
    <row r="149" spans="1:29" x14ac:dyDescent="0.2">
      <c r="A149" s="33" t="s">
        <v>267</v>
      </c>
      <c r="G149" s="4">
        <f>G145+G121</f>
        <v>2425</v>
      </c>
      <c r="H149" s="4">
        <f>H145+H121</f>
        <v>3700</v>
      </c>
      <c r="J149" s="4">
        <f>J145+J121</f>
        <v>2878.4727080288703</v>
      </c>
      <c r="K149" s="4">
        <f>K145+K121</f>
        <v>3825.6675652559352</v>
      </c>
      <c r="M149" s="4">
        <f>M145+M121</f>
        <v>2567.5424845960315</v>
      </c>
      <c r="N149" s="4">
        <f>N145+N121</f>
        <v>3068.6366200033162</v>
      </c>
      <c r="P149" s="4">
        <f>P145+P121</f>
        <v>2926.9719406896065</v>
      </c>
      <c r="Q149" s="4">
        <f>Q145+Q121</f>
        <v>5856.9625514657473</v>
      </c>
      <c r="S149" s="4">
        <f>S145+S121</f>
        <v>4016.5135200279619</v>
      </c>
      <c r="T149" s="4">
        <f>T145+T121</f>
        <v>1104.4390506143377</v>
      </c>
      <c r="V149" s="4">
        <f>V145+V121</f>
        <v>3622.7402866978719</v>
      </c>
      <c r="W149" s="4">
        <f>W145+W121</f>
        <v>2697.284020487552</v>
      </c>
      <c r="Y149" s="4">
        <f>Y145+Y121</f>
        <v>2870.8046951742554</v>
      </c>
      <c r="Z149" s="4">
        <f>Z145+Z121</f>
        <v>1175.6211533849464</v>
      </c>
    </row>
    <row r="151" spans="1:29" x14ac:dyDescent="0.2">
      <c r="A151" s="49" t="s">
        <v>277</v>
      </c>
      <c r="B151" s="49"/>
      <c r="C151" s="43" t="s">
        <v>163</v>
      </c>
      <c r="G151" s="4">
        <f>G123+G132+H132+G131</f>
        <v>2000000</v>
      </c>
      <c r="J151" s="4">
        <f>J123+J132+K132</f>
        <v>2049999.9999999998</v>
      </c>
      <c r="M151" s="4">
        <f>M123+M132+N132</f>
        <v>2110000</v>
      </c>
      <c r="P151" s="4">
        <f>P123+P132+Q132</f>
        <v>2210000</v>
      </c>
      <c r="S151" s="4">
        <f>S123+S132+T132</f>
        <v>2999999.9999999995</v>
      </c>
      <c r="V151" s="4">
        <f>V123+V132+W132</f>
        <v>12243113.77041902</v>
      </c>
      <c r="Y151" s="4">
        <f>Y123+Y132+Z132</f>
        <v>1794899.2617115006</v>
      </c>
    </row>
    <row r="152" spans="1:29" x14ac:dyDescent="0.2">
      <c r="G152" s="4">
        <f>G151/G32</f>
        <v>1</v>
      </c>
      <c r="J152" s="4">
        <f>J151/J32</f>
        <v>0.99999999999999989</v>
      </c>
      <c r="M152" s="4">
        <f>M151/M32</f>
        <v>1</v>
      </c>
      <c r="P152" s="4">
        <f>P151/P32</f>
        <v>1</v>
      </c>
      <c r="S152" s="4">
        <f>S151/S32</f>
        <v>0.99999999999999989</v>
      </c>
      <c r="V152" s="4">
        <f>V151/V32</f>
        <v>0.48972455081676081</v>
      </c>
      <c r="Y152" s="4">
        <f>Y151/Y32</f>
        <v>0.71226161179027803</v>
      </c>
    </row>
    <row r="157" spans="1:29" x14ac:dyDescent="0.2">
      <c r="AA157">
        <v>0.1225</v>
      </c>
      <c r="AB157">
        <f>SUM(AA$6:AA157)</f>
        <v>1.2475000000000001</v>
      </c>
      <c r="AC157">
        <v>20</v>
      </c>
    </row>
    <row r="158" spans="1:29" x14ac:dyDescent="0.2">
      <c r="AA158">
        <v>0.12239999999999999</v>
      </c>
      <c r="AB158">
        <f>SUM(AA$6:AA158)</f>
        <v>1.3699000000000001</v>
      </c>
      <c r="AC158">
        <v>20</v>
      </c>
    </row>
    <row r="159" spans="1:29" x14ac:dyDescent="0.2">
      <c r="AA159">
        <v>0.12230000000000001</v>
      </c>
      <c r="AB159">
        <f>SUM(AA$6:AA159)</f>
        <v>1.4922000000000002</v>
      </c>
      <c r="AC159">
        <v>20</v>
      </c>
    </row>
  </sheetData>
  <mergeCells count="39">
    <mergeCell ref="A100:A103"/>
    <mergeCell ref="C100:C103"/>
    <mergeCell ref="A48:A51"/>
    <mergeCell ref="C48:C51"/>
    <mergeCell ref="E48:E51"/>
    <mergeCell ref="A78:A82"/>
    <mergeCell ref="C78:C82"/>
    <mergeCell ref="C42:C45"/>
    <mergeCell ref="A42:A45"/>
    <mergeCell ref="A61:A64"/>
    <mergeCell ref="A55:A58"/>
    <mergeCell ref="C55:C58"/>
    <mergeCell ref="C85:C88"/>
    <mergeCell ref="A95:A98"/>
    <mergeCell ref="C95:C98"/>
    <mergeCell ref="A90:A93"/>
    <mergeCell ref="C90:C93"/>
    <mergeCell ref="E28:E29"/>
    <mergeCell ref="C37:C40"/>
    <mergeCell ref="A37:A40"/>
    <mergeCell ref="C61:C64"/>
    <mergeCell ref="A67:A70"/>
    <mergeCell ref="C67:C70"/>
    <mergeCell ref="A72:A75"/>
    <mergeCell ref="C72:C75"/>
    <mergeCell ref="A85:A88"/>
    <mergeCell ref="AD4:AF4"/>
    <mergeCell ref="I2:J2"/>
    <mergeCell ref="I3:J3"/>
    <mergeCell ref="J5:K5"/>
    <mergeCell ref="M5:N5"/>
    <mergeCell ref="E17:E18"/>
    <mergeCell ref="E69:E71"/>
    <mergeCell ref="E74:E77"/>
    <mergeCell ref="Y5:Z5"/>
    <mergeCell ref="P5:Q5"/>
    <mergeCell ref="S5:T5"/>
    <mergeCell ref="V5:W5"/>
    <mergeCell ref="G5:H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2026-01-21T05:39:24Z</dcterms:modified>
</cp:coreProperties>
</file>