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00F24505-A3C9-FA40-9649-D29A953EF31D}" xr6:coauthVersionLast="47" xr6:coauthVersionMax="47" xr10:uidLastSave="{00000000-0000-0000-0000-000000000000}"/>
  <bookViews>
    <workbookView xWindow="2120" yWindow="780" windowWidth="33680" windowHeight="1988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" i="3" l="1"/>
  <c r="J35" i="3"/>
  <c r="G35" i="3"/>
  <c r="J34" i="3"/>
  <c r="G34" i="3"/>
  <c r="D34" i="3"/>
  <c r="J32" i="3"/>
  <c r="J31" i="3"/>
  <c r="G31" i="3"/>
  <c r="J30" i="3"/>
  <c r="G30" i="3"/>
  <c r="D30" i="3"/>
  <c r="D44" i="3"/>
  <c r="C44" i="3"/>
  <c r="G7" i="3"/>
  <c r="J7" i="3" s="1"/>
  <c r="F7" i="3"/>
  <c r="I7" i="3" s="1"/>
  <c r="D27" i="3"/>
  <c r="C27" i="3"/>
  <c r="D43" i="3"/>
  <c r="C43" i="3"/>
  <c r="D45" i="3"/>
  <c r="D46" i="3" s="1"/>
  <c r="C45" i="3"/>
  <c r="C46" i="3" s="1"/>
  <c r="N61" i="3"/>
  <c r="U60" i="3"/>
  <c r="N60" i="3"/>
  <c r="U59" i="3"/>
  <c r="N59" i="3"/>
  <c r="U58" i="3"/>
  <c r="N58" i="3"/>
  <c r="U57" i="3"/>
  <c r="N57" i="3"/>
  <c r="U56" i="3"/>
  <c r="N56" i="3"/>
  <c r="U55" i="3"/>
  <c r="N55" i="3"/>
  <c r="U54" i="3"/>
  <c r="N54" i="3"/>
  <c r="U53" i="3"/>
  <c r="N53" i="3"/>
  <c r="U52" i="3"/>
  <c r="N52" i="3"/>
  <c r="U51" i="3"/>
  <c r="N51" i="3"/>
  <c r="U50" i="3"/>
  <c r="N50" i="3"/>
  <c r="U49" i="3"/>
  <c r="N49" i="3"/>
  <c r="U43" i="3"/>
  <c r="N43" i="3"/>
  <c r="U26" i="3"/>
  <c r="N26" i="3"/>
  <c r="U25" i="3"/>
  <c r="N25" i="3"/>
  <c r="U24" i="3"/>
  <c r="N24" i="3"/>
  <c r="U23" i="3"/>
  <c r="N23" i="3"/>
  <c r="U22" i="3"/>
  <c r="N22" i="3"/>
  <c r="U21" i="3"/>
  <c r="N21" i="3"/>
  <c r="U20" i="3"/>
  <c r="N20" i="3"/>
  <c r="U19" i="3"/>
  <c r="N19" i="3"/>
  <c r="U18" i="3"/>
  <c r="N18" i="3"/>
  <c r="U17" i="3"/>
  <c r="N17" i="3"/>
  <c r="U13" i="3"/>
  <c r="N13" i="3"/>
  <c r="U12" i="3"/>
  <c r="N12" i="3"/>
  <c r="U10" i="3"/>
  <c r="N10" i="3"/>
  <c r="U8" i="3"/>
  <c r="N8" i="3"/>
  <c r="U7" i="3"/>
  <c r="N7" i="3"/>
  <c r="N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C49" i="3" l="1"/>
  <c r="C51" i="3" s="1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S19" i="2" l="1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Q3" i="2" l="1"/>
  <c r="AA4" i="2" s="1"/>
  <c r="F4" i="2" l="1"/>
  <c r="R7" i="2"/>
  <c r="G4" i="2"/>
  <c r="K4" i="2"/>
  <c r="J4" i="2"/>
  <c r="U4" i="2" l="1"/>
  <c r="R8" i="2"/>
  <c r="O4" i="2" l="1"/>
  <c r="P4" i="2" s="1"/>
  <c r="X5" i="2" s="1"/>
  <c r="Z5" i="2" s="1"/>
  <c r="J5" i="2" s="1"/>
  <c r="R9" i="2"/>
  <c r="Q4" i="2" l="1"/>
  <c r="Y5" i="2" s="1"/>
  <c r="AA5" i="2" s="1"/>
  <c r="F5" i="2"/>
  <c r="R10" i="2"/>
  <c r="R11" i="2" l="1"/>
  <c r="G5" i="2"/>
  <c r="U5" i="2" s="1"/>
  <c r="O5" i="2" s="1"/>
  <c r="Q5" i="2" s="1"/>
  <c r="K5" i="2"/>
  <c r="Y6" i="2" l="1"/>
  <c r="AA6" i="2" s="1"/>
  <c r="K6" i="2" s="1"/>
  <c r="R12" i="2"/>
  <c r="P5" i="2"/>
  <c r="X6" i="2" s="1"/>
  <c r="Z6" i="2" s="1"/>
  <c r="J6" i="2" s="1"/>
  <c r="G6" i="2" l="1"/>
  <c r="R13" i="2"/>
  <c r="F6" i="2"/>
  <c r="U6" i="2" s="1"/>
  <c r="W6" i="2" s="1"/>
  <c r="O6" i="2" s="1"/>
  <c r="R14" i="2" l="1"/>
  <c r="Y7" i="2"/>
  <c r="AA7" i="2" s="1"/>
  <c r="X7" i="2" l="1"/>
  <c r="Z7" i="2" s="1"/>
  <c r="R15" i="2"/>
  <c r="G7" i="2"/>
  <c r="K7" i="2"/>
  <c r="J7" i="2" l="1"/>
  <c r="F7" i="2"/>
  <c r="U7" i="2" s="1"/>
  <c r="O7" i="2" s="1"/>
  <c r="R16" i="2"/>
  <c r="P7" i="2" l="1"/>
  <c r="X8" i="2" s="1"/>
  <c r="Z8" i="2" s="1"/>
  <c r="Q7" i="2"/>
  <c r="Y8" i="2" s="1"/>
  <c r="AA8" i="2" s="1"/>
  <c r="G8" i="2" s="1"/>
  <c r="J8" i="2"/>
  <c r="R17" i="2"/>
  <c r="F8" i="2"/>
  <c r="K8" i="2" l="1"/>
  <c r="W8" i="2"/>
  <c r="R18" i="2"/>
  <c r="O8" i="2" l="1"/>
  <c r="Q8" i="2" s="1"/>
  <c r="Y9" i="2" s="1"/>
  <c r="AA9" i="2" s="1"/>
  <c r="R19" i="2"/>
  <c r="G9" i="2" l="1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Q9" i="2" l="1"/>
  <c r="Y10" i="2" s="1"/>
  <c r="AA10" i="2" s="1"/>
  <c r="G10" i="2" s="1"/>
  <c r="R21" i="2"/>
  <c r="F10" i="2"/>
  <c r="U10" i="2" l="1"/>
  <c r="W10" i="2" s="1"/>
  <c r="O10" i="2" s="1"/>
  <c r="Q10" i="2" s="1"/>
  <c r="K10" i="2"/>
  <c r="R22" i="2"/>
  <c r="Y11" i="2" l="1"/>
  <c r="P10" i="2"/>
  <c r="X11" i="2" s="1"/>
  <c r="Z11" i="2" s="1"/>
  <c r="J11" i="2" s="1"/>
  <c r="R23" i="2"/>
  <c r="AA11" i="2" l="1"/>
  <c r="G11" i="2" s="1"/>
  <c r="F11" i="2"/>
  <c r="U11" i="2" s="1"/>
  <c r="W11" i="2" s="1"/>
  <c r="O11" i="2" s="1"/>
  <c r="P11" i="2" s="1"/>
  <c r="X12" i="2" s="1"/>
  <c r="Z12" i="2" s="1"/>
  <c r="J12" i="2" s="1"/>
  <c r="R24" i="2"/>
  <c r="K11" i="2" l="1"/>
  <c r="Q11" i="2"/>
  <c r="R25" i="2"/>
  <c r="F12" i="2"/>
  <c r="Y12" i="2" l="1"/>
  <c r="AA12" i="2" s="1"/>
  <c r="R26" i="2"/>
  <c r="G12" i="2" l="1"/>
  <c r="U12" i="2" s="1"/>
  <c r="W12" i="2" s="1"/>
  <c r="O12" i="2" s="1"/>
  <c r="Q12" i="2" s="1"/>
  <c r="K12" i="2"/>
  <c r="R27" i="2"/>
  <c r="Y13" i="2" l="1"/>
  <c r="AA13" i="2" s="1"/>
  <c r="G13" i="2" s="1"/>
  <c r="P12" i="2"/>
  <c r="X13" i="2" s="1"/>
  <c r="Z13" i="2" s="1"/>
  <c r="J13" i="2" s="1"/>
  <c r="R28" i="2"/>
  <c r="K13" i="2" l="1"/>
  <c r="F13" i="2"/>
  <c r="U13" i="2" s="1"/>
  <c r="W13" i="2" s="1"/>
  <c r="O13" i="2" s="1"/>
  <c r="Q13" i="2" s="1"/>
  <c r="Y14" i="2" s="1"/>
  <c r="AA14" i="2" s="1"/>
  <c r="G14" i="2" s="1"/>
  <c r="R30" i="2"/>
  <c r="R29" i="2"/>
  <c r="K14" i="2" l="1"/>
  <c r="P13" i="2"/>
  <c r="X14" i="2" s="1"/>
  <c r="Z14" i="2" s="1"/>
  <c r="J14" i="2" s="1"/>
  <c r="F14" i="2" l="1"/>
  <c r="U14" i="2" s="1"/>
  <c r="W14" i="2" s="1"/>
  <c r="O14" i="2" s="1"/>
  <c r="P14" i="2" s="1"/>
  <c r="X15" i="2" s="1"/>
  <c r="Z15" i="2" s="1"/>
  <c r="J15" i="2" s="1"/>
  <c r="F15" i="2" l="1"/>
  <c r="Q14" i="2"/>
  <c r="Y15" i="2" s="1"/>
  <c r="AA15" i="2" s="1"/>
  <c r="G15" i="2" s="1"/>
  <c r="U15" i="2" s="1"/>
  <c r="W15" i="2" s="1"/>
  <c r="O15" i="2" s="1"/>
  <c r="Q15" i="2" s="1"/>
  <c r="K15" i="2" l="1"/>
  <c r="Y16" i="2" s="1"/>
  <c r="AA16" i="2" s="1"/>
  <c r="G16" i="2" s="1"/>
  <c r="P15" i="2"/>
  <c r="X16" i="2" s="1"/>
  <c r="Z16" i="2" s="1"/>
  <c r="J16" i="2" s="1"/>
  <c r="K16" i="2" l="1"/>
  <c r="F16" i="2"/>
  <c r="U16" i="2" s="1"/>
  <c r="W16" i="2" s="1"/>
  <c r="O16" i="2" s="1"/>
  <c r="P16" i="2" s="1"/>
  <c r="X17" i="2" s="1"/>
  <c r="Z17" i="2" s="1"/>
  <c r="J17" i="2" s="1"/>
  <c r="Q16" i="2" l="1"/>
  <c r="Y17" i="2" s="1"/>
  <c r="AA17" i="2" s="1"/>
  <c r="K17" i="2" s="1"/>
  <c r="F17" i="2"/>
  <c r="G17" i="2" l="1"/>
  <c r="U17" i="2" s="1"/>
  <c r="W17" i="2" s="1"/>
  <c r="O17" i="2" s="1"/>
  <c r="P17" i="2" s="1"/>
  <c r="X18" i="2" s="1"/>
  <c r="Z18" i="2" s="1"/>
  <c r="J18" i="2" s="1"/>
  <c r="Q17" i="2" l="1"/>
  <c r="Y18" i="2" s="1"/>
  <c r="AA18" i="2" s="1"/>
  <c r="G18" i="2" s="1"/>
  <c r="F18" i="2"/>
  <c r="K18" i="2" l="1"/>
  <c r="U18" i="2"/>
  <c r="W18" i="2" s="1"/>
  <c r="O18" i="2" s="1"/>
  <c r="Q18" i="2" s="1"/>
  <c r="Y19" i="2" l="1"/>
  <c r="AA19" i="2" s="1"/>
  <c r="G19" i="2" s="1"/>
  <c r="P18" i="2"/>
  <c r="X19" i="2" s="1"/>
  <c r="Z19" i="2" s="1"/>
  <c r="J19" i="2" s="1"/>
  <c r="K19" i="2" l="1"/>
  <c r="F19" i="2"/>
  <c r="U19" i="2" s="1"/>
  <c r="W19" i="2" s="1"/>
  <c r="O19" i="2" s="1"/>
  <c r="P19" i="2" s="1"/>
  <c r="X20" i="2" s="1"/>
  <c r="Z20" i="2" s="1"/>
  <c r="Q19" i="2" l="1"/>
  <c r="Y20" i="2" s="1"/>
  <c r="AA20" i="2" s="1"/>
  <c r="G20" i="2" s="1"/>
  <c r="J20" i="2"/>
  <c r="F20" i="2"/>
  <c r="K20" i="2" l="1"/>
  <c r="U20" i="2"/>
  <c r="W20" i="2" s="1"/>
  <c r="O20" i="2" l="1"/>
  <c r="P20" i="2" s="1"/>
  <c r="X21" i="2" s="1"/>
  <c r="Z21" i="2" s="1"/>
  <c r="J21" i="2" l="1"/>
  <c r="F21" i="2"/>
  <c r="Q20" i="2"/>
  <c r="Y21" i="2" s="1"/>
  <c r="AA21" i="2" s="1"/>
  <c r="G21" i="2" s="1"/>
  <c r="U21" i="2" l="1"/>
  <c r="W21" i="2" s="1"/>
  <c r="O21" i="2" s="1"/>
  <c r="Q21" i="2" s="1"/>
  <c r="K21" i="2"/>
  <c r="P21" i="2" l="1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K22" i="2" l="1"/>
  <c r="Y23" i="2" s="1"/>
  <c r="AA23" i="2" s="1"/>
  <c r="P22" i="2"/>
  <c r="X23" i="2" s="1"/>
  <c r="Z23" i="2" s="1"/>
  <c r="J23" i="2" s="1"/>
  <c r="G23" i="2" l="1"/>
  <c r="K23" i="2"/>
  <c r="F23" i="2"/>
  <c r="U23" i="2" s="1"/>
  <c r="W23" i="2" s="1"/>
  <c r="O23" i="2" s="1"/>
  <c r="Q23" i="2" s="1"/>
  <c r="Y24" i="2" s="1"/>
  <c r="AA24" i="2" s="1"/>
  <c r="P23" i="2" l="1"/>
  <c r="X24" i="2" s="1"/>
  <c r="Z24" i="2" s="1"/>
  <c r="J24" i="2" s="1"/>
  <c r="G24" i="2"/>
  <c r="K24" i="2"/>
  <c r="F24" i="2" l="1"/>
  <c r="U24" i="2" s="1"/>
  <c r="W24" i="2" s="1"/>
  <c r="O24" i="2" s="1"/>
  <c r="P24" i="2" s="1"/>
  <c r="X25" i="2" s="1"/>
  <c r="Z25" i="2" s="1"/>
  <c r="J25" i="2" s="1"/>
  <c r="Q24" i="2" l="1"/>
  <c r="Y25" i="2" s="1"/>
  <c r="AA25" i="2" s="1"/>
  <c r="G25" i="2" s="1"/>
  <c r="F25" i="2"/>
  <c r="K25" i="2" l="1"/>
  <c r="U25" i="2"/>
  <c r="W25" i="2" s="1"/>
  <c r="O25" i="2" s="1"/>
  <c r="Q25" i="2" s="1"/>
  <c r="Y26" i="2" s="1"/>
  <c r="AA26" i="2" s="1"/>
  <c r="G26" i="2" s="1"/>
  <c r="P25" i="2" l="1"/>
  <c r="X26" i="2" s="1"/>
  <c r="Z26" i="2" s="1"/>
  <c r="J26" i="2" s="1"/>
  <c r="K26" i="2"/>
  <c r="F26" i="2" l="1"/>
  <c r="U26" i="2" s="1"/>
  <c r="W26" i="2" s="1"/>
  <c r="O26" i="2" s="1"/>
  <c r="Q26" i="2" s="1"/>
  <c r="Y27" i="2" s="1"/>
  <c r="AA27" i="2" s="1"/>
  <c r="P26" i="2" l="1"/>
  <c r="X27" i="2" s="1"/>
  <c r="Z27" i="2" s="1"/>
  <c r="J27" i="2" s="1"/>
  <c r="G27" i="2"/>
  <c r="K27" i="2"/>
  <c r="F27" i="2" l="1"/>
  <c r="U27" i="2" s="1"/>
  <c r="W27" i="2" s="1"/>
  <c r="O27" i="2" s="1"/>
  <c r="P27" i="2" s="1"/>
  <c r="X28" i="2" s="1"/>
  <c r="Z28" i="2" s="1"/>
  <c r="J28" i="2" s="1"/>
  <c r="Q27" i="2" l="1"/>
  <c r="Y28" i="2" s="1"/>
  <c r="AA28" i="2" s="1"/>
  <c r="G28" i="2" s="1"/>
  <c r="F28" i="2"/>
  <c r="U28" i="2" l="1"/>
  <c r="W28" i="2" s="1"/>
  <c r="O28" i="2" s="1"/>
  <c r="Q28" i="2" s="1"/>
  <c r="K28" i="2"/>
  <c r="Y29" i="2" l="1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<sst xmlns="http://schemas.openxmlformats.org/spreadsheetml/2006/main" count="123" uniqueCount="89">
  <si>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</si>
  <si>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</si>
  <si>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</si>
  <si>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</si>
  <si>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</si>
  <si>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</si>
  <si>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</si>
  <si>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</si>
  <si>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</si>
  <si>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</si>
  <si>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</si>
  <si>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</si>
  <si>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</si>
  <si>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</si>
  <si>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</si>
  <si>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</si>
  <si>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</si>
  <si>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</si>
  <si>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</si>
  <si>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</si>
  <si>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</si>
  <si>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</si>
  <si>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</si>
  <si>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</si>
  <si>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</si>
  <si>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</si>
  <si>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</si>
  <si>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</si>
  <si>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</si>
  <si>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</si>
  <si>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</si>
  <si>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</si>
  <si>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</si>
  <si>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</si>
  <si>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</si>
  <si>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</si>
  <si>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</si>
  <si>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</si>
  <si>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</si>
  <si>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</si>
  <si>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</si>
  <si>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</si>
  <si>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</si>
  <si>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</si>
  <si>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</si>
  <si>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</si>
  <si>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</si>
  <si>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</si>
  <si>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</si>
  <si>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</si>
  <si>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</si>
  <si>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</si>
  <si>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tonne C/ha</t>
  </si>
  <si>
    <t>protected area</t>
  </si>
  <si>
    <t>demanded removals (hwp + fuelwood)</t>
  </si>
  <si>
    <t xml:space="preserve">c available from conversion </t>
  </si>
  <si>
    <t>min frac original stock required (minimum fraction of original stock that must remain on the land to allow it to remain that land use type)</t>
  </si>
  <si>
    <t>frac la conversion available for use</t>
  </si>
  <si>
    <t>land use conversion away</t>
  </si>
  <si>
    <t>average stock per ha available--subtracts out min frac of original value that mus tremain in each type</t>
  </si>
  <si>
    <t>Demand</t>
  </si>
  <si>
    <t>calculated variables</t>
  </si>
  <si>
    <t>demand satisfiable</t>
  </si>
  <si>
    <t>total c available</t>
  </si>
  <si>
    <t>c_available_from_new_forests (based on lag)</t>
  </si>
  <si>
    <t>C stock</t>
  </si>
  <si>
    <t>adjusted sequestration</t>
  </si>
  <si>
    <t>Sequestration</t>
  </si>
  <si>
    <t>sequestration_curve</t>
  </si>
  <si>
    <t>function</t>
  </si>
  <si>
    <t>base factor</t>
  </si>
  <si>
    <t>base average stock</t>
  </si>
  <si>
    <t>current average stock</t>
  </si>
  <si>
    <t>c available from stock without sequestration</t>
  </si>
  <si>
    <t>c available from new sequestration</t>
  </si>
  <si>
    <t>t = 1</t>
  </si>
  <si>
    <t>t = 2</t>
  </si>
  <si>
    <t>land conversion into</t>
  </si>
  <si>
    <t>initial area  from steady state</t>
  </si>
  <si>
    <t>stock in protected areas</t>
  </si>
  <si>
    <t>nominal annual sequestration (tonna/ha/year)</t>
  </si>
  <si>
    <t>Aforestation</t>
  </si>
  <si>
    <t>area_from _t0</t>
  </si>
  <si>
    <t>area_from_t1</t>
  </si>
  <si>
    <t>area_from_T2</t>
  </si>
  <si>
    <t>c_stock_t0</t>
  </si>
  <si>
    <t>c_stock_t1</t>
  </si>
  <si>
    <t>c_stock_t2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</si>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</sst>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10" t="s">
        <v>23</v>
      </c>
      <c r="B1" s="10"/>
      <c r="C1" s="11" t="s">
        <v>26</v>
      </c>
      <c r="D1" s="11"/>
      <c r="E1" s="11"/>
      <c r="F1" s="10" t="s">
        <v>30</v>
      </c>
      <c r="G1" s="10"/>
      <c r="H1" s="11" t="s">
        <v>27</v>
      </c>
      <c r="I1" s="11"/>
      <c r="J1" s="10" t="s">
        <v>28</v>
      </c>
      <c r="K1" s="10"/>
      <c r="L1" s="12" t="s">
        <v>29</v>
      </c>
      <c r="M1" s="12"/>
      <c r="N1" s="14" t="s">
        <v>31</v>
      </c>
      <c r="O1" s="14"/>
      <c r="P1" s="14"/>
      <c r="Q1" s="14"/>
      <c r="R1" s="12" t="s">
        <v>48</v>
      </c>
      <c r="S1" s="12"/>
      <c r="T1" s="12"/>
      <c r="U1" s="13" t="s">
        <v>44</v>
      </c>
      <c r="V1" s="13"/>
      <c r="W1" s="4" t="s">
        <v>46</v>
      </c>
      <c r="X1" s="4" t="s">
        <v>47</v>
      </c>
      <c r="AC1" s="10" t="s">
        <v>36</v>
      </c>
      <c r="AD1" s="10"/>
      <c r="AE1" s="10"/>
      <c r="AF1" s="10"/>
      <c r="AG1" s="10"/>
      <c r="AH1" s="10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7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3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4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5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1:B1"/>
    <mergeCell ref="F1:G1"/>
    <mergeCell ref="H1:I1"/>
    <mergeCell ref="J1:K1"/>
    <mergeCell ref="N1:Q1"/>
    <mergeCell ref="AC1:AH1"/>
    <mergeCell ref="C1:E1"/>
    <mergeCell ref="L1:M1"/>
    <mergeCell ref="U1:V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U61"/>
  <sheetViews>
    <sheetView tabSelected="1" topLeftCell="B1" zoomScale="99" workbookViewId="0">
      <selection activeCell="C5" sqref="C5:D5"/>
    </sheetView>
  </sheetViews>
  <sheetFormatPr baseColWidth="10" defaultRowHeight="16" x14ac:dyDescent="0.2"/>
  <cols>
    <col min="1" max="1" width="7.33203125" style="3" bestFit="1" customWidth="1"/>
    <col min="2" max="2" width="51.83203125" style="16" customWidth="1"/>
    <col min="3" max="3" width="11" style="4" customWidth="1"/>
    <col min="4" max="4" width="15.1640625" style="4" customWidth="1"/>
    <col min="5" max="5" width="2.6640625" style="5" customWidth="1"/>
    <col min="6" max="7" width="13.33203125" style="4" customWidth="1"/>
    <col min="8" max="8" width="2.6640625" style="5" customWidth="1"/>
    <col min="9" max="10" width="13.33203125" style="4" customWidth="1"/>
    <col min="11" max="11" width="13.33203125" style="5" customWidth="1"/>
    <col min="12" max="12" width="4.33203125" customWidth="1"/>
    <col min="19" max="19" width="4.1640625" customWidth="1"/>
    <col min="21" max="21" width="9.1640625" customWidth="1"/>
    <col min="22" max="22" width="3.33203125" customWidth="1"/>
  </cols>
  <sheetData>
    <row r="1" spans="1:21" s="7" customFormat="1" x14ac:dyDescent="0.2">
      <c r="A1" s="3"/>
      <c r="B1" s="16"/>
      <c r="C1" s="5" t="s">
        <v>68</v>
      </c>
      <c r="D1" s="5" t="s">
        <v>70</v>
      </c>
      <c r="E1" s="5">
        <v>1</v>
      </c>
      <c r="F1" s="5"/>
      <c r="G1" s="5"/>
      <c r="H1" s="5"/>
      <c r="I1" s="5"/>
      <c r="J1" s="5"/>
      <c r="K1" s="5"/>
    </row>
    <row r="2" spans="1:21" s="7" customFormat="1" x14ac:dyDescent="0.2">
      <c r="A2" s="3"/>
      <c r="B2" s="16"/>
      <c r="C2" s="5" t="s">
        <v>69</v>
      </c>
      <c r="D2" s="5" t="s">
        <v>71</v>
      </c>
      <c r="E2" s="14">
        <v>150</v>
      </c>
      <c r="F2" s="14"/>
      <c r="G2" s="5"/>
      <c r="H2" s="5"/>
      <c r="I2" s="5"/>
      <c r="J2" s="5"/>
      <c r="K2" s="5"/>
    </row>
    <row r="3" spans="1:21" s="7" customFormat="1" x14ac:dyDescent="0.2">
      <c r="A3" s="3"/>
      <c r="B3" s="16"/>
      <c r="C3" s="5"/>
      <c r="D3" s="5" t="s">
        <v>72</v>
      </c>
      <c r="E3" s="14">
        <v>30</v>
      </c>
      <c r="F3" s="14"/>
      <c r="G3" s="5"/>
      <c r="H3" s="5"/>
      <c r="I3" s="5"/>
      <c r="J3" s="5"/>
      <c r="K3" s="5"/>
    </row>
    <row r="4" spans="1:21" ht="60" customHeight="1" x14ac:dyDescent="0.2">
      <c r="E4" s="23"/>
      <c r="F4" s="22"/>
      <c r="G4" s="22"/>
      <c r="H4" s="25"/>
      <c r="I4" s="22"/>
      <c r="J4" s="22"/>
      <c r="K4" s="25"/>
    </row>
    <row r="5" spans="1:21" ht="36" customHeight="1" x14ac:dyDescent="0.2">
      <c r="A5" s="10" t="s">
        <v>23</v>
      </c>
      <c r="B5" s="10"/>
      <c r="C5" s="15" t="s">
        <v>51</v>
      </c>
      <c r="D5" s="15"/>
      <c r="E5" s="24"/>
      <c r="F5" s="15" t="s">
        <v>75</v>
      </c>
      <c r="G5" s="15"/>
      <c r="I5" s="15" t="s">
        <v>76</v>
      </c>
      <c r="J5" s="15"/>
      <c r="M5" t="s">
        <v>33</v>
      </c>
      <c r="N5" t="s">
        <v>38</v>
      </c>
      <c r="O5" t="s">
        <v>41</v>
      </c>
    </row>
    <row r="6" spans="1:21" ht="17" x14ac:dyDescent="0.2">
      <c r="A6" s="3" t="s">
        <v>24</v>
      </c>
      <c r="B6" s="16" t="s">
        <v>25</v>
      </c>
      <c r="C6" s="4" t="s">
        <v>24</v>
      </c>
      <c r="D6" s="4" t="s">
        <v>25</v>
      </c>
      <c r="F6" s="4" t="s">
        <v>24</v>
      </c>
      <c r="G6" s="4" t="s">
        <v>25</v>
      </c>
      <c r="I6" s="4" t="s">
        <v>24</v>
      </c>
      <c r="J6" s="4" t="s">
        <v>25</v>
      </c>
      <c r="M6">
        <v>0</v>
      </c>
      <c r="N6">
        <f>SUM(M$6:M6)</f>
        <v>0</v>
      </c>
      <c r="O6">
        <v>20</v>
      </c>
    </row>
    <row r="7" spans="1:21" ht="17" x14ac:dyDescent="0.2">
      <c r="B7" s="16" t="s">
        <v>78</v>
      </c>
      <c r="C7" s="4">
        <v>10000</v>
      </c>
      <c r="D7" s="4">
        <v>250000</v>
      </c>
      <c r="F7" s="4">
        <f>C7-C8</f>
        <v>9950</v>
      </c>
      <c r="G7" s="4">
        <f>D7-D8</f>
        <v>249900</v>
      </c>
      <c r="I7" s="4">
        <f>F7-F8</f>
        <v>9888</v>
      </c>
      <c r="J7" s="4">
        <f>G7-G8</f>
        <v>249790</v>
      </c>
      <c r="M7">
        <v>0.01</v>
      </c>
      <c r="N7">
        <f>SUM(M$6:M7)</f>
        <v>0.01</v>
      </c>
      <c r="O7">
        <v>20</v>
      </c>
      <c r="T7" s="5">
        <v>4000000</v>
      </c>
      <c r="U7">
        <f>ROUND(T7/4,0)</f>
        <v>1000000</v>
      </c>
    </row>
    <row r="8" spans="1:21" ht="17" x14ac:dyDescent="0.2">
      <c r="B8" s="16" t="s">
        <v>58</v>
      </c>
      <c r="C8" s="4">
        <v>50</v>
      </c>
      <c r="D8" s="4">
        <v>100</v>
      </c>
      <c r="F8" s="4">
        <v>62</v>
      </c>
      <c r="G8" s="4">
        <v>110</v>
      </c>
      <c r="I8" s="4">
        <v>58</v>
      </c>
      <c r="J8" s="4">
        <v>94</v>
      </c>
      <c r="M8">
        <v>0.05</v>
      </c>
      <c r="N8">
        <f>SUM(M$6:M8)</f>
        <v>6.0000000000000005E-2</v>
      </c>
      <c r="O8">
        <v>20</v>
      </c>
      <c r="T8" s="5">
        <v>4100000</v>
      </c>
      <c r="U8">
        <f t="shared" ref="U8:U60" si="0">ROUND(T8/4,0)</f>
        <v>1025000</v>
      </c>
    </row>
    <row r="9" spans="1:21" ht="17" x14ac:dyDescent="0.2">
      <c r="B9" s="16" t="s">
        <v>77</v>
      </c>
      <c r="D9" s="4">
        <v>85</v>
      </c>
      <c r="G9" s="4">
        <v>80</v>
      </c>
      <c r="J9" s="4">
        <v>92</v>
      </c>
      <c r="T9" s="5"/>
    </row>
    <row r="10" spans="1:21" ht="17" x14ac:dyDescent="0.2">
      <c r="B10" s="16" t="s">
        <v>57</v>
      </c>
      <c r="C10" s="4">
        <v>0.7</v>
      </c>
      <c r="F10" s="4">
        <v>0.7</v>
      </c>
      <c r="I10" s="4">
        <v>0.7</v>
      </c>
      <c r="M10">
        <v>0.2</v>
      </c>
      <c r="N10">
        <f>SUM(M$6:M10)</f>
        <v>0.26</v>
      </c>
      <c r="O10">
        <v>20</v>
      </c>
      <c r="T10" s="5">
        <v>4250000</v>
      </c>
      <c r="U10">
        <f t="shared" si="0"/>
        <v>1062500</v>
      </c>
    </row>
    <row r="11" spans="1:21" ht="51" x14ac:dyDescent="0.2">
      <c r="B11" s="16" t="s">
        <v>56</v>
      </c>
      <c r="C11" s="4">
        <v>0.3</v>
      </c>
      <c r="F11" s="4">
        <v>0.3</v>
      </c>
      <c r="I11" s="4">
        <v>0.3</v>
      </c>
      <c r="T11" s="5"/>
    </row>
    <row r="12" spans="1:21" ht="17" x14ac:dyDescent="0.2">
      <c r="B12" s="16" t="s">
        <v>52</v>
      </c>
      <c r="C12" s="4">
        <v>150</v>
      </c>
      <c r="D12" s="4">
        <v>100</v>
      </c>
      <c r="M12">
        <v>0.6</v>
      </c>
      <c r="N12">
        <f>SUM(M$6:M12)</f>
        <v>0.86</v>
      </c>
      <c r="O12">
        <v>20</v>
      </c>
      <c r="T12" s="5">
        <v>4400000</v>
      </c>
      <c r="U12">
        <f t="shared" si="0"/>
        <v>1100000</v>
      </c>
    </row>
    <row r="13" spans="1:21" ht="17" x14ac:dyDescent="0.2">
      <c r="B13" s="16" t="s">
        <v>53</v>
      </c>
      <c r="C13" s="4">
        <v>5000</v>
      </c>
      <c r="D13" s="4">
        <v>50000</v>
      </c>
      <c r="F13" s="4">
        <v>5000</v>
      </c>
      <c r="G13" s="4">
        <v>50000</v>
      </c>
      <c r="I13" s="4">
        <v>6000</v>
      </c>
      <c r="J13" s="4">
        <v>49000</v>
      </c>
      <c r="M13">
        <v>1.8</v>
      </c>
      <c r="N13">
        <f>SUM(M$6:M13)</f>
        <v>2.66</v>
      </c>
      <c r="O13">
        <v>20</v>
      </c>
      <c r="T13" s="5">
        <v>4420000</v>
      </c>
      <c r="U13">
        <f t="shared" si="0"/>
        <v>1105000</v>
      </c>
    </row>
    <row r="14" spans="1:21" ht="17" x14ac:dyDescent="0.2">
      <c r="B14" s="21" t="s">
        <v>67</v>
      </c>
      <c r="C14" s="8"/>
      <c r="D14" s="8"/>
      <c r="F14" s="8"/>
      <c r="G14" s="8"/>
      <c r="I14" s="8"/>
      <c r="J14" s="8"/>
      <c r="T14" s="5"/>
    </row>
    <row r="15" spans="1:21" ht="17" x14ac:dyDescent="0.2">
      <c r="B15" s="16" t="s">
        <v>80</v>
      </c>
      <c r="C15" s="4">
        <v>1</v>
      </c>
      <c r="D15" s="4">
        <v>3</v>
      </c>
      <c r="T15" s="5"/>
    </row>
    <row r="16" spans="1:21" x14ac:dyDescent="0.2">
      <c r="T16" s="5"/>
    </row>
    <row r="17" spans="2:21" x14ac:dyDescent="0.2">
      <c r="M17">
        <v>3</v>
      </c>
      <c r="N17">
        <f>SUM(M$6:M17)</f>
        <v>5.66</v>
      </c>
      <c r="O17">
        <v>20</v>
      </c>
      <c r="T17" s="5">
        <v>4508400</v>
      </c>
      <c r="U17">
        <f t="shared" si="0"/>
        <v>1127100</v>
      </c>
    </row>
    <row r="18" spans="2:21" ht="17" x14ac:dyDescent="0.2">
      <c r="B18" s="21" t="s">
        <v>60</v>
      </c>
      <c r="C18" s="8"/>
      <c r="D18" s="8"/>
      <c r="F18" s="8"/>
      <c r="G18" s="8"/>
      <c r="I18" s="8"/>
      <c r="J18" s="8"/>
      <c r="M18">
        <v>6</v>
      </c>
      <c r="N18">
        <f>SUM(M$6:M18)</f>
        <v>11.66</v>
      </c>
      <c r="O18">
        <v>20</v>
      </c>
      <c r="T18" s="5">
        <v>4598570</v>
      </c>
      <c r="U18">
        <f t="shared" si="0"/>
        <v>1149643</v>
      </c>
    </row>
    <row r="19" spans="2:21" ht="17" x14ac:dyDescent="0.2">
      <c r="B19" s="16" t="s">
        <v>54</v>
      </c>
      <c r="C19" s="4">
        <v>1000000</v>
      </c>
      <c r="M19">
        <v>10</v>
      </c>
      <c r="N19">
        <f>SUM(M$6:M19)</f>
        <v>21.66</v>
      </c>
      <c r="O19">
        <v>20</v>
      </c>
      <c r="T19" s="5">
        <v>4690540</v>
      </c>
      <c r="U19">
        <f t="shared" si="0"/>
        <v>1172635</v>
      </c>
    </row>
    <row r="20" spans="2:21" x14ac:dyDescent="0.2">
      <c r="M20">
        <v>12</v>
      </c>
      <c r="N20">
        <f>SUM(M$6:M20)</f>
        <v>33.659999999999997</v>
      </c>
      <c r="O20">
        <v>20</v>
      </c>
      <c r="T20" s="5">
        <v>4784350</v>
      </c>
      <c r="U20">
        <f t="shared" si="0"/>
        <v>1196088</v>
      </c>
    </row>
    <row r="21" spans="2:21" x14ac:dyDescent="0.2">
      <c r="M21">
        <v>13.5</v>
      </c>
      <c r="N21">
        <f>SUM(M$6:M21)</f>
        <v>47.16</v>
      </c>
      <c r="O21">
        <v>20</v>
      </c>
      <c r="T21" s="5">
        <v>4880040</v>
      </c>
      <c r="U21">
        <f t="shared" si="0"/>
        <v>1220010</v>
      </c>
    </row>
    <row r="22" spans="2:21" x14ac:dyDescent="0.2">
      <c r="M22">
        <v>12</v>
      </c>
      <c r="N22">
        <f>SUM(M$6:M22)</f>
        <v>59.16</v>
      </c>
      <c r="O22">
        <v>20</v>
      </c>
      <c r="T22" s="5">
        <v>4977640</v>
      </c>
      <c r="U22">
        <f t="shared" si="0"/>
        <v>1244410</v>
      </c>
    </row>
    <row r="23" spans="2:21" x14ac:dyDescent="0.2">
      <c r="M23">
        <v>10</v>
      </c>
      <c r="N23">
        <f>SUM(M$6:M23)</f>
        <v>69.16</v>
      </c>
      <c r="O23">
        <v>20</v>
      </c>
      <c r="T23" s="5">
        <v>5077190</v>
      </c>
      <c r="U23">
        <f t="shared" si="0"/>
        <v>1269298</v>
      </c>
    </row>
    <row r="24" spans="2:21" x14ac:dyDescent="0.2">
      <c r="M24">
        <v>6</v>
      </c>
      <c r="N24">
        <f>SUM(M$6:M24)</f>
        <v>75.16</v>
      </c>
      <c r="O24">
        <v>20</v>
      </c>
      <c r="T24" s="5">
        <v>5178730</v>
      </c>
      <c r="U24">
        <f t="shared" si="0"/>
        <v>1294683</v>
      </c>
    </row>
    <row r="25" spans="2:21" x14ac:dyDescent="0.2">
      <c r="M25">
        <v>3</v>
      </c>
      <c r="N25">
        <f>SUM(M$6:M25)</f>
        <v>78.16</v>
      </c>
      <c r="O25">
        <v>20</v>
      </c>
      <c r="T25" s="5">
        <v>5282300</v>
      </c>
      <c r="U25">
        <f t="shared" si="0"/>
        <v>1320575</v>
      </c>
    </row>
    <row r="26" spans="2:21" ht="17" x14ac:dyDescent="0.2">
      <c r="B26" s="17" t="s">
        <v>61</v>
      </c>
      <c r="C26" s="18"/>
      <c r="D26" s="18"/>
      <c r="F26" s="18"/>
      <c r="G26" s="18"/>
      <c r="I26" s="18"/>
      <c r="J26" s="18"/>
      <c r="M26">
        <v>1.8</v>
      </c>
      <c r="N26">
        <f>SUM(M$6:M26)</f>
        <v>79.959999999999994</v>
      </c>
      <c r="O26">
        <v>20</v>
      </c>
      <c r="T26" s="5">
        <v>5387950</v>
      </c>
      <c r="U26">
        <f t="shared" si="0"/>
        <v>1346988</v>
      </c>
    </row>
    <row r="27" spans="2:21" ht="17" x14ac:dyDescent="0.2">
      <c r="B27" s="20" t="s">
        <v>66</v>
      </c>
      <c r="C27" s="4">
        <f>C15</f>
        <v>1</v>
      </c>
      <c r="D27" s="4">
        <f>D15</f>
        <v>3</v>
      </c>
      <c r="T27" s="5"/>
    </row>
    <row r="28" spans="2:21" x14ac:dyDescent="0.2">
      <c r="B28" s="20"/>
      <c r="T28" s="5"/>
    </row>
    <row r="29" spans="2:21" ht="17" x14ac:dyDescent="0.2">
      <c r="B29" s="21" t="s">
        <v>81</v>
      </c>
      <c r="C29" s="8"/>
      <c r="D29" s="8"/>
      <c r="T29" s="5"/>
    </row>
    <row r="30" spans="2:21" ht="17" x14ac:dyDescent="0.2">
      <c r="B30" s="20" t="s">
        <v>82</v>
      </c>
      <c r="D30" s="4">
        <f>D9</f>
        <v>85</v>
      </c>
      <c r="G30" s="4">
        <f>D9</f>
        <v>85</v>
      </c>
      <c r="J30" s="4">
        <f>D9</f>
        <v>85</v>
      </c>
      <c r="T30" s="5"/>
    </row>
    <row r="31" spans="2:21" ht="17" x14ac:dyDescent="0.2">
      <c r="B31" s="20" t="s">
        <v>83</v>
      </c>
      <c r="D31" s="4">
        <v>0</v>
      </c>
      <c r="G31" s="4">
        <f>G9</f>
        <v>80</v>
      </c>
      <c r="H31" s="5" t="s">
        <v>88</v>
      </c>
      <c r="J31" s="4">
        <f>G9</f>
        <v>80</v>
      </c>
      <c r="T31" s="5"/>
    </row>
    <row r="32" spans="2:21" ht="17" x14ac:dyDescent="0.2">
      <c r="B32" s="20" t="s">
        <v>84</v>
      </c>
      <c r="D32" s="4">
        <v>0</v>
      </c>
      <c r="G32" s="4">
        <v>0</v>
      </c>
      <c r="J32" s="4">
        <f>J9</f>
        <v>92</v>
      </c>
      <c r="T32" s="5"/>
    </row>
    <row r="33" spans="2:21" x14ac:dyDescent="0.2">
      <c r="B33" s="20"/>
      <c r="T33" s="5"/>
    </row>
    <row r="34" spans="2:21" ht="17" x14ac:dyDescent="0.2">
      <c r="B34" s="20" t="s">
        <v>85</v>
      </c>
      <c r="D34" s="4">
        <f>D30*N6</f>
        <v>0</v>
      </c>
      <c r="G34" s="4">
        <f>G30*N7</f>
        <v>0.85</v>
      </c>
      <c r="J34" s="4">
        <f>J30*N8</f>
        <v>5.1000000000000005</v>
      </c>
      <c r="T34" s="5"/>
    </row>
    <row r="35" spans="2:21" ht="17" x14ac:dyDescent="0.2">
      <c r="B35" s="20" t="s">
        <v>86</v>
      </c>
      <c r="G35" s="4">
        <f>G31*N6</f>
        <v>0</v>
      </c>
      <c r="J35" s="4">
        <f>J31*N7</f>
        <v>0.8</v>
      </c>
      <c r="T35" s="5"/>
    </row>
    <row r="36" spans="2:21" ht="17" x14ac:dyDescent="0.2">
      <c r="B36" s="20" t="s">
        <v>87</v>
      </c>
      <c r="J36" s="4">
        <f>J32*N6</f>
        <v>0</v>
      </c>
      <c r="T36" s="5"/>
    </row>
    <row r="37" spans="2:21" x14ac:dyDescent="0.2">
      <c r="B37" s="19"/>
      <c r="T37" s="5"/>
    </row>
    <row r="38" spans="2:21" x14ac:dyDescent="0.2">
      <c r="B38" s="19"/>
      <c r="T38" s="5"/>
    </row>
    <row r="39" spans="2:21" x14ac:dyDescent="0.2">
      <c r="B39" s="19"/>
      <c r="T39" s="5"/>
    </row>
    <row r="40" spans="2:21" x14ac:dyDescent="0.2">
      <c r="B40" s="19"/>
      <c r="T40" s="5"/>
    </row>
    <row r="41" spans="2:21" x14ac:dyDescent="0.2">
      <c r="B41" s="19"/>
      <c r="T41" s="5"/>
    </row>
    <row r="42" spans="2:21" ht="17" x14ac:dyDescent="0.2">
      <c r="B42" s="17" t="s">
        <v>65</v>
      </c>
      <c r="C42" s="18"/>
      <c r="D42" s="18"/>
      <c r="F42" s="18"/>
      <c r="G42" s="18"/>
      <c r="I42" s="18"/>
      <c r="J42" s="18"/>
      <c r="T42" s="5"/>
    </row>
    <row r="43" spans="2:21" ht="17" x14ac:dyDescent="0.2">
      <c r="B43" s="16" t="s">
        <v>55</v>
      </c>
      <c r="C43" s="4">
        <f>C8*C12*$C$10</f>
        <v>5250</v>
      </c>
      <c r="D43" s="4">
        <f>D8*D12*$C$10</f>
        <v>7000</v>
      </c>
      <c r="M43">
        <v>1.1000000000000001</v>
      </c>
      <c r="N43">
        <f>SUM(M$6:M43)</f>
        <v>81.059999999999988</v>
      </c>
      <c r="O43">
        <v>20</v>
      </c>
      <c r="T43" s="5">
        <v>5495710</v>
      </c>
      <c r="U43">
        <f t="shared" si="0"/>
        <v>1373928</v>
      </c>
    </row>
    <row r="44" spans="2:21" ht="17" x14ac:dyDescent="0.2">
      <c r="B44" s="16" t="s">
        <v>79</v>
      </c>
      <c r="C44" s="4">
        <f>C13*C12</f>
        <v>750000</v>
      </c>
      <c r="D44" s="4">
        <f>D13*D12</f>
        <v>5000000</v>
      </c>
      <c r="T44" s="5"/>
    </row>
    <row r="45" spans="2:21" ht="34" x14ac:dyDescent="0.2">
      <c r="B45" s="16" t="s">
        <v>59</v>
      </c>
      <c r="C45" s="4">
        <f>MAX(C12 - $C$12*$C$11, 0)</f>
        <v>105</v>
      </c>
      <c r="D45" s="4">
        <f>MAX(D12 - $D$12*$C$11, 0)</f>
        <v>70</v>
      </c>
      <c r="T45" s="5"/>
    </row>
    <row r="46" spans="2:21" ht="17" x14ac:dyDescent="0.2">
      <c r="B46" s="16" t="s">
        <v>73</v>
      </c>
      <c r="C46" s="4">
        <f>MAX(C7-C8 - C13, 0)*C45</f>
        <v>519750</v>
      </c>
      <c r="D46" s="4">
        <f>MAX(D7-D8 - D13, 0)*D45</f>
        <v>13993000</v>
      </c>
      <c r="T46" s="5"/>
    </row>
    <row r="47" spans="2:21" ht="17" x14ac:dyDescent="0.2">
      <c r="B47" s="16" t="s">
        <v>74</v>
      </c>
      <c r="T47" s="5"/>
    </row>
    <row r="48" spans="2:21" ht="17" x14ac:dyDescent="0.2">
      <c r="B48" s="16" t="s">
        <v>64</v>
      </c>
      <c r="D48" s="4">
        <v>0</v>
      </c>
      <c r="T48" s="5"/>
    </row>
    <row r="49" spans="2:21" ht="17" x14ac:dyDescent="0.2">
      <c r="B49" s="16" t="s">
        <v>63</v>
      </c>
      <c r="C49" s="4">
        <f>C46+C43+D46+D43+D48</f>
        <v>14525000</v>
      </c>
      <c r="M49">
        <v>0.5</v>
      </c>
      <c r="N49">
        <f>SUM(M$6:M49)</f>
        <v>81.559999999999988</v>
      </c>
      <c r="O49">
        <v>20</v>
      </c>
      <c r="T49" s="5">
        <v>5605620</v>
      </c>
      <c r="U49">
        <f t="shared" si="0"/>
        <v>1401405</v>
      </c>
    </row>
    <row r="50" spans="2:21" x14ac:dyDescent="0.2">
      <c r="M50">
        <v>0.3</v>
      </c>
      <c r="N50">
        <f>SUM(M$6:M50)</f>
        <v>81.859999999999985</v>
      </c>
      <c r="O50">
        <v>20</v>
      </c>
      <c r="T50" s="5">
        <v>5717730</v>
      </c>
      <c r="U50">
        <f t="shared" si="0"/>
        <v>1429433</v>
      </c>
    </row>
    <row r="51" spans="2:21" ht="17" x14ac:dyDescent="0.2">
      <c r="B51" s="16" t="s">
        <v>62</v>
      </c>
      <c r="C51" s="4">
        <f>MIN(C19,C49)</f>
        <v>1000000</v>
      </c>
      <c r="M51">
        <v>0.2</v>
      </c>
      <c r="N51">
        <f>SUM(M$6:M51)</f>
        <v>82.059999999999988</v>
      </c>
      <c r="O51">
        <v>20</v>
      </c>
      <c r="T51" s="5">
        <v>5832080</v>
      </c>
      <c r="U51">
        <f t="shared" si="0"/>
        <v>1458020</v>
      </c>
    </row>
    <row r="52" spans="2:21" x14ac:dyDescent="0.2">
      <c r="M52">
        <v>0.18</v>
      </c>
      <c r="N52">
        <f>SUM(M$6:M52)</f>
        <v>82.24</v>
      </c>
      <c r="O52">
        <v>20</v>
      </c>
      <c r="T52" s="5">
        <v>5948720</v>
      </c>
      <c r="U52">
        <f t="shared" si="0"/>
        <v>1487180</v>
      </c>
    </row>
    <row r="53" spans="2:21" x14ac:dyDescent="0.2">
      <c r="M53">
        <v>0.17</v>
      </c>
      <c r="N53">
        <f>SUM(M$6:M53)</f>
        <v>82.41</v>
      </c>
      <c r="O53">
        <v>20</v>
      </c>
      <c r="T53" s="5">
        <v>6067690</v>
      </c>
      <c r="U53">
        <f t="shared" si="0"/>
        <v>1516923</v>
      </c>
    </row>
    <row r="54" spans="2:21" x14ac:dyDescent="0.2">
      <c r="M54">
        <v>0.16</v>
      </c>
      <c r="N54">
        <f>SUM(M$6:M54)</f>
        <v>82.57</v>
      </c>
      <c r="O54">
        <v>20</v>
      </c>
      <c r="T54" s="5">
        <v>6189040</v>
      </c>
      <c r="U54">
        <f t="shared" si="0"/>
        <v>1547260</v>
      </c>
    </row>
    <row r="55" spans="2:21" x14ac:dyDescent="0.2">
      <c r="M55">
        <v>0.15</v>
      </c>
      <c r="N55">
        <f>SUM(M$6:M55)</f>
        <v>82.72</v>
      </c>
      <c r="O55">
        <v>20</v>
      </c>
      <c r="T55" s="5">
        <v>6312820</v>
      </c>
      <c r="U55">
        <f t="shared" si="0"/>
        <v>1578205</v>
      </c>
    </row>
    <row r="56" spans="2:21" x14ac:dyDescent="0.2">
      <c r="M56">
        <v>0.14000000000000001</v>
      </c>
      <c r="N56">
        <f>SUM(M$6:M56)</f>
        <v>82.86</v>
      </c>
      <c r="O56">
        <v>20</v>
      </c>
      <c r="T56" s="5">
        <v>6439080</v>
      </c>
      <c r="U56">
        <f t="shared" si="0"/>
        <v>1609770</v>
      </c>
    </row>
    <row r="57" spans="2:21" x14ac:dyDescent="0.2">
      <c r="M57">
        <v>0.13</v>
      </c>
      <c r="N57">
        <f>SUM(M$6:M57)</f>
        <v>82.99</v>
      </c>
      <c r="O57">
        <v>20</v>
      </c>
      <c r="T57" s="5">
        <v>6567860</v>
      </c>
      <c r="U57">
        <f t="shared" si="0"/>
        <v>1641965</v>
      </c>
    </row>
    <row r="58" spans="2:21" x14ac:dyDescent="0.2">
      <c r="M58">
        <v>0.125</v>
      </c>
      <c r="N58">
        <f>SUM(M$6:M58)</f>
        <v>83.114999999999995</v>
      </c>
      <c r="O58">
        <v>20</v>
      </c>
      <c r="T58" s="5">
        <v>6699220</v>
      </c>
      <c r="U58">
        <f t="shared" si="0"/>
        <v>1674805</v>
      </c>
    </row>
    <row r="59" spans="2:21" x14ac:dyDescent="0.2">
      <c r="M59">
        <v>0.1225</v>
      </c>
      <c r="N59">
        <f>SUM(M$6:M59)</f>
        <v>83.237499999999997</v>
      </c>
      <c r="O59">
        <v>20</v>
      </c>
      <c r="T59" s="5">
        <v>6833200</v>
      </c>
      <c r="U59">
        <f t="shared" si="0"/>
        <v>1708300</v>
      </c>
    </row>
    <row r="60" spans="2:21" x14ac:dyDescent="0.2">
      <c r="M60">
        <v>0.12239999999999999</v>
      </c>
      <c r="N60">
        <f>SUM(M$6:M60)</f>
        <v>83.359899999999996</v>
      </c>
      <c r="O60">
        <v>20</v>
      </c>
      <c r="T60" s="5">
        <v>6969860</v>
      </c>
      <c r="U60">
        <f t="shared" si="0"/>
        <v>1742465</v>
      </c>
    </row>
    <row r="61" spans="2:21" x14ac:dyDescent="0.2">
      <c r="M61">
        <v>0.12230000000000001</v>
      </c>
      <c r="N61">
        <f>SUM(M$6:M61)</f>
        <v>83.482199999999992</v>
      </c>
      <c r="O61">
        <v>20</v>
      </c>
    </row>
  </sheetData>
  <mergeCells count="6">
    <mergeCell ref="E2:F2"/>
    <mergeCell ref="E3:F3"/>
    <mergeCell ref="F5:G5"/>
    <mergeCell ref="I5:J5"/>
    <mergeCell ref="C5:D5"/>
    <mergeCell ref="A5:B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2025-12-16T19:34:46Z</dcterms:modified>
</cp:coreProperties>
</file>