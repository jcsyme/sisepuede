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E6D111AA-CE75-364C-8638-1EC89673CD28}" xr6:coauthVersionLast="47" xr6:coauthVersionMax="47" xr10:uidLastSave="{00000000-0000-0000-0000-000000000000}"/>
  <bookViews>
    <workbookView xWindow="3280" yWindow="760" windowWidth="34200" windowHeight="200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3" i="3" l="1"/>
  <c r="J115" i="3"/>
  <c r="J116" i="3" s="1"/>
  <c r="J120" i="3" s="1"/>
  <c r="K120" i="3"/>
  <c r="G122" i="3"/>
  <c r="G115" i="3"/>
  <c r="G153" i="3"/>
  <c r="H150" i="3"/>
  <c r="G150" i="3"/>
  <c r="G158" i="3"/>
  <c r="G137" i="3"/>
  <c r="H137" i="3"/>
  <c r="H152" i="3"/>
  <c r="G152" i="3"/>
  <c r="G126" i="3"/>
  <c r="G151" i="3"/>
  <c r="H151" i="3"/>
  <c r="H126" i="3"/>
  <c r="H124" i="3"/>
  <c r="G127" i="3"/>
  <c r="G129" i="3"/>
  <c r="H123" i="3"/>
  <c r="H115" i="3"/>
  <c r="H56" i="3"/>
  <c r="Y153" i="3"/>
  <c r="G12" i="3"/>
  <c r="Y12" i="3"/>
  <c r="V12" i="3"/>
  <c r="S12" i="3"/>
  <c r="P12" i="3"/>
  <c r="M12" i="3"/>
  <c r="J12" i="3"/>
  <c r="K47" i="3"/>
  <c r="K64" i="3"/>
  <c r="J111" i="3"/>
  <c r="H112" i="3"/>
  <c r="G8" i="3"/>
  <c r="G14" i="3"/>
  <c r="J7" i="3" s="1"/>
  <c r="J112" i="3" s="1"/>
  <c r="G112" i="3"/>
  <c r="H111" i="3"/>
  <c r="H114" i="3" s="1"/>
  <c r="N64" i="3"/>
  <c r="H51" i="3"/>
  <c r="J122" i="3" l="1"/>
  <c r="G132" i="3"/>
  <c r="G133" i="3" s="1"/>
  <c r="J113" i="3"/>
  <c r="J114" i="3" s="1"/>
  <c r="K113" i="3"/>
  <c r="J8" i="3"/>
  <c r="H116" i="3"/>
  <c r="H120" i="3" s="1"/>
  <c r="G85" i="3"/>
  <c r="G83" i="3"/>
  <c r="G84" i="3"/>
  <c r="G82" i="3"/>
  <c r="K46" i="3"/>
  <c r="I43" i="3"/>
  <c r="I42" i="3"/>
  <c r="K41" i="3"/>
  <c r="H64" i="3"/>
  <c r="H88" i="3" s="1"/>
  <c r="H102" i="3"/>
  <c r="H101" i="3"/>
  <c r="H100" i="3"/>
  <c r="J89" i="3" s="1"/>
  <c r="H40" i="3"/>
  <c r="I40" i="3" s="1"/>
  <c r="G23" i="3"/>
  <c r="G24" i="3" s="1"/>
  <c r="H14" i="3"/>
  <c r="H10" i="3"/>
  <c r="K89" i="3"/>
  <c r="G31" i="3"/>
  <c r="J31" i="3"/>
  <c r="Z17" i="3"/>
  <c r="Y17" i="3"/>
  <c r="W17" i="3"/>
  <c r="V17" i="3"/>
  <c r="T17" i="3"/>
  <c r="S17" i="3"/>
  <c r="Q17" i="3"/>
  <c r="P17" i="3"/>
  <c r="N17" i="3"/>
  <c r="M17" i="3"/>
  <c r="K17" i="3"/>
  <c r="J17" i="3"/>
  <c r="H17" i="3"/>
  <c r="G17" i="3"/>
  <c r="H23" i="3"/>
  <c r="K7" i="3" l="1"/>
  <c r="K112" i="3" s="1"/>
  <c r="K76" i="3"/>
  <c r="H117" i="3"/>
  <c r="K77" i="3"/>
  <c r="N73" i="3"/>
  <c r="H99" i="3"/>
  <c r="H121" i="3" s="1"/>
  <c r="H122" i="3" s="1"/>
  <c r="H70" i="3"/>
  <c r="I41" i="3"/>
  <c r="G116" i="3"/>
  <c r="G124" i="3" s="1"/>
  <c r="H28" i="3"/>
  <c r="H129" i="3" s="1"/>
  <c r="K10" i="3"/>
  <c r="K14" i="3"/>
  <c r="K27" i="3" s="1"/>
  <c r="H27" i="3"/>
  <c r="H11" i="3" s="1"/>
  <c r="H12" i="3" s="1"/>
  <c r="H49" i="3"/>
  <c r="H53" i="3"/>
  <c r="H59" i="3"/>
  <c r="H93" i="3" s="1"/>
  <c r="H58" i="3"/>
  <c r="K90" i="3"/>
  <c r="H52" i="3"/>
  <c r="N42" i="3"/>
  <c r="N72" i="3" s="1"/>
  <c r="K71" i="3"/>
  <c r="N48" i="3"/>
  <c r="N61" i="3" s="1"/>
  <c r="N90" i="3"/>
  <c r="H54" i="3"/>
  <c r="K48" i="3"/>
  <c r="N47" i="3"/>
  <c r="N60" i="3" s="1"/>
  <c r="H60" i="3"/>
  <c r="H94" i="3" s="1"/>
  <c r="H61" i="3"/>
  <c r="H95" i="3" s="1"/>
  <c r="Q48" i="3"/>
  <c r="Q61" i="3" s="1"/>
  <c r="I39" i="3"/>
  <c r="L39" i="3"/>
  <c r="H31" i="3"/>
  <c r="G111" i="3"/>
  <c r="G114" i="3" s="1"/>
  <c r="AF10" i="3"/>
  <c r="Z111" i="3"/>
  <c r="Y111" i="3"/>
  <c r="W111" i="3"/>
  <c r="V111" i="3"/>
  <c r="T111" i="3"/>
  <c r="S111" i="3"/>
  <c r="Q111" i="3"/>
  <c r="P111" i="3"/>
  <c r="N111" i="3"/>
  <c r="M111" i="3"/>
  <c r="K111" i="3"/>
  <c r="Q91" i="3"/>
  <c r="N91" i="3"/>
  <c r="Z67" i="3"/>
  <c r="Z91" i="3" s="1"/>
  <c r="Z66" i="3"/>
  <c r="Z90" i="3" s="1"/>
  <c r="Z65" i="3"/>
  <c r="Z89" i="3" s="1"/>
  <c r="Z64" i="3"/>
  <c r="W64" i="3"/>
  <c r="X39" i="3"/>
  <c r="K91" i="3"/>
  <c r="H90" i="3"/>
  <c r="H89" i="3"/>
  <c r="H91" i="3"/>
  <c r="J91" i="3"/>
  <c r="Q43" i="3"/>
  <c r="U39" i="3"/>
  <c r="R39" i="3"/>
  <c r="O39" i="3"/>
  <c r="Q66" i="3"/>
  <c r="Q90" i="3" s="1"/>
  <c r="N65" i="3"/>
  <c r="N89" i="3" s="1"/>
  <c r="T64" i="3"/>
  <c r="Q64" i="3"/>
  <c r="H8" i="3"/>
  <c r="K8" i="3" s="1"/>
  <c r="G125" i="3" l="1"/>
  <c r="K11" i="3"/>
  <c r="K12" i="3" s="1"/>
  <c r="G117" i="3"/>
  <c r="G140" i="3" s="1"/>
  <c r="G141" i="3" s="1"/>
  <c r="G120" i="3"/>
  <c r="J88" i="3"/>
  <c r="K88" i="3" s="1"/>
  <c r="G123" i="3"/>
  <c r="K61" i="3"/>
  <c r="K78" i="3"/>
  <c r="G28" i="3"/>
  <c r="K114" i="3"/>
  <c r="H55" i="3"/>
  <c r="H62" i="3"/>
  <c r="H96" i="3" s="1"/>
  <c r="H97" i="3" s="1"/>
  <c r="Q73" i="3"/>
  <c r="K59" i="3"/>
  <c r="H106" i="3"/>
  <c r="J90" i="3"/>
  <c r="K60" i="3"/>
  <c r="H107" i="3"/>
  <c r="H105" i="3"/>
  <c r="H24" i="3"/>
  <c r="H140" i="3" s="1"/>
  <c r="H141" i="3" s="1"/>
  <c r="G143" i="3" l="1"/>
  <c r="H125" i="3"/>
  <c r="J14" i="3"/>
  <c r="H104" i="3"/>
  <c r="M7" i="3"/>
  <c r="J28" i="3"/>
  <c r="N8" i="3"/>
  <c r="H128" i="3" l="1"/>
  <c r="G128" i="3"/>
  <c r="M14" i="3"/>
  <c r="P7" i="3" s="1"/>
  <c r="P112" i="3" s="1"/>
  <c r="M112" i="3"/>
  <c r="K28" i="3"/>
  <c r="N7" i="3"/>
  <c r="Q8" i="3"/>
  <c r="J40" i="3" l="1"/>
  <c r="J42" i="3"/>
  <c r="K53" i="3" s="1"/>
  <c r="J43" i="3"/>
  <c r="K54" i="3" s="1"/>
  <c r="J41" i="3"/>
  <c r="M28" i="3"/>
  <c r="P14" i="3"/>
  <c r="N112" i="3"/>
  <c r="N14" i="3"/>
  <c r="N28" i="3" s="1"/>
  <c r="H143" i="3"/>
  <c r="G144" i="3" s="1"/>
  <c r="G134" i="3" s="1"/>
  <c r="G135" i="3" s="1"/>
  <c r="G136" i="3" s="1"/>
  <c r="K52" i="3"/>
  <c r="N10" i="3"/>
  <c r="T8" i="3"/>
  <c r="W65" i="3"/>
  <c r="W89" i="3" s="1"/>
  <c r="W66" i="3"/>
  <c r="W90" i="3" s="1"/>
  <c r="T65" i="3"/>
  <c r="T89" i="3" s="1"/>
  <c r="T67" i="3"/>
  <c r="T91" i="3" s="1"/>
  <c r="W67" i="3"/>
  <c r="W91" i="3" s="1"/>
  <c r="T66" i="3"/>
  <c r="T90" i="3" s="1"/>
  <c r="Q65" i="3"/>
  <c r="Q89" i="3" s="1"/>
  <c r="AF15" i="3"/>
  <c r="AF18" i="3"/>
  <c r="AF19" i="3"/>
  <c r="AF20" i="3"/>
  <c r="AF21" i="3"/>
  <c r="AF23" i="3"/>
  <c r="AF24" i="3"/>
  <c r="AF25" i="3"/>
  <c r="AF26" i="3"/>
  <c r="AF27" i="3"/>
  <c r="AF28" i="3"/>
  <c r="AF29" i="3"/>
  <c r="AF13"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45" i="3" l="1"/>
  <c r="K40" i="3"/>
  <c r="K70" i="3" s="1"/>
  <c r="K45" i="3"/>
  <c r="S7" i="3"/>
  <c r="P28" i="3"/>
  <c r="N27" i="3"/>
  <c r="N11" i="3" s="1"/>
  <c r="N12" i="3" s="1"/>
  <c r="G156" i="3"/>
  <c r="Q7" i="3"/>
  <c r="Q112" i="3" s="1"/>
  <c r="Q14" i="3"/>
  <c r="Q28"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G138" i="3" l="1"/>
  <c r="K58" i="3"/>
  <c r="K62" i="3" s="1"/>
  <c r="K49" i="3"/>
  <c r="K75" i="3"/>
  <c r="J85" i="3" s="1"/>
  <c r="S14" i="3"/>
  <c r="S112" i="3"/>
  <c r="H144" i="3"/>
  <c r="H145" i="3" s="1"/>
  <c r="K51" i="3"/>
  <c r="K55" i="3" s="1"/>
  <c r="K56" i="3" s="1"/>
  <c r="L41" i="3"/>
  <c r="L42" i="3"/>
  <c r="Q27" i="3"/>
  <c r="T7" i="3"/>
  <c r="T14" i="3" s="1"/>
  <c r="T28" i="3" s="1"/>
  <c r="Z8" i="3"/>
  <c r="L40"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H138" i="3" l="1"/>
  <c r="V7" i="3"/>
  <c r="S28" i="3"/>
  <c r="H83" i="3"/>
  <c r="H82" i="3"/>
  <c r="J82" i="3"/>
  <c r="J83" i="3"/>
  <c r="K79" i="3"/>
  <c r="J84" i="3"/>
  <c r="H148" i="3"/>
  <c r="M41" i="3"/>
  <c r="N41" i="3" s="1"/>
  <c r="N71" i="3" s="1"/>
  <c r="T112" i="3"/>
  <c r="H156" i="3"/>
  <c r="T10" i="3"/>
  <c r="M40" i="3"/>
  <c r="T27" i="3"/>
  <c r="W7" i="3"/>
  <c r="Z7" i="3" s="1"/>
  <c r="Z14" i="3" s="1"/>
  <c r="Z28" i="3" s="1"/>
  <c r="Q11" i="3"/>
  <c r="Q12" i="3" s="1"/>
  <c r="L43" i="3"/>
  <c r="P8" i="3"/>
  <c r="Q3" i="2"/>
  <c r="AA4" i="2" s="1"/>
  <c r="K115" i="3" l="1"/>
  <c r="K116" i="3" s="1"/>
  <c r="K124" i="3" s="1"/>
  <c r="K125" i="3" s="1"/>
  <c r="H84" i="3"/>
  <c r="G148" i="3"/>
  <c r="J124" i="3" s="1"/>
  <c r="J125" i="3" s="1"/>
  <c r="H149" i="3"/>
  <c r="V14" i="3"/>
  <c r="V28" i="3" s="1"/>
  <c r="V112" i="3"/>
  <c r="N40" i="3"/>
  <c r="W10" i="3"/>
  <c r="W112" i="3"/>
  <c r="W14" i="3"/>
  <c r="W28" i="3" s="1"/>
  <c r="Z27" i="3"/>
  <c r="T11" i="3"/>
  <c r="T12" i="3" s="1"/>
  <c r="Z10" i="3"/>
  <c r="Z112" i="3"/>
  <c r="M42" i="3"/>
  <c r="N53" i="3" s="1"/>
  <c r="M43" i="3"/>
  <c r="N54" i="3" s="1"/>
  <c r="S8" i="3"/>
  <c r="F4" i="2"/>
  <c r="R7" i="2"/>
  <c r="G4" i="2"/>
  <c r="K4" i="2"/>
  <c r="J4" i="2"/>
  <c r="Z11" i="3" l="1"/>
  <c r="Z12" i="3" s="1"/>
  <c r="O40" i="3"/>
  <c r="P40" i="3" s="1"/>
  <c r="Q40" i="3" s="1"/>
  <c r="R40" i="3" s="1"/>
  <c r="S40" i="3" s="1"/>
  <c r="T40" i="3" s="1"/>
  <c r="N70" i="3"/>
  <c r="G149" i="3"/>
  <c r="W27" i="3"/>
  <c r="W11" i="3" s="1"/>
  <c r="W12" i="3" s="1"/>
  <c r="O41" i="3"/>
  <c r="P41" i="3" s="1"/>
  <c r="Q41" i="3" s="1"/>
  <c r="Q71" i="3" s="1"/>
  <c r="G159" i="3"/>
  <c r="H85" i="3"/>
  <c r="V8" i="3"/>
  <c r="Y7" i="3"/>
  <c r="Y112" i="3" s="1"/>
  <c r="U4" i="2"/>
  <c r="R8" i="2"/>
  <c r="Q70" i="3" l="1"/>
  <c r="T70" i="3" s="1"/>
  <c r="M113" i="3"/>
  <c r="O42" i="3"/>
  <c r="P42" i="3" s="1"/>
  <c r="Q42" i="3" s="1"/>
  <c r="Q72" i="3" s="1"/>
  <c r="O43" i="3"/>
  <c r="P43" i="3" s="1"/>
  <c r="Q54" i="3" s="1"/>
  <c r="R41" i="3"/>
  <c r="S41" i="3" s="1"/>
  <c r="T41" i="3" s="1"/>
  <c r="T71" i="3" s="1"/>
  <c r="Y8" i="3"/>
  <c r="Y14" i="3"/>
  <c r="U40" i="3"/>
  <c r="V40" i="3" s="1"/>
  <c r="W40" i="3" s="1"/>
  <c r="O4" i="2"/>
  <c r="P4" i="2" s="1"/>
  <c r="X5" i="2" s="1"/>
  <c r="Z5" i="2" s="1"/>
  <c r="J5" i="2" s="1"/>
  <c r="R9" i="2"/>
  <c r="K126" i="3" l="1"/>
  <c r="W70" i="3"/>
  <c r="N113" i="3"/>
  <c r="N114" i="3" s="1"/>
  <c r="K153" i="3" s="1"/>
  <c r="R43" i="3"/>
  <c r="R42" i="3"/>
  <c r="S42" i="3" s="1"/>
  <c r="T42" i="3" s="1"/>
  <c r="T72" i="3" s="1"/>
  <c r="Y28" i="3"/>
  <c r="M114" i="3"/>
  <c r="J153" i="3" s="1"/>
  <c r="U41" i="3"/>
  <c r="V41" i="3" s="1"/>
  <c r="W41" i="3" s="1"/>
  <c r="W71" i="3" s="1"/>
  <c r="X40" i="3"/>
  <c r="Y40" i="3" s="1"/>
  <c r="Z40" i="3" s="1"/>
  <c r="Q4" i="2"/>
  <c r="Y5" i="2" s="1"/>
  <c r="AA5" i="2" s="1"/>
  <c r="F5" i="2"/>
  <c r="R10" i="2"/>
  <c r="Z70" i="3" l="1"/>
  <c r="J117" i="3"/>
  <c r="J129" i="3" s="1"/>
  <c r="S43" i="3"/>
  <c r="T43" i="3" s="1"/>
  <c r="T73" i="3" s="1"/>
  <c r="K117" i="3"/>
  <c r="K129" i="3" s="1"/>
  <c r="J123" i="3"/>
  <c r="U43" i="3"/>
  <c r="U42" i="3"/>
  <c r="V42" i="3" s="1"/>
  <c r="W42" i="3" s="1"/>
  <c r="W72" i="3" s="1"/>
  <c r="X41" i="3"/>
  <c r="Y41" i="3" s="1"/>
  <c r="Z41" i="3" s="1"/>
  <c r="Z71" i="3" s="1"/>
  <c r="R11" i="2"/>
  <c r="G5" i="2"/>
  <c r="U5" i="2" s="1"/>
  <c r="O5" i="2" s="1"/>
  <c r="Q5" i="2" s="1"/>
  <c r="K5" i="2"/>
  <c r="K140" i="3" l="1"/>
  <c r="K141" i="3" s="1"/>
  <c r="J126" i="3"/>
  <c r="J140" i="3"/>
  <c r="J141" i="3" s="1"/>
  <c r="V43" i="3"/>
  <c r="W43" i="3" s="1"/>
  <c r="W73" i="3" s="1"/>
  <c r="X42" i="3"/>
  <c r="Y42" i="3" s="1"/>
  <c r="Z42" i="3" s="1"/>
  <c r="Z72" i="3" s="1"/>
  <c r="Y6" i="2"/>
  <c r="AA6" i="2" s="1"/>
  <c r="K6" i="2" s="1"/>
  <c r="R12" i="2"/>
  <c r="P5" i="2"/>
  <c r="X6" i="2" s="1"/>
  <c r="Z6" i="2" s="1"/>
  <c r="J6" i="2" s="1"/>
  <c r="K152" i="3" l="1"/>
  <c r="J152" i="3"/>
  <c r="J143" i="3"/>
  <c r="X43" i="3"/>
  <c r="K128" i="3"/>
  <c r="J128" i="3"/>
  <c r="J127" i="3"/>
  <c r="K143" i="3"/>
  <c r="Y43" i="3"/>
  <c r="Z43" i="3" s="1"/>
  <c r="Z73" i="3" s="1"/>
  <c r="G6" i="2"/>
  <c r="R13" i="2"/>
  <c r="F6" i="2"/>
  <c r="U6" i="2" s="1"/>
  <c r="W6" i="2" s="1"/>
  <c r="O6" i="2" s="1"/>
  <c r="J144" i="3" l="1"/>
  <c r="K144" i="3" s="1"/>
  <c r="K151" i="3"/>
  <c r="J151" i="3"/>
  <c r="J156" i="3" s="1"/>
  <c r="J132" i="3"/>
  <c r="R14" i="2"/>
  <c r="Y7" i="2"/>
  <c r="AA7" i="2" s="1"/>
  <c r="J133" i="3" l="1"/>
  <c r="J145" i="3"/>
  <c r="K145" i="3"/>
  <c r="X7" i="2"/>
  <c r="Z7" i="2" s="1"/>
  <c r="R15" i="2"/>
  <c r="G7" i="2"/>
  <c r="K7" i="2"/>
  <c r="J134" i="3" l="1"/>
  <c r="J135" i="3" s="1"/>
  <c r="J7" i="2"/>
  <c r="F7" i="2"/>
  <c r="U7" i="2" s="1"/>
  <c r="O7" i="2" s="1"/>
  <c r="R16" i="2"/>
  <c r="K137" i="3" l="1"/>
  <c r="J137" i="3"/>
  <c r="J136" i="3"/>
  <c r="J158" i="3" s="1"/>
  <c r="J159" i="3" s="1"/>
  <c r="J148" i="3"/>
  <c r="J149" i="3" s="1"/>
  <c r="J138" i="3"/>
  <c r="J150" i="3"/>
  <c r="K82" i="3"/>
  <c r="K93" i="3" s="1"/>
  <c r="K84" i="3"/>
  <c r="K156" i="3"/>
  <c r="M115" i="3"/>
  <c r="M116" i="3" s="1"/>
  <c r="M124" i="3" s="1"/>
  <c r="M125" i="3" s="1"/>
  <c r="K85" i="3"/>
  <c r="K96" i="3" s="1"/>
  <c r="P7" i="2"/>
  <c r="X8" i="2" s="1"/>
  <c r="Z8" i="2" s="1"/>
  <c r="Q7" i="2"/>
  <c r="Y8" i="2" s="1"/>
  <c r="AA8" i="2" s="1"/>
  <c r="G8" i="2" s="1"/>
  <c r="J8" i="2"/>
  <c r="R17" i="2"/>
  <c r="F8" i="2"/>
  <c r="K83" i="3" l="1"/>
  <c r="K94" i="3" s="1"/>
  <c r="K138" i="3"/>
  <c r="K150" i="3"/>
  <c r="K99" i="3"/>
  <c r="K104" i="3" s="1"/>
  <c r="K100" i="3"/>
  <c r="K95" i="3"/>
  <c r="K101" i="3" s="1"/>
  <c r="K106" i="3" s="1"/>
  <c r="K102" i="3"/>
  <c r="P113" i="3"/>
  <c r="K8" i="2"/>
  <c r="W8" i="2"/>
  <c r="R18" i="2"/>
  <c r="K97" i="3" l="1"/>
  <c r="K148" i="3" s="1"/>
  <c r="N115" i="3" s="1"/>
  <c r="K121" i="3"/>
  <c r="N77" i="3"/>
  <c r="N78" i="3"/>
  <c r="K107" i="3"/>
  <c r="M91" i="3"/>
  <c r="N46" i="3"/>
  <c r="M90" i="3"/>
  <c r="P114" i="3"/>
  <c r="M153" i="3" s="1"/>
  <c r="O8" i="2"/>
  <c r="Q8" i="2" s="1"/>
  <c r="Y9" i="2" s="1"/>
  <c r="AA9" i="2" s="1"/>
  <c r="R19" i="2"/>
  <c r="K122" i="3" l="1"/>
  <c r="K123" i="3" s="1"/>
  <c r="M88" i="3"/>
  <c r="N88" i="3" s="1"/>
  <c r="N45" i="3"/>
  <c r="N58" i="3" s="1"/>
  <c r="K149" i="3"/>
  <c r="N52" i="3"/>
  <c r="N59" i="3"/>
  <c r="M89" i="3"/>
  <c r="M120" i="3"/>
  <c r="M122" i="3" s="1"/>
  <c r="M123" i="3" s="1"/>
  <c r="K105" i="3"/>
  <c r="M117" i="3"/>
  <c r="M129" i="3" s="1"/>
  <c r="G9" i="2"/>
  <c r="K9" i="2"/>
  <c r="P8" i="2"/>
  <c r="X9" i="2" s="1"/>
  <c r="Z9" i="2" s="1"/>
  <c r="J9" i="2" s="1"/>
  <c r="F9" i="2"/>
  <c r="U9" i="2" s="1"/>
  <c r="W9" i="2" s="1"/>
  <c r="O9" i="2" s="1"/>
  <c r="P9" i="2" s="1"/>
  <c r="X10" i="2" s="1"/>
  <c r="Z10" i="2" s="1"/>
  <c r="J10" i="2" s="1"/>
  <c r="R20" i="2"/>
  <c r="Q113" i="3" l="1"/>
  <c r="Q114" i="3" s="1"/>
  <c r="N153" i="3" s="1"/>
  <c r="N116" i="3"/>
  <c r="N124" i="3" s="1"/>
  <c r="N125" i="3" s="1"/>
  <c r="N51" i="3"/>
  <c r="N55" i="3" s="1"/>
  <c r="N75" i="3"/>
  <c r="M82" i="3" s="1"/>
  <c r="N117" i="3"/>
  <c r="N129" i="3" s="1"/>
  <c r="N62" i="3"/>
  <c r="N76" i="3"/>
  <c r="M126" i="3"/>
  <c r="M140" i="3"/>
  <c r="M141" i="3" s="1"/>
  <c r="N49" i="3"/>
  <c r="Q9" i="2"/>
  <c r="Y10" i="2" s="1"/>
  <c r="AA10" i="2" s="1"/>
  <c r="G10" i="2" s="1"/>
  <c r="R21" i="2"/>
  <c r="F10" i="2"/>
  <c r="N56" i="3" l="1"/>
  <c r="M84" i="3"/>
  <c r="N120" i="3"/>
  <c r="M152" i="3"/>
  <c r="N140" i="3"/>
  <c r="N141" i="3" s="1"/>
  <c r="M143" i="3"/>
  <c r="M83" i="3"/>
  <c r="M85" i="3"/>
  <c r="N79" i="3"/>
  <c r="U10" i="2"/>
  <c r="W10" i="2" s="1"/>
  <c r="O10" i="2" s="1"/>
  <c r="Q10" i="2" s="1"/>
  <c r="K10" i="2"/>
  <c r="R22" i="2"/>
  <c r="N152" i="3" l="1"/>
  <c r="N143" i="3"/>
  <c r="M144" i="3" s="1"/>
  <c r="N126" i="3"/>
  <c r="N128" i="3" s="1"/>
  <c r="Y11" i="2"/>
  <c r="P10" i="2"/>
  <c r="X11" i="2" s="1"/>
  <c r="Z11" i="2" s="1"/>
  <c r="J11" i="2" s="1"/>
  <c r="R23" i="2"/>
  <c r="M127" i="3" l="1"/>
  <c r="M128" i="3"/>
  <c r="M145" i="3"/>
  <c r="N144" i="3"/>
  <c r="N145" i="3" s="1"/>
  <c r="AA11" i="2"/>
  <c r="G11" i="2" s="1"/>
  <c r="F11" i="2"/>
  <c r="U11" i="2" s="1"/>
  <c r="W11" i="2" s="1"/>
  <c r="O11" i="2" s="1"/>
  <c r="P11" i="2" s="1"/>
  <c r="X12" i="2" s="1"/>
  <c r="Z12" i="2" s="1"/>
  <c r="J12" i="2" s="1"/>
  <c r="R24" i="2"/>
  <c r="N151" i="3" l="1"/>
  <c r="M132" i="3"/>
  <c r="M151" i="3"/>
  <c r="M156" i="3" s="1"/>
  <c r="K11" i="2"/>
  <c r="Q11" i="2"/>
  <c r="R25" i="2"/>
  <c r="F12" i="2"/>
  <c r="M133" i="3" l="1"/>
  <c r="N156" i="3"/>
  <c r="Y12" i="2"/>
  <c r="AA12" i="2" s="1"/>
  <c r="R26" i="2"/>
  <c r="M134" i="3" l="1"/>
  <c r="M135" i="3" s="1"/>
  <c r="M136" i="3" s="1"/>
  <c r="G12" i="2"/>
  <c r="U12" i="2" s="1"/>
  <c r="W12" i="2" s="1"/>
  <c r="O12" i="2" s="1"/>
  <c r="Q12" i="2" s="1"/>
  <c r="K12" i="2"/>
  <c r="R27" i="2"/>
  <c r="N137" i="3" l="1"/>
  <c r="M137" i="3"/>
  <c r="N85" i="3"/>
  <c r="N96" i="3" s="1"/>
  <c r="N102" i="3" s="1"/>
  <c r="P91" i="3" s="1"/>
  <c r="N83" i="3"/>
  <c r="N94" i="3" s="1"/>
  <c r="N100" i="3" s="1"/>
  <c r="Q46" i="3" s="1"/>
  <c r="Q52" i="3" s="1"/>
  <c r="M158" i="3"/>
  <c r="N82" i="3"/>
  <c r="N93" i="3" s="1"/>
  <c r="N84" i="3"/>
  <c r="N95" i="3" s="1"/>
  <c r="N138" i="3"/>
  <c r="M159" i="3"/>
  <c r="N150" i="3"/>
  <c r="M150" i="3"/>
  <c r="M148" i="3"/>
  <c r="M138" i="3"/>
  <c r="N101" i="3"/>
  <c r="P90" i="3" s="1"/>
  <c r="Y13" i="2"/>
  <c r="AA13" i="2" s="1"/>
  <c r="G13" i="2" s="1"/>
  <c r="P12" i="2"/>
  <c r="X13" i="2" s="1"/>
  <c r="Z13" i="2" s="1"/>
  <c r="J13" i="2" s="1"/>
  <c r="R28" i="2"/>
  <c r="N107" i="3" l="1"/>
  <c r="P89" i="3"/>
  <c r="Q76" i="3"/>
  <c r="Q78" i="3"/>
  <c r="Q59" i="3"/>
  <c r="N105" i="3"/>
  <c r="M149" i="3"/>
  <c r="P115" i="3"/>
  <c r="N99" i="3"/>
  <c r="Q45" i="3" s="1"/>
  <c r="Q58" i="3" s="1"/>
  <c r="N97" i="3"/>
  <c r="N148" i="3" s="1"/>
  <c r="Q115" i="3" s="1"/>
  <c r="N106" i="3"/>
  <c r="Q47" i="3"/>
  <c r="Q53" i="3" s="1"/>
  <c r="N104" i="3"/>
  <c r="N121" i="3"/>
  <c r="N122" i="3" s="1"/>
  <c r="N123" i="3" s="1"/>
  <c r="K13" i="2"/>
  <c r="F13" i="2"/>
  <c r="U13" i="2" s="1"/>
  <c r="W13" i="2" s="1"/>
  <c r="O13" i="2" s="1"/>
  <c r="Q13" i="2" s="1"/>
  <c r="Y14" i="2" s="1"/>
  <c r="AA14" i="2" s="1"/>
  <c r="G14" i="2" s="1"/>
  <c r="R30" i="2"/>
  <c r="R29" i="2"/>
  <c r="P88" i="3" l="1"/>
  <c r="Q88" i="3" s="1"/>
  <c r="N149" i="3"/>
  <c r="S113" i="3"/>
  <c r="S114" i="3" s="1"/>
  <c r="P153" i="3" s="1"/>
  <c r="P116" i="3"/>
  <c r="Q77" i="3"/>
  <c r="Q116" i="3"/>
  <c r="Q117" i="3" s="1"/>
  <c r="Q140" i="3" s="1"/>
  <c r="Q141" i="3" s="1"/>
  <c r="Q60" i="3"/>
  <c r="T113" i="3"/>
  <c r="T114" i="3" s="1"/>
  <c r="Q153" i="3" s="1"/>
  <c r="Q62" i="3"/>
  <c r="Q75" i="3"/>
  <c r="P82" i="3" s="1"/>
  <c r="Q51" i="3"/>
  <c r="Q55" i="3" s="1"/>
  <c r="Q49" i="3"/>
  <c r="K14" i="2"/>
  <c r="P13" i="2"/>
  <c r="X14" i="2" s="1"/>
  <c r="Z14" i="2" s="1"/>
  <c r="J14" i="2" s="1"/>
  <c r="P124" i="3" l="1"/>
  <c r="P120" i="3"/>
  <c r="P122" i="3" s="1"/>
  <c r="P123" i="3" s="1"/>
  <c r="P117" i="3"/>
  <c r="Q120" i="3"/>
  <c r="Q124" i="3"/>
  <c r="Q125" i="3" s="1"/>
  <c r="Q129" i="3"/>
  <c r="Q143" i="3" s="1"/>
  <c r="P84" i="3"/>
  <c r="Q79" i="3"/>
  <c r="Q56" i="3"/>
  <c r="P85" i="3"/>
  <c r="P83" i="3"/>
  <c r="F14" i="2"/>
  <c r="U14" i="2" s="1"/>
  <c r="W14" i="2" s="1"/>
  <c r="O14" i="2" s="1"/>
  <c r="P14" i="2" s="1"/>
  <c r="X15" i="2" s="1"/>
  <c r="Z15" i="2" s="1"/>
  <c r="J15" i="2" s="1"/>
  <c r="Q152" i="3" l="1"/>
  <c r="P129" i="3"/>
  <c r="P140" i="3"/>
  <c r="P141" i="3" s="1"/>
  <c r="P125" i="3"/>
  <c r="P126" i="3" s="1"/>
  <c r="Q126" i="3"/>
  <c r="F15" i="2"/>
  <c r="Q14" i="2"/>
  <c r="Y15" i="2" s="1"/>
  <c r="AA15" i="2" s="1"/>
  <c r="G15" i="2" s="1"/>
  <c r="U15" i="2" s="1"/>
  <c r="W15" i="2" s="1"/>
  <c r="O15" i="2" s="1"/>
  <c r="Q15" i="2" s="1"/>
  <c r="Q128" i="3" l="1"/>
  <c r="P152" i="3"/>
  <c r="P143" i="3"/>
  <c r="P144" i="3" s="1"/>
  <c r="Q144" i="3" s="1"/>
  <c r="Q145" i="3" s="1"/>
  <c r="P127" i="3"/>
  <c r="P128" i="3"/>
  <c r="K15" i="2"/>
  <c r="Y16" i="2" s="1"/>
  <c r="AA16" i="2" s="1"/>
  <c r="G16" i="2" s="1"/>
  <c r="P15" i="2"/>
  <c r="X16" i="2" s="1"/>
  <c r="Z16" i="2" s="1"/>
  <c r="J16" i="2" s="1"/>
  <c r="P132" i="3" l="1"/>
  <c r="P145" i="3"/>
  <c r="P133" i="3"/>
  <c r="P134" i="3" s="1"/>
  <c r="Q151" i="3"/>
  <c r="P151" i="3"/>
  <c r="P156" i="3" s="1"/>
  <c r="Q156" i="3"/>
  <c r="K16" i="2"/>
  <c r="F16" i="2"/>
  <c r="U16" i="2" s="1"/>
  <c r="W16" i="2" s="1"/>
  <c r="O16" i="2" s="1"/>
  <c r="P16" i="2" s="1"/>
  <c r="X17" i="2" s="1"/>
  <c r="Z17" i="2" s="1"/>
  <c r="J17" i="2" s="1"/>
  <c r="P135" i="3" l="1"/>
  <c r="P136" i="3" s="1"/>
  <c r="Q137" i="3"/>
  <c r="P137" i="3"/>
  <c r="Q16" i="2"/>
  <c r="Y17" i="2" s="1"/>
  <c r="AA17" i="2" s="1"/>
  <c r="K17" i="2" s="1"/>
  <c r="F17" i="2"/>
  <c r="Q83" i="3" l="1"/>
  <c r="Q94" i="3" s="1"/>
  <c r="Q100" i="3" s="1"/>
  <c r="Q84" i="3"/>
  <c r="Q95" i="3" s="1"/>
  <c r="Q101" i="3" s="1"/>
  <c r="T47" i="3" s="1"/>
  <c r="T53" i="3" s="1"/>
  <c r="Q85" i="3"/>
  <c r="Q96" i="3" s="1"/>
  <c r="Q102" i="3" s="1"/>
  <c r="S91" i="3" s="1"/>
  <c r="Q82" i="3"/>
  <c r="Q93" i="3" s="1"/>
  <c r="Q99" i="3" s="1"/>
  <c r="S88" i="3" s="1"/>
  <c r="T88" i="3" s="1"/>
  <c r="P158" i="3"/>
  <c r="P159" i="3" s="1"/>
  <c r="Q138" i="3"/>
  <c r="Q150" i="3"/>
  <c r="P138" i="3"/>
  <c r="P150" i="3"/>
  <c r="P148" i="3"/>
  <c r="Q97" i="3"/>
  <c r="Q148" i="3" s="1"/>
  <c r="T115" i="3" s="1"/>
  <c r="T45" i="3"/>
  <c r="T51" i="3" s="1"/>
  <c r="T48" i="3"/>
  <c r="T54" i="3" s="1"/>
  <c r="Q107" i="3"/>
  <c r="G17" i="2"/>
  <c r="U17" i="2" s="1"/>
  <c r="W17" i="2" s="1"/>
  <c r="O17" i="2" s="1"/>
  <c r="P17" i="2" s="1"/>
  <c r="X18" i="2" s="1"/>
  <c r="Z18" i="2" s="1"/>
  <c r="J18" i="2" s="1"/>
  <c r="T60" i="3" l="1"/>
  <c r="T77" i="3"/>
  <c r="Q106" i="3"/>
  <c r="Q104" i="3"/>
  <c r="Q121" i="3"/>
  <c r="Q122" i="3" s="1"/>
  <c r="Q123" i="3" s="1"/>
  <c r="S90" i="3"/>
  <c r="S89" i="3"/>
  <c r="T46" i="3"/>
  <c r="T49" i="3" s="1"/>
  <c r="Q105" i="3"/>
  <c r="Q149" i="3"/>
  <c r="P149" i="3"/>
  <c r="S115" i="3"/>
  <c r="T75" i="3"/>
  <c r="T116" i="3"/>
  <c r="T124" i="3" s="1"/>
  <c r="T125" i="3" s="1"/>
  <c r="T78" i="3"/>
  <c r="T58" i="3"/>
  <c r="T61" i="3"/>
  <c r="W113" i="3"/>
  <c r="W114" i="3" s="1"/>
  <c r="T153" i="3" s="1"/>
  <c r="Q17" i="2"/>
  <c r="Y18" i="2" s="1"/>
  <c r="AA18" i="2" s="1"/>
  <c r="G18" i="2" s="1"/>
  <c r="F18" i="2"/>
  <c r="T117" i="3" l="1"/>
  <c r="T129" i="3" s="1"/>
  <c r="T52" i="3"/>
  <c r="T55" i="3" s="1"/>
  <c r="T59" i="3"/>
  <c r="T76" i="3"/>
  <c r="S83" i="3" s="1"/>
  <c r="S116" i="3"/>
  <c r="V113" i="3"/>
  <c r="V114" i="3" s="1"/>
  <c r="S153" i="3" s="1"/>
  <c r="S82" i="3"/>
  <c r="T120" i="3"/>
  <c r="T56" i="3"/>
  <c r="T126" i="3" s="1"/>
  <c r="T62" i="3"/>
  <c r="T79" i="3"/>
  <c r="K18" i="2"/>
  <c r="U18" i="2"/>
  <c r="W18" i="2" s="1"/>
  <c r="O18" i="2" s="1"/>
  <c r="Q18" i="2" s="1"/>
  <c r="S84" i="3" l="1"/>
  <c r="S85" i="3"/>
  <c r="T152" i="3"/>
  <c r="T140" i="3"/>
  <c r="T141" i="3" s="1"/>
  <c r="T143" i="3" s="1"/>
  <c r="S124" i="3"/>
  <c r="S120" i="3"/>
  <c r="S122" i="3" s="1"/>
  <c r="S123" i="3" s="1"/>
  <c r="S117" i="3"/>
  <c r="Y19" i="2"/>
  <c r="AA19" i="2" s="1"/>
  <c r="G19" i="2" s="1"/>
  <c r="P18" i="2"/>
  <c r="X19" i="2" s="1"/>
  <c r="Z19" i="2" s="1"/>
  <c r="J19" i="2" s="1"/>
  <c r="S129" i="3" l="1"/>
  <c r="S140" i="3"/>
  <c r="S141" i="3" s="1"/>
  <c r="S125" i="3"/>
  <c r="S152" i="3" s="1"/>
  <c r="K19" i="2"/>
  <c r="F19" i="2"/>
  <c r="U19" i="2" s="1"/>
  <c r="W19" i="2" s="1"/>
  <c r="O19" i="2" s="1"/>
  <c r="P19" i="2" s="1"/>
  <c r="X20" i="2" s="1"/>
  <c r="Z20" i="2" s="1"/>
  <c r="S126" i="3" l="1"/>
  <c r="S127" i="3" s="1"/>
  <c r="S143" i="3"/>
  <c r="Q19" i="2"/>
  <c r="Y20" i="2" s="1"/>
  <c r="AA20" i="2" s="1"/>
  <c r="G20" i="2" s="1"/>
  <c r="J20" i="2"/>
  <c r="F20" i="2"/>
  <c r="S128" i="3" l="1"/>
  <c r="S151" i="3" s="1"/>
  <c r="S156" i="3" s="1"/>
  <c r="T128" i="3"/>
  <c r="S144" i="3"/>
  <c r="T144" i="3" s="1"/>
  <c r="T145" i="3" s="1"/>
  <c r="T151" i="3"/>
  <c r="T156" i="3" s="1"/>
  <c r="S132" i="3"/>
  <c r="K20" i="2"/>
  <c r="U20" i="2"/>
  <c r="W20" i="2" s="1"/>
  <c r="S133" i="3" l="1"/>
  <c r="S145" i="3"/>
  <c r="O20" i="2"/>
  <c r="P20" i="2" s="1"/>
  <c r="X21" i="2" s="1"/>
  <c r="Z21" i="2" s="1"/>
  <c r="S134" i="3" l="1"/>
  <c r="T137" i="3" s="1"/>
  <c r="J21" i="2"/>
  <c r="F21" i="2"/>
  <c r="Q20" i="2"/>
  <c r="Y21" i="2" s="1"/>
  <c r="AA21" i="2" s="1"/>
  <c r="G21" i="2" s="1"/>
  <c r="S137" i="3" l="1"/>
  <c r="S135" i="3"/>
  <c r="S136" i="3" s="1"/>
  <c r="S150" i="3"/>
  <c r="S148" i="3"/>
  <c r="S149" i="3" s="1"/>
  <c r="S138" i="3"/>
  <c r="U21" i="2"/>
  <c r="W21" i="2" s="1"/>
  <c r="O21" i="2" s="1"/>
  <c r="Q21" i="2" s="1"/>
  <c r="K21" i="2"/>
  <c r="V115" i="3" l="1"/>
  <c r="S158" i="3"/>
  <c r="S159" i="3" s="1"/>
  <c r="T83" i="3"/>
  <c r="T94" i="3" s="1"/>
  <c r="T100" i="3" s="1"/>
  <c r="T82" i="3"/>
  <c r="T93" i="3" s="1"/>
  <c r="T84" i="3"/>
  <c r="T95" i="3" s="1"/>
  <c r="T101" i="3" s="1"/>
  <c r="T150" i="3"/>
  <c r="T85" i="3"/>
  <c r="T96" i="3" s="1"/>
  <c r="T102" i="3" s="1"/>
  <c r="V91" i="3" s="1"/>
  <c r="T138" i="3"/>
  <c r="T99" i="3"/>
  <c r="V116" i="3"/>
  <c r="Y113" i="3"/>
  <c r="Y114" i="3" s="1"/>
  <c r="V153" i="3" s="1"/>
  <c r="P21" i="2"/>
  <c r="X22" i="2" s="1"/>
  <c r="Z22" i="2" s="1"/>
  <c r="J22" i="2" s="1"/>
  <c r="Y22" i="2"/>
  <c r="AA22" i="2" s="1"/>
  <c r="G22" i="2" s="1"/>
  <c r="F22" i="2"/>
  <c r="U22" i="2" s="1"/>
  <c r="W22" i="2" s="1"/>
  <c r="O22" i="2" s="1"/>
  <c r="Q22" i="2" s="1"/>
  <c r="T121" i="3" l="1"/>
  <c r="T122" i="3" s="1"/>
  <c r="T123" i="3" s="1"/>
  <c r="W48" i="3"/>
  <c r="W61" i="3" s="1"/>
  <c r="W45" i="3"/>
  <c r="W75" i="3" s="1"/>
  <c r="V82" i="3" s="1"/>
  <c r="V88" i="3"/>
  <c r="W88" i="3" s="1"/>
  <c r="T104" i="3"/>
  <c r="V90" i="3"/>
  <c r="T106" i="3"/>
  <c r="W47" i="3"/>
  <c r="W78" i="3"/>
  <c r="T107" i="3"/>
  <c r="T97" i="3"/>
  <c r="T148" i="3" s="1"/>
  <c r="W46" i="3"/>
  <c r="V89" i="3"/>
  <c r="T105" i="3"/>
  <c r="V124" i="3"/>
  <c r="V117" i="3"/>
  <c r="V120" i="3"/>
  <c r="V122" i="3" s="1"/>
  <c r="V123" i="3" s="1"/>
  <c r="K22" i="2"/>
  <c r="Y23" i="2" s="1"/>
  <c r="AA23" i="2" s="1"/>
  <c r="P22" i="2"/>
  <c r="X23" i="2" s="1"/>
  <c r="Z23" i="2" s="1"/>
  <c r="J23" i="2" s="1"/>
  <c r="W54" i="3" l="1"/>
  <c r="W58" i="3"/>
  <c r="W51" i="3"/>
  <c r="W115" i="3"/>
  <c r="T149" i="3"/>
  <c r="W76" i="3"/>
  <c r="W59" i="3"/>
  <c r="W52" i="3"/>
  <c r="W53" i="3"/>
  <c r="W77" i="3"/>
  <c r="W60" i="3"/>
  <c r="W49" i="3"/>
  <c r="V125" i="3"/>
  <c r="V126" i="3" s="1"/>
  <c r="V129" i="3"/>
  <c r="V140" i="3"/>
  <c r="V141" i="3" s="1"/>
  <c r="G23" i="2"/>
  <c r="K23" i="2"/>
  <c r="F23" i="2"/>
  <c r="U23" i="2" s="1"/>
  <c r="W23" i="2" s="1"/>
  <c r="O23" i="2" s="1"/>
  <c r="Q23" i="2" s="1"/>
  <c r="Y24" i="2" s="1"/>
  <c r="AA24" i="2" s="1"/>
  <c r="V143" i="3" l="1"/>
  <c r="W55" i="3"/>
  <c r="W56" i="3" s="1"/>
  <c r="W62" i="3"/>
  <c r="V85" i="3"/>
  <c r="V83" i="3"/>
  <c r="W79" i="3"/>
  <c r="V84" i="3"/>
  <c r="W116" i="3"/>
  <c r="Z113" i="3"/>
  <c r="Z114" i="3" s="1"/>
  <c r="W153" i="3" s="1"/>
  <c r="V152" i="3"/>
  <c r="P23" i="2"/>
  <c r="X24" i="2" s="1"/>
  <c r="Z24" i="2" s="1"/>
  <c r="J24" i="2" s="1"/>
  <c r="G24" i="2"/>
  <c r="K24" i="2"/>
  <c r="W124" i="3" l="1"/>
  <c r="W125" i="3" s="1"/>
  <c r="W152" i="3" s="1"/>
  <c r="W117" i="3"/>
  <c r="W120" i="3"/>
  <c r="W126" i="3"/>
  <c r="V127" i="3" s="1"/>
  <c r="F24" i="2"/>
  <c r="U24" i="2" s="1"/>
  <c r="W24" i="2" s="1"/>
  <c r="O24" i="2" s="1"/>
  <c r="P24" i="2" s="1"/>
  <c r="X25" i="2" s="1"/>
  <c r="Z25" i="2" s="1"/>
  <c r="J25" i="2" s="1"/>
  <c r="V128" i="3" l="1"/>
  <c r="V151" i="3" s="1"/>
  <c r="V156" i="3" s="1"/>
  <c r="W128" i="3"/>
  <c r="V132" i="3"/>
  <c r="W140" i="3"/>
  <c r="W141" i="3" s="1"/>
  <c r="W129" i="3"/>
  <c r="V133" i="3"/>
  <c r="W151" i="3"/>
  <c r="W156" i="3" s="1"/>
  <c r="Q24" i="2"/>
  <c r="Y25" i="2" s="1"/>
  <c r="AA25" i="2" s="1"/>
  <c r="G25" i="2" s="1"/>
  <c r="F25" i="2"/>
  <c r="W143" i="3" l="1"/>
  <c r="V144" i="3" s="1"/>
  <c r="V134" i="3" s="1"/>
  <c r="V145" i="3"/>
  <c r="W144" i="3"/>
  <c r="W145" i="3" s="1"/>
  <c r="K25" i="2"/>
  <c r="U25" i="2"/>
  <c r="W25" i="2" s="1"/>
  <c r="O25" i="2" s="1"/>
  <c r="Q25" i="2" s="1"/>
  <c r="Y26" i="2" s="1"/>
  <c r="AA26" i="2" s="1"/>
  <c r="G26" i="2" s="1"/>
  <c r="V135" i="3" l="1"/>
  <c r="V136" i="3" s="1"/>
  <c r="W137" i="3"/>
  <c r="V137" i="3"/>
  <c r="P25" i="2"/>
  <c r="X26" i="2" s="1"/>
  <c r="Z26" i="2" s="1"/>
  <c r="J26" i="2" s="1"/>
  <c r="K26" i="2"/>
  <c r="V158" i="3" l="1"/>
  <c r="V159" i="3" s="1"/>
  <c r="W82" i="3"/>
  <c r="W85" i="3"/>
  <c r="W96" i="3" s="1"/>
  <c r="W102" i="3" s="1"/>
  <c r="Y91" i="3" s="1"/>
  <c r="W83" i="3"/>
  <c r="W94" i="3" s="1"/>
  <c r="W100" i="3" s="1"/>
  <c r="W84" i="3"/>
  <c r="W150" i="3"/>
  <c r="W138" i="3"/>
  <c r="V148" i="3"/>
  <c r="V149" i="3" s="1"/>
  <c r="V138" i="3"/>
  <c r="Y115" i="3"/>
  <c r="Y116" i="3" s="1"/>
  <c r="V150" i="3"/>
  <c r="W107" i="3"/>
  <c r="Z48" i="3"/>
  <c r="F26" i="2"/>
  <c r="U26" i="2" s="1"/>
  <c r="W26" i="2" s="1"/>
  <c r="O26" i="2" s="1"/>
  <c r="Q26" i="2" s="1"/>
  <c r="Y27" i="2" s="1"/>
  <c r="AA27" i="2" s="1"/>
  <c r="Y117" i="3" l="1"/>
  <c r="Y124" i="3"/>
  <c r="Y120" i="3"/>
  <c r="Y122" i="3" s="1"/>
  <c r="Y123" i="3" s="1"/>
  <c r="W95" i="3"/>
  <c r="W101" i="3" s="1"/>
  <c r="Z46" i="3"/>
  <c r="Z76" i="3"/>
  <c r="W105" i="3"/>
  <c r="Y89" i="3"/>
  <c r="W93" i="3"/>
  <c r="W97" i="3" s="1"/>
  <c r="W148" i="3" s="1"/>
  <c r="Z54" i="3"/>
  <c r="Z61" i="3"/>
  <c r="Z78" i="3"/>
  <c r="P26" i="2"/>
  <c r="X27" i="2" s="1"/>
  <c r="Z27" i="2" s="1"/>
  <c r="J27" i="2" s="1"/>
  <c r="G27" i="2"/>
  <c r="K27" i="2"/>
  <c r="W99" i="3" l="1"/>
  <c r="Z59" i="3"/>
  <c r="Z52" i="3"/>
  <c r="Z115" i="3"/>
  <c r="Z116" i="3" s="1"/>
  <c r="W149" i="3"/>
  <c r="W104" i="3"/>
  <c r="W121" i="3"/>
  <c r="W122" i="3" s="1"/>
  <c r="W123" i="3" s="1"/>
  <c r="Y88" i="3"/>
  <c r="Z88" i="3" s="1"/>
  <c r="Z153" i="3" s="1"/>
  <c r="Z45" i="3"/>
  <c r="Y90" i="3"/>
  <c r="Z47" i="3"/>
  <c r="W106" i="3"/>
  <c r="Z77" i="3"/>
  <c r="Y125" i="3"/>
  <c r="Y152" i="3" s="1"/>
  <c r="Y129" i="3"/>
  <c r="Y140" i="3"/>
  <c r="Y141" i="3" s="1"/>
  <c r="F27" i="2"/>
  <c r="U27" i="2" s="1"/>
  <c r="W27" i="2" s="1"/>
  <c r="O27" i="2" s="1"/>
  <c r="P27" i="2" s="1"/>
  <c r="X28" i="2" s="1"/>
  <c r="Z28" i="2" s="1"/>
  <c r="J28" i="2" s="1"/>
  <c r="Y143" i="3" l="1"/>
  <c r="Y126" i="3"/>
  <c r="Z60" i="3"/>
  <c r="Z53" i="3"/>
  <c r="Z120" i="3"/>
  <c r="Z124" i="3"/>
  <c r="Z125" i="3" s="1"/>
  <c r="Z117" i="3"/>
  <c r="Z58" i="3"/>
  <c r="Z62" i="3" s="1"/>
  <c r="Z49" i="3"/>
  <c r="Z51" i="3"/>
  <c r="Z55" i="3" s="1"/>
  <c r="Z56" i="3" s="1"/>
  <c r="Z126" i="3" s="1"/>
  <c r="Z75" i="3"/>
  <c r="Q27" i="2"/>
  <c r="Y28" i="2" s="1"/>
  <c r="AA28" i="2" s="1"/>
  <c r="G28" i="2" s="1"/>
  <c r="F28" i="2"/>
  <c r="Z152" i="3" l="1"/>
  <c r="Z140" i="3"/>
  <c r="Z141" i="3" s="1"/>
  <c r="Z129" i="3"/>
  <c r="Y85" i="3"/>
  <c r="Y82" i="3"/>
  <c r="Y84" i="3"/>
  <c r="Y83" i="3"/>
  <c r="Z79" i="3"/>
  <c r="Z128" i="3"/>
  <c r="Y128" i="3"/>
  <c r="Y127" i="3"/>
  <c r="U28" i="2"/>
  <c r="W28" i="2" s="1"/>
  <c r="O28" i="2" s="1"/>
  <c r="Q28" i="2" s="1"/>
  <c r="K28" i="2"/>
  <c r="Z143" i="3" l="1"/>
  <c r="Y144" i="3" s="1"/>
  <c r="Y145" i="3" s="1"/>
  <c r="Y132" i="3"/>
  <c r="Y151" i="3"/>
  <c r="Y156" i="3" s="1"/>
  <c r="Z151" i="3"/>
  <c r="Y29" i="2"/>
  <c r="AA29" i="2" s="1"/>
  <c r="G29" i="2" s="1"/>
  <c r="P28" i="2"/>
  <c r="X29" i="2" s="1"/>
  <c r="Z29" i="2" s="1"/>
  <c r="J29" i="2" s="1"/>
  <c r="Z144" i="3" l="1"/>
  <c r="Z145" i="3" s="1"/>
  <c r="Y133" i="3"/>
  <c r="K29" i="2"/>
  <c r="F29" i="2"/>
  <c r="U29" i="2" s="1"/>
  <c r="W29" i="2" s="1"/>
  <c r="O29" i="2" s="1"/>
  <c r="P29" i="2" s="1"/>
  <c r="X30" i="2" s="1"/>
  <c r="Z30" i="2" s="1"/>
  <c r="J30" i="2" s="1"/>
  <c r="Y134" i="3" l="1"/>
  <c r="Y135" i="3" s="1"/>
  <c r="Z156" i="3"/>
  <c r="F30" i="2"/>
  <c r="Q29" i="2"/>
  <c r="Y30" i="2" s="1"/>
  <c r="AA30" i="2" s="1"/>
  <c r="Z137" i="3" l="1"/>
  <c r="Y137" i="3"/>
  <c r="Y136" i="3"/>
  <c r="Z138" i="3" s="1"/>
  <c r="Y150" i="3"/>
  <c r="Y138" i="3"/>
  <c r="Y148" i="3"/>
  <c r="Y149" i="3" s="1"/>
  <c r="G30" i="2"/>
  <c r="U30" i="2" s="1"/>
  <c r="W30" i="2" s="1"/>
  <c r="O30" i="2" s="1"/>
  <c r="Q30" i="2" s="1"/>
  <c r="K30" i="2"/>
  <c r="Z150" i="3" l="1"/>
  <c r="Z85" i="3"/>
  <c r="Z96" i="3" s="1"/>
  <c r="Z102" i="3" s="1"/>
  <c r="Z107" i="3" s="1"/>
  <c r="Z82" i="3"/>
  <c r="Z93" i="3" s="1"/>
  <c r="Y158" i="3"/>
  <c r="Y159" i="3" s="1"/>
  <c r="Z84" i="3"/>
  <c r="Z95" i="3" s="1"/>
  <c r="Z101" i="3" s="1"/>
  <c r="Z106" i="3" s="1"/>
  <c r="Z83" i="3"/>
  <c r="Z94" i="3" s="1"/>
  <c r="Z100" i="3" s="1"/>
  <c r="Z105" i="3" s="1"/>
  <c r="Z99" i="3"/>
  <c r="P30" i="2"/>
  <c r="Z97" i="3" l="1"/>
  <c r="Z148" i="3" s="1"/>
  <c r="Z149" i="3" s="1"/>
  <c r="Z121" i="3"/>
  <c r="Z122" i="3" s="1"/>
  <c r="Z123" i="3" s="1"/>
  <c r="Z104" i="3"/>
</calcChain>
</file>

<file path=xl/sharedStrings.xml><?xml version="1.0" encoding="utf-8"?>
<sst xmlns="http://schemas.openxmlformats.org/spreadsheetml/2006/main" count="769" uniqueCount="492">
  <si>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</si>
  <si>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</si>
  <si>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</si>
  <si>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</si>
  <si>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</si>
  <si>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</si>
  <si>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</si>
  <si>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</si>
  <si>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</si>
  <si>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</si>
  <si>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</si>
  <si>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</si>
  <si>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</si>
  <si>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</si>
  <si>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</si>
  <si>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</si>
  <si>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</si>
  <si>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</si>
  <si>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</si>
  <si>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</si>
  <si>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</si>
  <si>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</si>
  <si>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</si>
  <si>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</si>
  <si>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</si>
  <si>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</si>
  <si>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</si>
  <si>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</si>
  <si>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</si>
  <si>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</si>
  <si>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</si>
  <si>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</si>
  <si>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</si>
  <si>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</si>
  <si>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</si>
  <si>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</si>
  <si>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</si>
  <si>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</si>
  <si>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</si>
  <si>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</si>
  <si>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</si>
  <si>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</si>
  <si>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</si>
  <si>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</si>
  <si>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</si>
  <si>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</si>
  <si>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</si>
  <si>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</si>
  <si>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</si>
  <si>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</si>
  <si>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</si>
  <si>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</si>
  <si>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</si>
  <si>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</si>
  <si>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</si>
  <si>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</si>
  <si>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</si>
  <si>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</si>
  <si>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</si>
  <si>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</si>
  <si>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</si>
  <si>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</si>
  <si>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</si>
  <si>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</si>
  <si>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</si>
  <si>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</si>
  <si>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</si>
  <si>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</si>
  <si>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</si>
  <si>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</si>
  <si>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</si>
  <si>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</si>
  <si>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</si>
  <si>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</si>
  <si>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</si>
  <si>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</si>
  <si>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</si>
  <si>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</si>
  <si>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</si>
  <si>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</si>
  <si>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</si>
  <si>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</si>
  <si>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</si>
  <si>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</si>
  <si>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</si>
  <si>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</si>
  <si>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</si>
  <si>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</si>
  <si>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</si>
  <si>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</si>
  <si>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</si>
  <si>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</si>
  <si>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</si>
  <si>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</si>
  <si>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</si>
  <si>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</si>
  <si>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</si>
  <si>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</si>
  <si>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</si>
  <si>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</si>
  <si>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</si>
  <si>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</si>
  <si>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</si>
  <si>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</si>
  <si>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</si>
  <si>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</si>
  <si>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</si>
  <si>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</si>
  <si>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</si>
  <si>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</si>
  <si>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</si>
  <si>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</si>
  <si>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</si>
  <si>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</si>
  <si>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</si>
  <si>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</si>
  <si>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</si>
  <si>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</si>
  <si>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</si>
  <si>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</si>
  <si>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</si>
  <si>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</si>
  <si>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</si>
  <si>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</si>
  <si>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</si>
  <si>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</si>
  <si>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</si>
  <si>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</si>
  <si>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</si>
  <si>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</si>
  <si>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</si>
  <si>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</si>
  <si>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</si>
  <si>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</si>
  <si>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</si>
  <si>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</si>
  <si>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</si>
  <si>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</si>
  <si>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</si>
  <si>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</si>
  <si>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</si>
  <si>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</si>
  <si>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</si>
  <si>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</si>
  <si>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</si>
  <si>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</si>
  <si>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</si>
  <si>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</si>
  <si>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</si>
  <si>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</si>
  <si>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</si>
  <si>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</si>
  <si>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</si>
  <si>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</si>
  <si>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</si>
  <si>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</si>
  <si>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</si>
  <si>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</si>
  <si>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</si>
  <si>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</si>
  <si>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</si>
  <si>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</si>
  <si>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</si>
  <si>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</si>
  <si>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</si>
  <si>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</si>
  <si>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</si>
  <si>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</si>
  <si>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</si>
  <si>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</si>
  <si>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</si>
  <si>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</si>
  <si>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</si>
  <si>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</si>
  <si>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</si>
  <si>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</si>
  <si>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</si>
  <si>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</si>
  <si>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</si>
  <si>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</si>
  <si>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</si>
  <si>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</si>
  <si>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</si>
  <si>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</si>
  <si>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</si>
  <si>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</si>
  <si>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</si>
  <si>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</si>
  <si>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</si>
  <si>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</si>
  <si>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</si>
  <si>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</si>
  <si>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</si>
  <si>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</si>
  <si>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</si>
  <si>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</si>
  <si>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</si>
  <si>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</si>
  <si>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</si>
  <si>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</si>
  <si>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</si>
  <si>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</si>
  <si>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</si>
  <si>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</si>
  <si>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</si>
  <si>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</si>
  <si>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</si>
  <si>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</si>
  <si>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</si>
  <si>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</si>
  <si>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</si>
  <si>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</si>
  <si>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</si>
  <si>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</si>
  <si>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</si>
  <si>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</si>
  <si>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</si>
  <si>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</si>
  <si>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</si>
  <si>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</si>
  <si>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</si>
  <si>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</si>
  <si>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</si>
  <si>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</si>
  <si>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</si>
  <si>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</si>
  <si>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</si>
  <si>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</si>
  <si>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</si>
  <si>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</si>
  <si>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</si>
  <si>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</si>
  <si>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</si>
  <si>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</si>
  <si>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</si>
  <si>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</si>
  <si>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</si>
  <si>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</si>
  <si>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</si>
  <si>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</si>
  <si>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</si>
  <si>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</si>
  <si>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</si>
  <si>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</si>
  <si>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</si>
  <si>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</si>
  <si>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</si>
  <si>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</si>
  <si>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</si>
  <si>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</si>
  <si>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</si>
  <si>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</si>
  <si>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</si>
  <si>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</si>
  <si>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</si>
  <si>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</si>
  <si>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</si>
  <si>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</si>
  <si>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</si>
  <si>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</si>
  <si>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</si>
  <si>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</si>
  <si>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</si>
  <si>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</si>
  <si>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</si>
  <si>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</si>
  <si>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</si>
  <si>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</si>
  <si>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</si>
  <si>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</si>
  <si>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</si>
  <si>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</si>
  <si>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</si>
  <si>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</si>
  <si>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</si>
  <si>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</si>
  <si>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</si>
  <si>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</si>
  <si>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</si>
  <si>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</si>
  <si>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</si>
  <si>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</si>
  <si>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</si>
  <si>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</si>
  <si>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arr_biomass_c_bg_lost_decomposition</t>
  </si>
  <si>
    <t>d(t)</t>
  </si>
  <si>
    <t>\overline{Y}_{conv}(t, u)</t>
  </si>
  <si>
    <t>\overline{y}_{conv}(t)</t>
  </si>
  <si>
    <t>\underline{Y}_{conv}(t, u)</t>
  </si>
  <si>
    <t>\underline{y}_{conv}(t)</t>
  </si>
  <si>
    <t>\overline{Y}^*(t, u)</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</si>
  <si>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</si>
  <si>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</si>
  <si>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</si>
  <si>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</si>
  <si>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</si>
  <si>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</si>
  <si>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</si>
  <si>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</si>
  <si>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</si>
  <si>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</si>
  <si>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</si>
  <si>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</si>
  <si>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</si>
  <si>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</si>
  <si>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</si>
  <si>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</si>
  <si>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</si>
  <si>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</si>
  <si>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</si>
  <si>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</si>
  <si>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</si>
  <si>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</si>
  <si>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</si>
  <si>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</si>
  <si>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</si>
  <si>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</si>
  <si>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</si>
  <si>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</si>
  <si>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</si>
  <si>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</si>
  <si>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</si>
  <si>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</si>
  <si>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</si>
  <si>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</si>
  <si>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</si>
  <si>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</si>
  <si>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</si>
  <si>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</si>
  <si>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</si>
  <si>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</si>
  <si>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</si>
  <si>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</si>
  <si>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</si>
  <si>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</si>
  <si>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</si>
  <si>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</si>
  <si>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</si>
  <si>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</si>
  <si>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</si>
  <si>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</si>
  <si>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b</t>
  </si>
  <si>
    <t>d</t>
  </si>
  <si>
    <t>Y</t>
  </si>
  <si>
    <t>y</t>
  </si>
  <si>
    <t>R</t>
  </si>
  <si>
    <t>s</t>
  </si>
  <si>
    <t>Sort Class</t>
  </si>
  <si>
    <t>z:\chi</t>
  </si>
  <si>
    <t>z:\eta</t>
  </si>
  <si>
    <t>z:\alpha</t>
  </si>
  <si>
    <t>z:\gamma</t>
  </si>
  <si>
    <t>z:\delta</t>
  </si>
  <si>
    <t>z:\Psi</t>
  </si>
  <si>
    <t>z:\Phi</t>
  </si>
  <si>
    <t>\overline{Y}_{avail}(t, u)</t>
  </si>
  <si>
    <t>\tilde{\Psi}^{(0)}(t, v)</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</si>
  <si>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</si>
  <si>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</si>
  <si>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</si>
  <si>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</si>
  <si>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</si>
  <si>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</si>
  <si>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</si>
  <si>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</si>
  <si>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</si>
  <si>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</si>
  <si>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</si>
  <si>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</si>
  <si>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</si>
  <si>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</si>
  <si>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</si>
  <si>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</si>
  <si>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</si>
  <si>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</si>
  <si>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</si>
  <si>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</si>
  <si>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</si>
  <si>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</si>
  <si>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</si>
  <si>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</si>
  <si>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</si>
  <si>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</si>
  <si>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</si>
  <si>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</si>
  <si>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</si>
  <si>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</si>
  <si>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</si>
  <si>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</si>
  <si>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</si>
  <si>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</si>
  <si>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</si>
  <si>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</si>
  <si>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</si>
  <si>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</si>
  <si>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</si>
  <si>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</si>
  <si>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</si>
  <si>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</si>
  <si>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</si>
  <si>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</si>
  <si>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</si>
  <si>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</si>
  <si>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</si>
  <si>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</si>
  <si>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</si>
  <si>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</si>
  <si>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</si>
  <si>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</si>
  <si>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</si>
  <si>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</si>
  <si>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</si>
  <si>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</si>
  <si>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</si>
  <si>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</si>
  <si>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</si>
  <si>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</si>
  <si>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</si>
  <si>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</si>
  <si>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</si>
  <si>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</si>
  <si>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</si>
  <si>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</si>
  <si>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</si>
  <si>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</si>
  <si>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</si>
  <si>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</si>
  <si>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</si>
  <si>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</si>
  <si>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</si>
  <si>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</si>
  <si>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</si>
  <si>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R^{(0)}_{rmv}(t, v)</t>
  </si>
  <si>
    <t>R_{rmv}(t, v)</t>
  </si>
  <si>
    <t>u^{(0)}_{rmv}(t)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</si>
  <si>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</si>
  <si>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</si>
  <si>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</si>
  <si>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</si>
  <si>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</si>
  <si>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</si>
  <si>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</si>
  <si>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\overline{\eta}(t, v)</t>
  </si>
  <si>
    <t>\underline{\eta}(t, v)</t>
  </si>
  <si>
    <t>\overline{b}^{(0)}(v)</t>
  </si>
  <si>
    <t>\overline{L}_{dcmp}(t, v)</t>
  </si>
  <si>
    <t>\underline{L}_{dcmp}(t, v)</t>
  </si>
  <si>
    <t>vec_young_biomass_c_loss_from_decomposition (T)</t>
  </si>
  <si>
    <t>Vector ($n_T$) storing the total loss of biomass in young forests due to decomposition.</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</si>
  <si>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</si>
  <si>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</si>
  <si>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</si>
  <si>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</si>
  <si>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</si>
  <si>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\underline{M}(t, v)</t>
  </si>
  <si>
    <t>\overline{M}(t, v)</t>
  </si>
  <si>
    <t>\overline{\overline{B}}(t, v)</t>
  </si>
  <si>
    <t>\overline{\overline{B}}'(t, v)</t>
  </si>
  <si>
    <t>\Delta\overline{B}(t, v)</t>
  </si>
  <si>
    <t>\overline{M}_0^*(t, v)</t>
  </si>
  <si>
    <t>\overline{M}_0(t, v)</t>
  </si>
  <si>
    <t>\tau(v)</t>
  </si>
  <si>
    <t>Vector (dim $2$) storing avrage biomass stock per unit area required to be considered forest.</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</si>
  <si>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</si>
  <si>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</si>
  <si>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</si>
  <si>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</si>
  <si>
    <t>A^{(0)}_{out}(t, v)</t>
  </si>
  <si>
    <t>Matrix ($n_T \times 2$) storing area of mature forests that are converted away.</t>
  </si>
  <si>
    <t>arr_area_conversion_away_mature_forest</t>
  </si>
  <si>
    <t>Matrix ($n_T \times 2$) storing total mass of biomass from original forests that is preserved in conversion.</t>
  </si>
  <si>
    <t>Matrix ($n_T \times 2$) storing total mass of biomass from all forests converted away in each time period that is available for satisfying removal demands.</t>
  </si>
  <si>
    <t>\overline{M}_{conv}(t, v)</t>
  </si>
  <si>
    <t>\overline{M}_{presconv}(t, v)</t>
  </si>
  <si>
    <t>\overline{M}_{avail}(t, v)</t>
  </si>
  <si>
    <t>\overline{M}^{(0)}_{avail}(t, v)</t>
  </si>
  <si>
    <t>\tilde{M}^{(0)}_{avail}</t>
  </si>
  <si>
    <t>\Phi_{conv}(t, v)</t>
  </si>
  <si>
    <t>\overline{B}_{avail}(v)</t>
  </si>
  <si>
    <t>\tilde{m}^{(0)}</t>
  </si>
  <si>
    <t>m</t>
  </si>
  <si>
    <t>\psi^{(y)}(t)</t>
  </si>
  <si>
    <t xml:space="preserve">Vector ($n_T$) storing fraction of young removals that are available that are taken to satisfy removals _before_ original forests. If $&lt; 1$, does not negate the possibility that young forests will face removals after removals are taken from mature forests. </t>
  </si>
  <si>
    <t>vec_biomass_c_removed_from_young_pre_orig</t>
  </si>
  <si>
    <t>vec_biomass_c_removed_from_young_post_orig</t>
  </si>
  <si>
    <t>vec_biomass_c_removals_young_priority_frac</t>
  </si>
  <si>
    <t>Vector ($n_T$) storing removals from young forests, excluding conversions, after original forests.  Always $\leq d_{rmv}$.</t>
  </si>
  <si>
    <t>r^{(y)}_{post}(t)</t>
  </si>
  <si>
    <t>r^{(0)}(t)</t>
  </si>
  <si>
    <t>r^{(y)}_{pre}(t)</t>
  </si>
  <si>
    <t>Vector ($n_T$) storing removals from young forests, excluding conversions, before original forests.  Always $\leq d_{rmv}$.</t>
  </si>
  <si>
    <t>- NOTE: is A^*(t + 1, 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</si>
</sst>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3">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xf>
    <xf numFmtId="0" fontId="3" fillId="13" borderId="0" xfId="0" applyFont="1" applyFill="1" applyAlignment="1">
      <alignment horizontal="right" vertical="center" wrapText="1"/>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xf numFmtId="0" fontId="3" fillId="13" borderId="0" xfId="0" quotePrefix="1"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8" t="s">
        <v>23</v>
      </c>
      <c r="B1" s="58"/>
      <c r="C1" s="59" t="s">
        <v>26</v>
      </c>
      <c r="D1" s="59"/>
      <c r="E1" s="59"/>
      <c r="F1" s="58" t="s">
        <v>30</v>
      </c>
      <c r="G1" s="58"/>
      <c r="H1" s="59" t="s">
        <v>27</v>
      </c>
      <c r="I1" s="59"/>
      <c r="J1" s="58" t="s">
        <v>28</v>
      </c>
      <c r="K1" s="58"/>
      <c r="L1" s="60" t="s">
        <v>29</v>
      </c>
      <c r="M1" s="60"/>
      <c r="N1" s="54" t="s">
        <v>31</v>
      </c>
      <c r="O1" s="54"/>
      <c r="P1" s="54"/>
      <c r="Q1" s="54"/>
      <c r="R1" s="60" t="s">
        <v>48</v>
      </c>
      <c r="S1" s="60"/>
      <c r="T1" s="60"/>
      <c r="U1" s="61" t="s">
        <v>44</v>
      </c>
      <c r="V1" s="61"/>
      <c r="W1" s="4" t="s">
        <v>46</v>
      </c>
      <c r="X1" s="4" t="s">
        <v>47</v>
      </c>
      <c r="AC1" s="58" t="s">
        <v>36</v>
      </c>
      <c r="AD1" s="58"/>
      <c r="AE1" s="58"/>
      <c r="AF1" s="58"/>
      <c r="AG1" s="58"/>
      <c r="AH1" s="58"/>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8"/>
  <sheetViews>
    <sheetView tabSelected="1" topLeftCell="A5" zoomScale="91" zoomScaleNormal="93" workbookViewId="0">
      <selection activeCell="AB15" sqref="AB15"/>
    </sheetView>
  </sheetViews>
  <sheetFormatPr baseColWidth="10" defaultRowHeight="16" x14ac:dyDescent="0.2"/>
  <cols>
    <col min="1" max="1" width="6.5" style="48" customWidth="1"/>
    <col min="2" max="2" width="58.33203125" style="24" customWidth="1"/>
    <col min="3" max="3" width="7.1640625" style="27" customWidth="1"/>
    <col min="4" max="4" width="4.1640625" style="23" hidden="1" customWidth="1"/>
    <col min="5" max="5" width="27" style="22" hidden="1" customWidth="1"/>
    <col min="6" max="6" width="2.6640625" style="10" hidden="1" customWidth="1"/>
    <col min="7" max="7" width="11" style="4" customWidth="1"/>
    <col min="8" max="8" width="15.1640625" style="4" customWidth="1"/>
    <col min="9" max="9" width="11.5" style="5" customWidth="1"/>
    <col min="10" max="11" width="13.33203125" style="4" customWidth="1"/>
    <col min="12" max="12" width="11.83203125" style="5" hidden="1" customWidth="1"/>
    <col min="13" max="14" width="13.33203125" style="4" hidden="1"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24"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49"/>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49"/>
      <c r="B2" s="24"/>
      <c r="C2" s="27"/>
      <c r="D2" s="23"/>
      <c r="E2" s="22"/>
      <c r="F2" s="10"/>
      <c r="G2" s="5" t="s">
        <v>60</v>
      </c>
      <c r="H2" s="5" t="s">
        <v>62</v>
      </c>
      <c r="I2" s="54">
        <v>150</v>
      </c>
      <c r="J2" s="54"/>
      <c r="K2" s="5"/>
      <c r="L2" s="5"/>
      <c r="M2" s="5"/>
      <c r="N2" s="5"/>
      <c r="O2" s="5"/>
      <c r="P2" s="5"/>
      <c r="Q2" s="4">
        <v>249700</v>
      </c>
      <c r="R2" s="5"/>
      <c r="S2" s="5"/>
      <c r="T2" s="5"/>
      <c r="U2" s="5"/>
      <c r="V2" s="5"/>
      <c r="W2" s="5"/>
      <c r="X2" s="5"/>
      <c r="Y2" s="5"/>
      <c r="Z2" s="5"/>
      <c r="AA2" s="24"/>
      <c r="AB2" s="40"/>
      <c r="AC2" s="27"/>
    </row>
    <row r="3" spans="1:41" s="7" customFormat="1" x14ac:dyDescent="0.2">
      <c r="A3" s="49"/>
      <c r="B3" s="24"/>
      <c r="C3" s="27"/>
      <c r="D3" s="23"/>
      <c r="E3" s="22"/>
      <c r="F3" s="10"/>
      <c r="G3" s="5"/>
      <c r="H3" s="5" t="s">
        <v>63</v>
      </c>
      <c r="I3" s="54">
        <v>30</v>
      </c>
      <c r="J3" s="54"/>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3" t="s">
        <v>89</v>
      </c>
      <c r="AF4" s="53"/>
      <c r="AG4" s="53"/>
      <c r="AL4" t="s">
        <v>94</v>
      </c>
      <c r="AM4" t="s">
        <v>96</v>
      </c>
      <c r="AN4" t="s">
        <v>98</v>
      </c>
      <c r="AO4" t="s">
        <v>100</v>
      </c>
    </row>
    <row r="5" spans="1:41" ht="36" customHeight="1" x14ac:dyDescent="0.2">
      <c r="A5" s="50" t="s">
        <v>416</v>
      </c>
      <c r="B5" s="24" t="s">
        <v>155</v>
      </c>
      <c r="C5" s="30" t="s">
        <v>161</v>
      </c>
      <c r="E5" s="7" t="s">
        <v>153</v>
      </c>
      <c r="F5" s="7" t="s">
        <v>154</v>
      </c>
      <c r="G5" s="52" t="s">
        <v>51</v>
      </c>
      <c r="H5" s="52"/>
      <c r="I5" s="17"/>
      <c r="J5" s="52" t="s">
        <v>64</v>
      </c>
      <c r="K5" s="52"/>
      <c r="M5" s="52" t="s">
        <v>65</v>
      </c>
      <c r="N5" s="52"/>
      <c r="P5" s="52" t="s">
        <v>78</v>
      </c>
      <c r="Q5" s="52"/>
      <c r="S5" s="52" t="s">
        <v>83</v>
      </c>
      <c r="T5" s="52"/>
      <c r="V5" s="52" t="s">
        <v>84</v>
      </c>
      <c r="W5" s="52"/>
      <c r="Y5" s="52" t="s">
        <v>135</v>
      </c>
      <c r="Z5" s="52"/>
      <c r="AA5" s="24" t="s">
        <v>301</v>
      </c>
      <c r="AB5" s="40" t="s">
        <v>302</v>
      </c>
      <c r="AC5" s="27" t="s">
        <v>347</v>
      </c>
      <c r="AD5" s="36" t="s">
        <v>229</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50" t="s">
        <v>417</v>
      </c>
      <c r="B7" s="38" t="s">
        <v>156</v>
      </c>
      <c r="C7" s="28" t="s">
        <v>174</v>
      </c>
      <c r="F7" s="10" t="s">
        <v>67</v>
      </c>
      <c r="G7" s="4">
        <v>50000</v>
      </c>
      <c r="H7" s="4">
        <v>250000</v>
      </c>
      <c r="J7" s="4">
        <f>G14</f>
        <v>49950</v>
      </c>
      <c r="K7" s="4">
        <f>H14</f>
        <v>249900</v>
      </c>
      <c r="M7" s="4">
        <f>J14</f>
        <v>49888</v>
      </c>
      <c r="N7" s="4">
        <f>K14</f>
        <v>249790</v>
      </c>
      <c r="P7" s="4">
        <f>M14</f>
        <v>49830</v>
      </c>
      <c r="Q7" s="4">
        <f>N14</f>
        <v>249696</v>
      </c>
      <c r="S7" s="4">
        <f>P14</f>
        <v>49760</v>
      </c>
      <c r="T7" s="4">
        <f>Q14</f>
        <v>249504</v>
      </c>
      <c r="V7" s="4">
        <f>S14</f>
        <v>49660</v>
      </c>
      <c r="W7" s="4">
        <f>T14</f>
        <v>249465</v>
      </c>
      <c r="Y7" s="4">
        <f>V7-V9</f>
        <v>49562</v>
      </c>
      <c r="Z7" s="4">
        <f>MAX(W7-W9,0)</f>
        <v>249360</v>
      </c>
      <c r="AA7" s="38" t="s">
        <v>439</v>
      </c>
      <c r="AB7" s="42" t="s">
        <v>362</v>
      </c>
      <c r="AC7" s="43" t="s">
        <v>337</v>
      </c>
      <c r="AE7" s="19">
        <v>0.01</v>
      </c>
      <c r="AF7" s="19">
        <f>SUM(AE$6:AE7)</f>
        <v>0.01</v>
      </c>
      <c r="AG7" s="19">
        <v>2</v>
      </c>
      <c r="AL7" t="s">
        <v>94</v>
      </c>
      <c r="AM7" t="s">
        <v>97</v>
      </c>
      <c r="AN7" t="s">
        <v>99</v>
      </c>
      <c r="AO7" t="s">
        <v>103</v>
      </c>
    </row>
    <row r="8" spans="1:41" ht="17" x14ac:dyDescent="0.2">
      <c r="A8" s="50" t="s">
        <v>417</v>
      </c>
      <c r="B8" s="38" t="s">
        <v>157</v>
      </c>
      <c r="C8" s="31" t="s">
        <v>162</v>
      </c>
      <c r="F8" s="10" t="s">
        <v>114</v>
      </c>
      <c r="G8" s="4">
        <f>G7</f>
        <v>50000</v>
      </c>
      <c r="H8" s="4">
        <f>H7</f>
        <v>250000</v>
      </c>
      <c r="J8" s="4">
        <f>J7</f>
        <v>49950</v>
      </c>
      <c r="K8" s="4">
        <f>H8-H9+H13</f>
        <v>249985</v>
      </c>
      <c r="M8" s="4">
        <f>M7</f>
        <v>49888</v>
      </c>
      <c r="N8" s="4">
        <f>K8-K9+K13</f>
        <v>249955</v>
      </c>
      <c r="P8" s="4">
        <f>P7</f>
        <v>49830</v>
      </c>
      <c r="Q8" s="4">
        <f>N8-N9+N13</f>
        <v>249953</v>
      </c>
      <c r="S8" s="4">
        <f>S7</f>
        <v>49760</v>
      </c>
      <c r="T8" s="4">
        <f>Q8-Q9+Q13</f>
        <v>249804</v>
      </c>
      <c r="V8" s="4">
        <f>V7</f>
        <v>49660</v>
      </c>
      <c r="W8" s="4">
        <f>T8-T9+T13</f>
        <v>249857</v>
      </c>
      <c r="Y8" s="4">
        <f>Y7</f>
        <v>49562</v>
      </c>
      <c r="Z8" s="4">
        <f>W8-W9+W13</f>
        <v>249801</v>
      </c>
      <c r="AA8" s="38" t="s">
        <v>440</v>
      </c>
      <c r="AB8" s="42" t="s">
        <v>363</v>
      </c>
      <c r="AC8" s="43" t="s">
        <v>337</v>
      </c>
      <c r="AE8" s="19">
        <v>0.05</v>
      </c>
      <c r="AF8" s="19">
        <f>SUM(AE$6:AE8)</f>
        <v>6.0000000000000005E-2</v>
      </c>
      <c r="AG8" s="19">
        <v>2</v>
      </c>
      <c r="AL8" t="s">
        <v>95</v>
      </c>
      <c r="AM8" t="s">
        <v>96</v>
      </c>
      <c r="AN8" t="s">
        <v>99</v>
      </c>
      <c r="AO8" t="s">
        <v>104</v>
      </c>
    </row>
    <row r="9" spans="1:41" ht="34" x14ac:dyDescent="0.2">
      <c r="A9" s="50" t="s">
        <v>417</v>
      </c>
      <c r="B9" s="38" t="s">
        <v>221</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441</v>
      </c>
      <c r="AB9" s="42" t="s">
        <v>361</v>
      </c>
      <c r="AC9" s="43" t="s">
        <v>337</v>
      </c>
      <c r="AE9" s="19">
        <v>0.12</v>
      </c>
      <c r="AF9" s="19">
        <f>SUM(AE$6:AE9)</f>
        <v>0.18</v>
      </c>
      <c r="AG9" s="19">
        <v>2</v>
      </c>
      <c r="AL9" t="s">
        <v>95</v>
      </c>
      <c r="AM9" t="s">
        <v>97</v>
      </c>
      <c r="AN9" t="s">
        <v>99</v>
      </c>
      <c r="AO9" t="s">
        <v>105</v>
      </c>
    </row>
    <row r="10" spans="1:41" ht="85" x14ac:dyDescent="0.2">
      <c r="A10" s="50" t="s">
        <v>417</v>
      </c>
      <c r="B10" s="38" t="s">
        <v>220</v>
      </c>
      <c r="C10" s="28" t="s">
        <v>174</v>
      </c>
      <c r="F10" s="10" t="s">
        <v>145</v>
      </c>
      <c r="H10" s="4">
        <f>-MIN(H7-H9,0)</f>
        <v>0</v>
      </c>
      <c r="K10" s="4">
        <f>-MIN(K7-K9,0)</f>
        <v>0</v>
      </c>
      <c r="N10" s="4">
        <f>-MIN(N7-N9,0)</f>
        <v>0</v>
      </c>
      <c r="Q10" s="4">
        <f>-MIN(Q7-Q9,0)</f>
        <v>0</v>
      </c>
      <c r="T10" s="4">
        <f>-MIN(T7-T9,0)</f>
        <v>0</v>
      </c>
      <c r="W10" s="4">
        <f>-MIN(W7-W9,0)</f>
        <v>0</v>
      </c>
      <c r="Z10" s="4">
        <f>-MIN(Z7-Z9,0)</f>
        <v>0</v>
      </c>
      <c r="AA10" s="38" t="s">
        <v>279</v>
      </c>
      <c r="AB10" s="42" t="s">
        <v>292</v>
      </c>
      <c r="AC10" s="43" t="s">
        <v>338</v>
      </c>
      <c r="AE10" s="19">
        <v>0.2</v>
      </c>
      <c r="AF10" s="19">
        <f>SUM(AE$6:AE10)</f>
        <v>0.38</v>
      </c>
      <c r="AG10" s="19">
        <v>20</v>
      </c>
    </row>
    <row r="11" spans="1:41" ht="51" x14ac:dyDescent="0.2">
      <c r="A11" s="50" t="s">
        <v>417</v>
      </c>
      <c r="B11" s="38" t="s">
        <v>218</v>
      </c>
      <c r="C11" s="28" t="s">
        <v>174</v>
      </c>
      <c r="F11" s="10" t="s">
        <v>113</v>
      </c>
      <c r="H11" s="4">
        <f>MAX(H10-H27,0)</f>
        <v>0</v>
      </c>
      <c r="K11" s="4">
        <f>MAX(K10-K27,0)</f>
        <v>0</v>
      </c>
      <c r="N11" s="4">
        <f>MAX(N10-N27,0)</f>
        <v>0</v>
      </c>
      <c r="Q11" s="4">
        <f>MAX(Q10-Q27,0)</f>
        <v>0</v>
      </c>
      <c r="T11" s="4">
        <f>MAX(T10-T27,0)</f>
        <v>0</v>
      </c>
      <c r="W11" s="4">
        <f>MAX(W10-W27,0)</f>
        <v>0</v>
      </c>
      <c r="Z11" s="4">
        <f>MAX(Z10-Z27,0)</f>
        <v>0</v>
      </c>
      <c r="AA11" s="38" t="s">
        <v>280</v>
      </c>
      <c r="AB11" s="42" t="s">
        <v>293</v>
      </c>
      <c r="AC11" s="43" t="s">
        <v>338</v>
      </c>
      <c r="AE11" s="19">
        <v>0.2</v>
      </c>
      <c r="AF11" s="19">
        <f>SUM(AE$6:AE11)</f>
        <v>0.58000000000000007</v>
      </c>
      <c r="AG11" s="19">
        <v>20</v>
      </c>
    </row>
    <row r="12" spans="1:41" x14ac:dyDescent="0.2">
      <c r="A12" s="50" t="s">
        <v>417</v>
      </c>
      <c r="B12" s="38" t="s">
        <v>469</v>
      </c>
      <c r="C12" s="28"/>
      <c r="G12" s="4">
        <f>G9</f>
        <v>50</v>
      </c>
      <c r="H12" s="4">
        <f>H9-H11</f>
        <v>100</v>
      </c>
      <c r="J12" s="4">
        <f>J9</f>
        <v>62</v>
      </c>
      <c r="K12" s="4">
        <f>K9-K11</f>
        <v>110</v>
      </c>
      <c r="M12" s="4">
        <f>M9</f>
        <v>58</v>
      </c>
      <c r="N12" s="4">
        <f>N9-N11</f>
        <v>94</v>
      </c>
      <c r="P12" s="4">
        <f>P9</f>
        <v>70</v>
      </c>
      <c r="Q12" s="4">
        <f>Q9-Q11</f>
        <v>192</v>
      </c>
      <c r="S12" s="4">
        <f>S9</f>
        <v>100</v>
      </c>
      <c r="T12" s="4">
        <f>T9-T11</f>
        <v>39</v>
      </c>
      <c r="V12" s="4">
        <f>V9</f>
        <v>98</v>
      </c>
      <c r="W12" s="4">
        <f>W9-W11</f>
        <v>105</v>
      </c>
      <c r="Y12" s="4">
        <f>Y9</f>
        <v>98</v>
      </c>
      <c r="Z12" s="4">
        <f>Z9-Z11</f>
        <v>116</v>
      </c>
      <c r="AA12" s="38" t="s">
        <v>467</v>
      </c>
      <c r="AB12" s="42" t="s">
        <v>468</v>
      </c>
      <c r="AC12" s="43"/>
      <c r="AE12" s="19"/>
      <c r="AF12" s="19"/>
      <c r="AG12" s="19"/>
    </row>
    <row r="13" spans="1:41" ht="34" x14ac:dyDescent="0.2">
      <c r="A13" s="50" t="s">
        <v>417</v>
      </c>
      <c r="B13" s="38" t="s">
        <v>219</v>
      </c>
      <c r="C13" s="31" t="s">
        <v>162</v>
      </c>
      <c r="F13" s="10" t="s">
        <v>66</v>
      </c>
      <c r="H13" s="4">
        <v>85</v>
      </c>
      <c r="K13" s="4">
        <v>80</v>
      </c>
      <c r="N13" s="4">
        <v>92</v>
      </c>
      <c r="Q13" s="4">
        <v>43</v>
      </c>
      <c r="T13" s="4">
        <v>92</v>
      </c>
      <c r="W13" s="4">
        <v>49</v>
      </c>
      <c r="Z13" s="4">
        <v>110</v>
      </c>
      <c r="AA13" s="38" t="s">
        <v>278</v>
      </c>
      <c r="AB13" s="42" t="s">
        <v>294</v>
      </c>
      <c r="AC13" s="43" t="s">
        <v>337</v>
      </c>
      <c r="AE13" s="19">
        <v>0.36</v>
      </c>
      <c r="AF13" s="19">
        <f>SUM(AE$6:AE13)</f>
        <v>0.94000000000000006</v>
      </c>
      <c r="AG13" s="19">
        <v>20</v>
      </c>
    </row>
    <row r="14" spans="1:41" ht="17" customHeight="1" x14ac:dyDescent="0.2">
      <c r="A14" s="50" t="s">
        <v>417</v>
      </c>
      <c r="B14" s="38" t="s">
        <v>158</v>
      </c>
      <c r="C14" s="28" t="s">
        <v>174</v>
      </c>
      <c r="F14" s="10" t="s">
        <v>143</v>
      </c>
      <c r="G14" s="4">
        <f>MAX(G7-G9,0)</f>
        <v>49950</v>
      </c>
      <c r="H14" s="4">
        <f>MAX(H7-H9,0)</f>
        <v>249900</v>
      </c>
      <c r="J14" s="4">
        <f>MAX(J7-J9,0)</f>
        <v>49888</v>
      </c>
      <c r="K14" s="4">
        <f>MAX(K7-K9,0)</f>
        <v>249790</v>
      </c>
      <c r="M14" s="4">
        <f>MAX(M7-M9,0)</f>
        <v>49830</v>
      </c>
      <c r="N14" s="4">
        <f>MAX(N7-N9,0)</f>
        <v>249696</v>
      </c>
      <c r="P14" s="4">
        <f>MAX(P7-P9,0)</f>
        <v>49760</v>
      </c>
      <c r="Q14" s="4">
        <f>MAX(Q7-Q9,0)</f>
        <v>249504</v>
      </c>
      <c r="S14" s="4">
        <f>MAX(S7-S9,0)</f>
        <v>49660</v>
      </c>
      <c r="T14" s="4">
        <f>MAX(T7-T9,0)</f>
        <v>249465</v>
      </c>
      <c r="V14" s="4">
        <f>MAX(V7-V9,0)</f>
        <v>49562</v>
      </c>
      <c r="W14" s="4">
        <f>MAX(W7-W9,0)</f>
        <v>249360</v>
      </c>
      <c r="Y14" s="4">
        <f>MAX(Y7-Y9,0)</f>
        <v>49464</v>
      </c>
      <c r="Z14" s="4">
        <f>MAX(Z7-Z9,0)</f>
        <v>249244</v>
      </c>
      <c r="AA14" s="38"/>
      <c r="AB14" s="62" t="s">
        <v>491</v>
      </c>
      <c r="AC14" s="43" t="s">
        <v>337</v>
      </c>
      <c r="AE14" s="19"/>
      <c r="AF14" s="19"/>
      <c r="AG14" s="19"/>
    </row>
    <row r="15" spans="1:41" ht="32" customHeight="1" x14ac:dyDescent="0.2">
      <c r="A15" s="50" t="s">
        <v>417</v>
      </c>
      <c r="B15" s="38" t="s">
        <v>222</v>
      </c>
      <c r="C15" s="31" t="s">
        <v>162</v>
      </c>
      <c r="F15" s="10" t="s">
        <v>54</v>
      </c>
      <c r="G15" s="4">
        <v>0.7</v>
      </c>
      <c r="J15" s="4">
        <v>0.7</v>
      </c>
      <c r="M15" s="4">
        <v>0.7</v>
      </c>
      <c r="P15" s="4">
        <v>0.7</v>
      </c>
      <c r="S15" s="4">
        <v>0.7</v>
      </c>
      <c r="V15" s="4">
        <v>0.7</v>
      </c>
      <c r="Y15" s="4">
        <v>0.7</v>
      </c>
      <c r="AA15" s="38" t="s">
        <v>315</v>
      </c>
      <c r="AB15" s="42" t="s">
        <v>295</v>
      </c>
      <c r="AC15" s="43" t="s">
        <v>348</v>
      </c>
      <c r="AE15" s="19">
        <v>0.6</v>
      </c>
      <c r="AF15" s="19">
        <f>SUM(AE$6:AE15)</f>
        <v>1.54</v>
      </c>
      <c r="AG15" s="19">
        <v>20</v>
      </c>
    </row>
    <row r="16" spans="1:41" ht="32" customHeight="1" x14ac:dyDescent="0.2">
      <c r="A16" s="50" t="s">
        <v>417</v>
      </c>
      <c r="B16" s="38" t="s">
        <v>243</v>
      </c>
      <c r="C16" s="31" t="s">
        <v>162</v>
      </c>
      <c r="E16" s="22" t="s">
        <v>242</v>
      </c>
      <c r="F16" s="10" t="s">
        <v>241</v>
      </c>
      <c r="G16" s="4">
        <v>5</v>
      </c>
      <c r="H16" s="4">
        <v>10</v>
      </c>
      <c r="J16" s="4">
        <v>5.0999999999999996</v>
      </c>
      <c r="K16" s="4">
        <v>9.8000000000000007</v>
      </c>
      <c r="M16" s="4">
        <v>5.2</v>
      </c>
      <c r="N16" s="4">
        <v>9.8000000000000007</v>
      </c>
      <c r="P16" s="4">
        <v>4.7</v>
      </c>
      <c r="Q16" s="4">
        <v>9.9</v>
      </c>
      <c r="S16" s="4">
        <v>5.2</v>
      </c>
      <c r="T16" s="4">
        <v>10.1</v>
      </c>
      <c r="V16" s="4">
        <v>4.0999999999999996</v>
      </c>
      <c r="W16" s="4">
        <v>11</v>
      </c>
      <c r="Y16" s="4">
        <v>5.0999999999999996</v>
      </c>
      <c r="Z16" s="4">
        <v>9</v>
      </c>
      <c r="AA16" s="38" t="s">
        <v>442</v>
      </c>
      <c r="AB16" s="42" t="s">
        <v>364</v>
      </c>
      <c r="AC16" s="43" t="s">
        <v>349</v>
      </c>
      <c r="AE16" s="19"/>
      <c r="AF16" s="19"/>
      <c r="AG16" s="19"/>
    </row>
    <row r="17" spans="1:33" ht="32" customHeight="1" x14ac:dyDescent="0.2">
      <c r="A17" s="50" t="s">
        <v>417</v>
      </c>
      <c r="B17" s="38" t="s">
        <v>282</v>
      </c>
      <c r="C17" s="31" t="s">
        <v>162</v>
      </c>
      <c r="G17" s="4">
        <f>G16*0.187</f>
        <v>0.93500000000000005</v>
      </c>
      <c r="H17" s="4">
        <f>H16*0.192</f>
        <v>1.92</v>
      </c>
      <c r="J17" s="4">
        <f>J16*0.187</f>
        <v>0.95369999999999988</v>
      </c>
      <c r="K17" s="4">
        <f>K16*0.192</f>
        <v>1.8816000000000002</v>
      </c>
      <c r="M17" s="4">
        <f>M16*0.187</f>
        <v>0.97240000000000004</v>
      </c>
      <c r="N17" s="4">
        <f>N16*0.192</f>
        <v>1.8816000000000002</v>
      </c>
      <c r="P17" s="4">
        <f>P16*0.187</f>
        <v>0.87890000000000001</v>
      </c>
      <c r="Q17" s="4">
        <f>Q16*0.192</f>
        <v>1.9008</v>
      </c>
      <c r="S17" s="4">
        <f>S16*0.187</f>
        <v>0.97240000000000004</v>
      </c>
      <c r="T17" s="4">
        <f>T16*0.192</f>
        <v>1.9392</v>
      </c>
      <c r="V17" s="4">
        <f>V16*0.187</f>
        <v>0.76669999999999994</v>
      </c>
      <c r="W17" s="4">
        <f>W16*0.192</f>
        <v>2.1120000000000001</v>
      </c>
      <c r="Y17" s="4">
        <f>Y16*0.187</f>
        <v>0.95369999999999988</v>
      </c>
      <c r="Z17" s="4">
        <f>Z16*0.192</f>
        <v>1.728</v>
      </c>
      <c r="AA17" s="38" t="s">
        <v>443</v>
      </c>
      <c r="AB17" s="42" t="s">
        <v>365</v>
      </c>
      <c r="AC17" s="43" t="s">
        <v>349</v>
      </c>
      <c r="AE17" s="19"/>
      <c r="AF17" s="19"/>
      <c r="AG17" s="19"/>
    </row>
    <row r="18" spans="1:33" ht="136" x14ac:dyDescent="0.2">
      <c r="A18" s="50" t="s">
        <v>417</v>
      </c>
      <c r="B18" s="38" t="s">
        <v>410</v>
      </c>
      <c r="C18" s="31" t="s">
        <v>162</v>
      </c>
      <c r="F18" s="10" t="s">
        <v>224</v>
      </c>
      <c r="G18" s="4">
        <v>0.33057704999999998</v>
      </c>
      <c r="H18" s="4">
        <v>0.37800893000000002</v>
      </c>
      <c r="AA18" s="38" t="s">
        <v>412</v>
      </c>
      <c r="AB18" s="42" t="s">
        <v>414</v>
      </c>
      <c r="AC18" s="43" t="s">
        <v>350</v>
      </c>
      <c r="AE18" s="19">
        <v>1.8</v>
      </c>
      <c r="AF18" s="19">
        <f>SUM(AE$6:AE18)</f>
        <v>3.34</v>
      </c>
      <c r="AG18" s="19">
        <v>20</v>
      </c>
    </row>
    <row r="19" spans="1:33" ht="102" x14ac:dyDescent="0.2">
      <c r="A19" s="50" t="s">
        <v>417</v>
      </c>
      <c r="B19" s="38" t="s">
        <v>411</v>
      </c>
      <c r="C19" s="31" t="s">
        <v>162</v>
      </c>
      <c r="E19" s="51" t="s">
        <v>118</v>
      </c>
      <c r="F19" s="10" t="s">
        <v>117</v>
      </c>
      <c r="G19" s="4">
        <v>0.43057705000000002</v>
      </c>
      <c r="H19" s="4">
        <v>0.47800893</v>
      </c>
      <c r="AA19" s="38" t="s">
        <v>413</v>
      </c>
      <c r="AB19" s="42" t="s">
        <v>415</v>
      </c>
      <c r="AC19" s="43" t="s">
        <v>350</v>
      </c>
      <c r="AE19" s="19">
        <v>3</v>
      </c>
      <c r="AF19" s="19">
        <f>SUM(AE$6:AE19)</f>
        <v>6.34</v>
      </c>
      <c r="AG19" s="19">
        <v>20</v>
      </c>
    </row>
    <row r="20" spans="1:33" ht="136" x14ac:dyDescent="0.2">
      <c r="A20" s="50" t="s">
        <v>417</v>
      </c>
      <c r="B20" s="38" t="s">
        <v>223</v>
      </c>
      <c r="C20" s="31" t="s">
        <v>162</v>
      </c>
      <c r="E20" s="51"/>
      <c r="F20" s="10" t="s">
        <v>138</v>
      </c>
      <c r="G20" s="4">
        <v>0.67</v>
      </c>
      <c r="AA20" s="39" t="s">
        <v>281</v>
      </c>
      <c r="AB20" s="42" t="s">
        <v>291</v>
      </c>
      <c r="AC20" s="43" t="s">
        <v>350</v>
      </c>
      <c r="AE20" s="19">
        <v>6</v>
      </c>
      <c r="AF20" s="19">
        <f>SUM(AE$6:AE20)</f>
        <v>12.34</v>
      </c>
      <c r="AG20" s="19">
        <v>20</v>
      </c>
    </row>
    <row r="21" spans="1:33" ht="34" x14ac:dyDescent="0.2">
      <c r="A21" s="50" t="s">
        <v>417</v>
      </c>
      <c r="B21" s="38" t="s">
        <v>225</v>
      </c>
      <c r="C21" s="31" t="s">
        <v>162</v>
      </c>
      <c r="F21" s="10" t="s">
        <v>116</v>
      </c>
      <c r="G21" s="4">
        <v>150</v>
      </c>
      <c r="H21" s="4">
        <v>100</v>
      </c>
      <c r="AA21" s="38" t="s">
        <v>444</v>
      </c>
      <c r="AB21" s="42" t="s">
        <v>465</v>
      </c>
      <c r="AC21" s="43" t="s">
        <v>340</v>
      </c>
      <c r="AE21" s="19">
        <v>10</v>
      </c>
      <c r="AF21" s="19">
        <f>SUM(AE$6:AE21)</f>
        <v>22.34</v>
      </c>
      <c r="AG21" s="19">
        <v>20</v>
      </c>
    </row>
    <row r="22" spans="1:33" ht="51" x14ac:dyDescent="0.2">
      <c r="A22" s="50" t="s">
        <v>417</v>
      </c>
      <c r="B22" s="38" t="s">
        <v>227</v>
      </c>
      <c r="C22" s="31" t="s">
        <v>162</v>
      </c>
      <c r="F22" s="10" t="s">
        <v>173</v>
      </c>
      <c r="G22" s="4">
        <v>0.3</v>
      </c>
      <c r="H22" s="4">
        <v>0.25</v>
      </c>
      <c r="AA22" s="38" t="s">
        <v>463</v>
      </c>
      <c r="AB22" s="42" t="s">
        <v>466</v>
      </c>
      <c r="AC22" s="44" t="s">
        <v>351</v>
      </c>
      <c r="AE22" s="19"/>
      <c r="AF22" s="19"/>
      <c r="AG22" s="19"/>
    </row>
    <row r="23" spans="1:33" ht="34" x14ac:dyDescent="0.2">
      <c r="A23" s="50" t="s">
        <v>417</v>
      </c>
      <c r="B23" s="38" t="s">
        <v>274</v>
      </c>
      <c r="C23" s="32" t="s">
        <v>174</v>
      </c>
      <c r="F23" s="10" t="s">
        <v>115</v>
      </c>
      <c r="G23" s="4">
        <f>G$21*$G$18</f>
        <v>49.586557499999998</v>
      </c>
      <c r="H23" s="4">
        <f>H$21*$H$18</f>
        <v>37.800893000000002</v>
      </c>
      <c r="AA23" s="38" t="s">
        <v>461</v>
      </c>
      <c r="AB23" s="42" t="s">
        <v>462</v>
      </c>
      <c r="AC23" s="43" t="s">
        <v>424</v>
      </c>
      <c r="AE23" s="19">
        <v>12</v>
      </c>
      <c r="AF23" s="19">
        <f>SUM(AE$6:AE23)</f>
        <v>34.340000000000003</v>
      </c>
      <c r="AG23" s="19">
        <v>20</v>
      </c>
    </row>
    <row r="24" spans="1:33" ht="34" x14ac:dyDescent="0.2">
      <c r="A24" s="50" t="s">
        <v>417</v>
      </c>
      <c r="B24" s="38" t="s">
        <v>226</v>
      </c>
      <c r="C24" s="32" t="s">
        <v>174</v>
      </c>
      <c r="F24" s="10" t="s">
        <v>175</v>
      </c>
      <c r="G24" s="4">
        <f>G21-G23</f>
        <v>100.4134425</v>
      </c>
      <c r="H24" s="4">
        <f>H21-H23</f>
        <v>62.199106999999998</v>
      </c>
      <c r="AA24" s="38" t="s">
        <v>478</v>
      </c>
      <c r="AB24" s="42" t="s">
        <v>464</v>
      </c>
      <c r="AC24" s="43" t="s">
        <v>340</v>
      </c>
      <c r="AE24" s="19">
        <v>13.5</v>
      </c>
      <c r="AF24" s="19">
        <f>SUM(AE$6:AE24)</f>
        <v>47.84</v>
      </c>
      <c r="AG24" s="19">
        <v>20</v>
      </c>
    </row>
    <row r="25" spans="1:33" x14ac:dyDescent="0.2">
      <c r="AB25" s="40"/>
      <c r="AC25" s="43"/>
      <c r="AE25" s="19">
        <v>12</v>
      </c>
      <c r="AF25" s="19">
        <f>SUM(AE$6:AE25)</f>
        <v>59.84</v>
      </c>
      <c r="AG25" s="19">
        <v>20</v>
      </c>
    </row>
    <row r="26" spans="1:33" ht="17" x14ac:dyDescent="0.2">
      <c r="A26" s="50" t="s">
        <v>417</v>
      </c>
      <c r="B26" s="38" t="s">
        <v>159</v>
      </c>
      <c r="C26" s="31" t="s">
        <v>162</v>
      </c>
      <c r="F26" s="10" t="s">
        <v>52</v>
      </c>
      <c r="G26" s="4">
        <v>5000</v>
      </c>
      <c r="H26" s="4">
        <v>50000</v>
      </c>
      <c r="J26" s="4">
        <v>5000</v>
      </c>
      <c r="K26" s="4">
        <v>50000</v>
      </c>
      <c r="M26" s="4">
        <v>5500</v>
      </c>
      <c r="N26" s="4">
        <v>50000</v>
      </c>
      <c r="P26" s="4">
        <v>6000</v>
      </c>
      <c r="Q26" s="4">
        <v>50000</v>
      </c>
      <c r="S26" s="4">
        <v>6500</v>
      </c>
      <c r="T26" s="4">
        <v>49000</v>
      </c>
      <c r="V26" s="4">
        <v>7200</v>
      </c>
      <c r="W26" s="4">
        <v>49500</v>
      </c>
      <c r="Y26" s="4">
        <v>7200</v>
      </c>
      <c r="Z26" s="4">
        <v>49500</v>
      </c>
      <c r="AA26" s="38" t="s">
        <v>419</v>
      </c>
      <c r="AB26" s="42" t="s">
        <v>296</v>
      </c>
      <c r="AC26" s="43" t="s">
        <v>337</v>
      </c>
      <c r="AE26" s="19">
        <v>10</v>
      </c>
      <c r="AF26" s="19">
        <f>SUM(AE$6:AE26)</f>
        <v>69.84</v>
      </c>
      <c r="AG26" s="19">
        <v>20</v>
      </c>
    </row>
    <row r="27" spans="1:33" ht="34" x14ac:dyDescent="0.2">
      <c r="A27" s="50" t="s">
        <v>417</v>
      </c>
      <c r="B27" s="38" t="s">
        <v>273</v>
      </c>
      <c r="C27" s="33" t="s">
        <v>163</v>
      </c>
      <c r="F27" s="14" t="s">
        <v>108</v>
      </c>
      <c r="H27" s="4">
        <f>MAX(H$26-H$14, 0)</f>
        <v>0</v>
      </c>
      <c r="K27" s="4">
        <f>MAX(K$26-K$14, 0)</f>
        <v>0</v>
      </c>
      <c r="N27" s="4">
        <f>MAX(N$26-N$14, 0)</f>
        <v>0</v>
      </c>
      <c r="Q27" s="4">
        <f>MAX(Q$26-Q$14, 0)</f>
        <v>0</v>
      </c>
      <c r="T27" s="4">
        <f>MAX(T$26-T$14, 0)</f>
        <v>0</v>
      </c>
      <c r="W27" s="4">
        <f>MAX(W$26-W$14, 0)</f>
        <v>0</v>
      </c>
      <c r="Z27" s="4">
        <f>MAX(Z$26-Z$14, 0)</f>
        <v>0</v>
      </c>
      <c r="AA27" s="38" t="s">
        <v>418</v>
      </c>
      <c r="AB27" s="42" t="s">
        <v>297</v>
      </c>
      <c r="AC27" s="43" t="s">
        <v>338</v>
      </c>
      <c r="AE27" s="19">
        <v>6</v>
      </c>
      <c r="AF27" s="19">
        <f>SUM(AE$6:AE27)</f>
        <v>75.84</v>
      </c>
      <c r="AG27" s="19">
        <v>20</v>
      </c>
    </row>
    <row r="28" spans="1:33" ht="34" x14ac:dyDescent="0.2">
      <c r="A28" s="50" t="s">
        <v>417</v>
      </c>
      <c r="B28" s="38" t="s">
        <v>160</v>
      </c>
      <c r="C28" s="33" t="s">
        <v>163</v>
      </c>
      <c r="F28" s="14" t="s">
        <v>144</v>
      </c>
      <c r="G28" s="4">
        <f>MIN(G14,G26)</f>
        <v>5000</v>
      </c>
      <c r="H28" s="4">
        <f>MIN(H14,H26)</f>
        <v>50000</v>
      </c>
      <c r="J28" s="4">
        <f>MIN(J14,J26)</f>
        <v>5000</v>
      </c>
      <c r="K28" s="4">
        <f>MIN(K14,K26)</f>
        <v>50000</v>
      </c>
      <c r="M28" s="4">
        <f>MIN(M14,M26)</f>
        <v>5500</v>
      </c>
      <c r="N28" s="4">
        <f>MIN(N14,N26)</f>
        <v>50000</v>
      </c>
      <c r="P28" s="4">
        <f>MIN(P14,P26)</f>
        <v>6000</v>
      </c>
      <c r="Q28" s="4">
        <f>MIN(Q14,Q26)</f>
        <v>50000</v>
      </c>
      <c r="S28" s="4">
        <f>MIN(S14,S26)</f>
        <v>6500</v>
      </c>
      <c r="T28" s="4">
        <f>MIN(T14,T26)</f>
        <v>49000</v>
      </c>
      <c r="V28" s="4">
        <f>MIN(V14,V26)</f>
        <v>7200</v>
      </c>
      <c r="W28" s="4">
        <f>MIN(W14,W26)</f>
        <v>49500</v>
      </c>
      <c r="Y28" s="4">
        <f>MIN(Y14,Y26)</f>
        <v>7200</v>
      </c>
      <c r="Z28" s="4">
        <f>MIN(Z14,Z26)</f>
        <v>49500</v>
      </c>
      <c r="AA28" s="38" t="s">
        <v>420</v>
      </c>
      <c r="AB28" s="42" t="s">
        <v>298</v>
      </c>
      <c r="AC28" s="43" t="s">
        <v>337</v>
      </c>
      <c r="AE28" s="19">
        <v>3</v>
      </c>
      <c r="AF28" s="19">
        <f>SUM(AE$6:AE28)</f>
        <v>78.84</v>
      </c>
      <c r="AG28" s="19">
        <v>20</v>
      </c>
    </row>
    <row r="29" spans="1:33" ht="51" x14ac:dyDescent="0.2">
      <c r="F29" s="15" t="s">
        <v>169</v>
      </c>
      <c r="G29" s="8"/>
      <c r="H29" s="8"/>
      <c r="J29" s="8"/>
      <c r="K29" s="8"/>
      <c r="M29" s="8"/>
      <c r="N29" s="8"/>
      <c r="P29" s="8"/>
      <c r="Q29" s="8"/>
      <c r="S29" s="8"/>
      <c r="T29" s="8"/>
      <c r="V29" s="8"/>
      <c r="W29" s="8"/>
      <c r="Y29" s="8"/>
      <c r="Z29" s="8"/>
      <c r="AB29" s="40"/>
      <c r="AC29" s="43"/>
      <c r="AE29" s="19">
        <v>1.8</v>
      </c>
      <c r="AF29" s="19">
        <f>SUM(AE$6:AE29)</f>
        <v>80.64</v>
      </c>
      <c r="AG29" s="19">
        <v>20</v>
      </c>
    </row>
    <row r="30" spans="1:33" ht="73" customHeight="1" x14ac:dyDescent="0.2">
      <c r="A30" s="50" t="s">
        <v>417</v>
      </c>
      <c r="B30" s="38" t="s">
        <v>272</v>
      </c>
      <c r="C30" s="31" t="s">
        <v>162</v>
      </c>
      <c r="E30" s="51" t="s">
        <v>170</v>
      </c>
      <c r="F30" s="25" t="s">
        <v>68</v>
      </c>
      <c r="G30" s="4">
        <v>0.3</v>
      </c>
      <c r="H30" s="4">
        <v>0.92</v>
      </c>
      <c r="AA30" s="38" t="s">
        <v>318</v>
      </c>
      <c r="AB30" s="42" t="s">
        <v>319</v>
      </c>
      <c r="AC30" s="43" t="s">
        <v>341</v>
      </c>
    </row>
    <row r="31" spans="1:33" ht="73" customHeight="1" x14ac:dyDescent="0.2">
      <c r="A31" s="50" t="s">
        <v>417</v>
      </c>
      <c r="B31" s="38" t="s">
        <v>228</v>
      </c>
      <c r="C31" s="32" t="s">
        <v>174</v>
      </c>
      <c r="E31" s="51"/>
      <c r="F31" s="25" t="s">
        <v>171</v>
      </c>
      <c r="G31" s="4">
        <f>0.00157</f>
        <v>1.57E-3</v>
      </c>
      <c r="H31" s="4">
        <f>G31</f>
        <v>1.57E-3</v>
      </c>
      <c r="J31" s="4">
        <f>G30/G21</f>
        <v>2E-3</v>
      </c>
      <c r="AA31" s="38" t="s">
        <v>425</v>
      </c>
      <c r="AB31" s="42" t="s">
        <v>299</v>
      </c>
      <c r="AC31" s="43" t="s">
        <v>352</v>
      </c>
    </row>
    <row r="32" spans="1:33" ht="18" customHeight="1" x14ac:dyDescent="0.2">
      <c r="E32" s="26"/>
      <c r="AB32" s="40"/>
      <c r="AC32" s="43"/>
    </row>
    <row r="33" spans="1:30" ht="17" x14ac:dyDescent="0.2">
      <c r="F33" s="15" t="s">
        <v>56</v>
      </c>
      <c r="G33" s="8"/>
      <c r="H33" s="8"/>
      <c r="J33" s="8"/>
      <c r="K33" s="8"/>
      <c r="M33" s="8"/>
      <c r="N33" s="8"/>
      <c r="P33" s="8"/>
      <c r="Q33" s="8"/>
      <c r="S33" s="8"/>
      <c r="T33" s="8"/>
      <c r="V33" s="8"/>
      <c r="W33" s="8"/>
      <c r="Y33" s="8"/>
      <c r="Z33" s="8"/>
      <c r="AB33" s="40"/>
      <c r="AC33" s="43"/>
    </row>
    <row r="34" spans="1:30" ht="51" x14ac:dyDescent="0.2">
      <c r="A34" s="50" t="s">
        <v>417</v>
      </c>
      <c r="B34" s="38" t="s">
        <v>168</v>
      </c>
      <c r="C34" s="31" t="s">
        <v>162</v>
      </c>
      <c r="F34" s="10" t="s">
        <v>53</v>
      </c>
      <c r="G34" s="4">
        <v>2000000</v>
      </c>
      <c r="J34" s="4">
        <v>2050000</v>
      </c>
      <c r="M34" s="4">
        <v>2110000</v>
      </c>
      <c r="P34" s="4">
        <v>2210000</v>
      </c>
      <c r="S34" s="4">
        <v>3000000</v>
      </c>
      <c r="V34" s="4">
        <v>25000000</v>
      </c>
      <c r="Y34" s="4">
        <v>2520000</v>
      </c>
      <c r="AA34" s="38" t="s">
        <v>285</v>
      </c>
      <c r="AB34" s="42" t="s">
        <v>300</v>
      </c>
      <c r="AC34" s="43" t="s">
        <v>342</v>
      </c>
    </row>
    <row r="35" spans="1:30" x14ac:dyDescent="0.2">
      <c r="A35" s="50" t="s">
        <v>417</v>
      </c>
      <c r="B35" s="38" t="s">
        <v>485</v>
      </c>
      <c r="C35" s="31" t="s">
        <v>162</v>
      </c>
      <c r="F35" s="14"/>
      <c r="G35" s="4">
        <v>0.5</v>
      </c>
      <c r="J35" s="4">
        <v>0.5</v>
      </c>
      <c r="M35" s="4">
        <v>0.5</v>
      </c>
      <c r="P35" s="4">
        <v>0.5</v>
      </c>
      <c r="S35" s="4">
        <v>0.5</v>
      </c>
      <c r="V35" s="4">
        <v>0.5</v>
      </c>
      <c r="Y35" s="4">
        <v>0.5</v>
      </c>
      <c r="AA35" s="38" t="s">
        <v>481</v>
      </c>
      <c r="AB35" s="42" t="s">
        <v>482</v>
      </c>
      <c r="AC35" s="43"/>
    </row>
    <row r="36" spans="1:30" x14ac:dyDescent="0.2">
      <c r="AB36" s="40"/>
      <c r="AC36" s="43"/>
    </row>
    <row r="37" spans="1:30" ht="34" x14ac:dyDescent="0.2">
      <c r="F37" s="11" t="s">
        <v>57</v>
      </c>
      <c r="G37" s="12"/>
      <c r="H37" s="12"/>
      <c r="J37" s="12"/>
      <c r="K37" s="12"/>
      <c r="M37" s="12"/>
      <c r="N37" s="12"/>
      <c r="P37" s="12"/>
      <c r="Q37" s="12"/>
      <c r="S37" s="12"/>
      <c r="T37" s="12"/>
      <c r="V37" s="12"/>
      <c r="W37" s="12"/>
      <c r="Y37" s="12"/>
      <c r="Z37" s="12"/>
      <c r="AB37" s="40"/>
      <c r="AC37" s="43"/>
    </row>
    <row r="38" spans="1:30" ht="51" x14ac:dyDescent="0.2">
      <c r="F38" s="15" t="s">
        <v>139</v>
      </c>
      <c r="G38" s="8" t="s">
        <v>124</v>
      </c>
      <c r="H38" s="8"/>
      <c r="J38" s="4" t="s">
        <v>126</v>
      </c>
      <c r="M38" s="4" t="s">
        <v>126</v>
      </c>
      <c r="O38" s="5" t="s">
        <v>125</v>
      </c>
      <c r="P38" s="4" t="s">
        <v>126</v>
      </c>
      <c r="AB38" s="40"/>
      <c r="AC38" s="43"/>
      <c r="AD38" t="s">
        <v>77</v>
      </c>
    </row>
    <row r="39" spans="1:30" ht="17" x14ac:dyDescent="0.2">
      <c r="B39" s="24" t="s">
        <v>179</v>
      </c>
      <c r="F39" s="14" t="s">
        <v>88</v>
      </c>
      <c r="H39" s="4">
        <v>0</v>
      </c>
      <c r="I39" s="5">
        <f>SUM(K$39:K39)</f>
        <v>0</v>
      </c>
      <c r="K39" s="4">
        <v>0</v>
      </c>
      <c r="L39" s="5">
        <f>SUM(N$39:N39)</f>
        <v>0</v>
      </c>
      <c r="N39" s="4">
        <v>0</v>
      </c>
      <c r="O39" s="5">
        <f>SUM(Q$39:Q39)</f>
        <v>0</v>
      </c>
      <c r="Q39" s="4">
        <v>0</v>
      </c>
      <c r="R39" s="5">
        <f>SUM(T$39:T39)</f>
        <v>0</v>
      </c>
      <c r="T39" s="4">
        <v>0</v>
      </c>
      <c r="U39" s="5">
        <f>SUM(W$39:W39)</f>
        <v>0</v>
      </c>
      <c r="W39" s="4">
        <v>0</v>
      </c>
      <c r="X39" s="5">
        <f>SUM(Z$39:Z39)</f>
        <v>0</v>
      </c>
      <c r="Z39" s="4">
        <v>0</v>
      </c>
      <c r="AB39" s="40"/>
      <c r="AC39" s="43"/>
    </row>
    <row r="40" spans="1:30" ht="17" x14ac:dyDescent="0.2">
      <c r="A40" s="50" t="s">
        <v>417</v>
      </c>
      <c r="B40" s="37" t="s">
        <v>303</v>
      </c>
      <c r="C40" s="55" t="s">
        <v>174</v>
      </c>
      <c r="F40" s="14" t="s">
        <v>87</v>
      </c>
      <c r="G40" s="4">
        <v>0</v>
      </c>
      <c r="H40" s="4">
        <f>H13</f>
        <v>85</v>
      </c>
      <c r="I40" s="5">
        <f>SUM(H$39:H40)</f>
        <v>85</v>
      </c>
      <c r="J40" s="4">
        <f>IF(I40&gt;=K$11, IF(I39&lt;K$11, K$11-I39, 0),H40)</f>
        <v>0</v>
      </c>
      <c r="K40" s="4">
        <f>H40-J40</f>
        <v>85</v>
      </c>
      <c r="L40" s="5">
        <f>SUM(K$39:K40)</f>
        <v>85</v>
      </c>
      <c r="M40" s="4">
        <f>IF(L40&gt;=N$11, IF(L39&lt;N$11, N$11-L39, 0),K40)</f>
        <v>0</v>
      </c>
      <c r="N40" s="4">
        <f>K40-M40</f>
        <v>85</v>
      </c>
      <c r="O40" s="5">
        <f>SUM(N$39:N40)</f>
        <v>85</v>
      </c>
      <c r="P40" s="4">
        <f>IF(O40&gt;=Q$11, IF(O39&lt;Q$11, Q$11-O39, 0),N40)</f>
        <v>0</v>
      </c>
      <c r="Q40" s="4">
        <f>N40-P40</f>
        <v>85</v>
      </c>
      <c r="R40" s="5">
        <f>SUM(Q$39:Q40)</f>
        <v>85</v>
      </c>
      <c r="S40" s="4">
        <f>IF(R40&gt;=T$11, IF(R39&lt;T$11, T$11-R39, 0),Q40)</f>
        <v>0</v>
      </c>
      <c r="T40" s="4">
        <f>Q40-S40</f>
        <v>85</v>
      </c>
      <c r="U40" s="5">
        <f>SUM(T$39:T40)</f>
        <v>85</v>
      </c>
      <c r="V40" s="4">
        <f>IF(U40&gt;=W$11, IF(U39&lt;W$11, W$11-U39, 0),T40)</f>
        <v>0</v>
      </c>
      <c r="W40" s="4">
        <f>T40-V40</f>
        <v>85</v>
      </c>
      <c r="X40" s="5">
        <f>SUM(W$39:W40)</f>
        <v>85</v>
      </c>
      <c r="Y40" s="4">
        <f>IF(X40&gt;=Z$11, IF(X39&lt;Z$11, Z$11-X39, 0),W40)</f>
        <v>0</v>
      </c>
      <c r="Z40" s="4">
        <f>W40-Y40</f>
        <v>85</v>
      </c>
      <c r="AA40" s="38" t="s">
        <v>313</v>
      </c>
      <c r="AB40" s="42" t="s">
        <v>385</v>
      </c>
      <c r="AC40" s="43" t="s">
        <v>337</v>
      </c>
    </row>
    <row r="41" spans="1:30" ht="17" x14ac:dyDescent="0.2">
      <c r="A41" s="50" t="s">
        <v>417</v>
      </c>
      <c r="B41" s="38" t="s">
        <v>304</v>
      </c>
      <c r="C41" s="55"/>
      <c r="F41" s="14" t="s">
        <v>69</v>
      </c>
      <c r="G41" s="4">
        <v>0</v>
      </c>
      <c r="H41" s="4">
        <v>0</v>
      </c>
      <c r="I41" s="5">
        <f>SUM(H$39:H41)</f>
        <v>85</v>
      </c>
      <c r="J41" s="4">
        <f>IF(I41&gt;=K$11, IF(I40&lt;K$11, K$11-I40, 0),H41)</f>
        <v>0</v>
      </c>
      <c r="K41" s="4">
        <f>K13</f>
        <v>80</v>
      </c>
      <c r="L41" s="5">
        <f>SUM(K$39:K41)</f>
        <v>165</v>
      </c>
      <c r="M41" s="4">
        <f>IF(L41&gt;=N$11, IF(L40&lt;N$11, N$11-L40, 0),K41)</f>
        <v>0</v>
      </c>
      <c r="N41" s="4">
        <f>K41-M41</f>
        <v>80</v>
      </c>
      <c r="O41" s="5">
        <f>SUM(N$39:N41)</f>
        <v>165</v>
      </c>
      <c r="P41" s="4">
        <f t="shared" ref="P41:P43" si="0">IF(O41&gt;=Q$11, IF(O40&lt;Q$11, Q$11-O40, 0),N41)</f>
        <v>0</v>
      </c>
      <c r="Q41" s="4">
        <f>N41-P41</f>
        <v>80</v>
      </c>
      <c r="R41" s="5">
        <f>SUM(Q$39:Q41)</f>
        <v>165</v>
      </c>
      <c r="S41" s="4">
        <f t="shared" ref="S41:S43" si="1">IF(R41&gt;=T$11, IF(R40&lt;T$11, T$11-R40, 0),Q41)</f>
        <v>0</v>
      </c>
      <c r="T41" s="4">
        <f>Q41-S41</f>
        <v>80</v>
      </c>
      <c r="U41" s="5">
        <f>SUM(T$39:T41)</f>
        <v>165</v>
      </c>
      <c r="V41" s="4">
        <f t="shared" ref="V41:V43" si="2">IF(U41&gt;=W$11, IF(U40&lt;W$11, W$11-U40, 0),T41)</f>
        <v>0</v>
      </c>
      <c r="W41" s="4">
        <f>T41-V41</f>
        <v>80</v>
      </c>
      <c r="X41" s="5">
        <f>SUM(W$39:W41)</f>
        <v>165</v>
      </c>
      <c r="Y41" s="4">
        <f t="shared" ref="Y41:Y43" si="3">IF(X41&gt;=Z$11, IF(X40&lt;Z$11, Z$11-X40, 0),W41)</f>
        <v>0</v>
      </c>
      <c r="Z41" s="4">
        <f>W41-Y41</f>
        <v>80</v>
      </c>
      <c r="AA41" s="38" t="s">
        <v>314</v>
      </c>
      <c r="AB41" s="42" t="s">
        <v>386</v>
      </c>
      <c r="AC41" s="43" t="s">
        <v>337</v>
      </c>
    </row>
    <row r="42" spans="1:30" ht="17" x14ac:dyDescent="0.2">
      <c r="A42" s="50" t="s">
        <v>417</v>
      </c>
      <c r="B42" s="38" t="s">
        <v>305</v>
      </c>
      <c r="C42" s="55"/>
      <c r="F42" s="14" t="s">
        <v>79</v>
      </c>
      <c r="G42" s="4">
        <v>0</v>
      </c>
      <c r="H42" s="4">
        <v>0</v>
      </c>
      <c r="I42" s="5">
        <f>SUM(H$39:H42)</f>
        <v>85</v>
      </c>
      <c r="J42" s="4">
        <f>IF(I42&gt;=K$11, IF(I41&lt;K$11, K$11-I41, 0),H42)</f>
        <v>0</v>
      </c>
      <c r="K42" s="4">
        <v>0</v>
      </c>
      <c r="L42" s="5">
        <f>SUM(K$39:K42)</f>
        <v>165</v>
      </c>
      <c r="M42" s="4">
        <f t="shared" ref="M42:M43" si="4">IF(L42&gt;=N$11, IF(L41&lt;N$11, N$11-L41, 0),K42)</f>
        <v>0</v>
      </c>
      <c r="N42" s="4">
        <f>N13</f>
        <v>92</v>
      </c>
      <c r="O42" s="5">
        <f>SUM(N$39:N42)</f>
        <v>257</v>
      </c>
      <c r="P42" s="4">
        <f t="shared" si="0"/>
        <v>0</v>
      </c>
      <c r="Q42" s="4">
        <f>N42-P42</f>
        <v>92</v>
      </c>
      <c r="R42" s="5">
        <f>SUM(Q$39:Q42)</f>
        <v>257</v>
      </c>
      <c r="S42" s="4">
        <f t="shared" si="1"/>
        <v>0</v>
      </c>
      <c r="T42" s="4">
        <f>Q42-S42</f>
        <v>92</v>
      </c>
      <c r="U42" s="5">
        <f>SUM(T$39:T42)</f>
        <v>257</v>
      </c>
      <c r="V42" s="4">
        <f t="shared" si="2"/>
        <v>0</v>
      </c>
      <c r="W42" s="4">
        <f>T42-V42</f>
        <v>92</v>
      </c>
      <c r="X42" s="5">
        <f>SUM(W$39:W42)</f>
        <v>257</v>
      </c>
      <c r="Y42" s="4">
        <f t="shared" si="3"/>
        <v>0</v>
      </c>
      <c r="Z42" s="4">
        <f>W42-Y42</f>
        <v>92</v>
      </c>
      <c r="AA42" s="38" t="s">
        <v>332</v>
      </c>
      <c r="AB42" s="42" t="s">
        <v>387</v>
      </c>
      <c r="AC42" s="43" t="s">
        <v>337</v>
      </c>
    </row>
    <row r="43" spans="1:30" ht="17" x14ac:dyDescent="0.2">
      <c r="B43" s="38"/>
      <c r="C43" s="55"/>
      <c r="F43" s="14" t="s">
        <v>80</v>
      </c>
      <c r="G43" s="4">
        <v>0</v>
      </c>
      <c r="H43" s="4">
        <v>0</v>
      </c>
      <c r="I43" s="5">
        <f>SUM(H$39:H43)</f>
        <v>85</v>
      </c>
      <c r="J43" s="4">
        <f>IF(I43&gt;=K$11, IF(I42&lt;K$11, K$11-I42, 0),H43)</f>
        <v>0</v>
      </c>
      <c r="K43" s="4">
        <v>0</v>
      </c>
      <c r="L43" s="5">
        <f>SUM(K$39:K43)</f>
        <v>165</v>
      </c>
      <c r="M43" s="4">
        <f t="shared" si="4"/>
        <v>0</v>
      </c>
      <c r="N43" s="4">
        <v>0</v>
      </c>
      <c r="O43" s="5">
        <f>SUM(N$39:N43)</f>
        <v>257</v>
      </c>
      <c r="P43" s="4">
        <f t="shared" si="0"/>
        <v>0</v>
      </c>
      <c r="Q43" s="4">
        <f>Q13</f>
        <v>43</v>
      </c>
      <c r="R43" s="5">
        <f>SUM(Q$39:Q43)</f>
        <v>300</v>
      </c>
      <c r="S43" s="4">
        <f t="shared" si="1"/>
        <v>0</v>
      </c>
      <c r="T43" s="4">
        <f>Q43-S43</f>
        <v>43</v>
      </c>
      <c r="U43" s="5">
        <f>SUM(T$39:T43)</f>
        <v>300</v>
      </c>
      <c r="V43" s="4">
        <f t="shared" si="2"/>
        <v>0</v>
      </c>
      <c r="W43" s="4">
        <f>T43-V43</f>
        <v>43</v>
      </c>
      <c r="X43" s="5">
        <f>SUM(W$39:W43)</f>
        <v>300</v>
      </c>
      <c r="Y43" s="4">
        <f t="shared" si="3"/>
        <v>0</v>
      </c>
      <c r="Z43" s="4">
        <f>W43-Y43</f>
        <v>43</v>
      </c>
      <c r="AA43" s="38"/>
      <c r="AB43" s="42"/>
      <c r="AC43" s="43"/>
    </row>
    <row r="44" spans="1:30" ht="17" x14ac:dyDescent="0.2">
      <c r="F44" s="14" t="s">
        <v>82</v>
      </c>
      <c r="AB44" s="40"/>
      <c r="AC44" s="43"/>
    </row>
    <row r="45" spans="1:30" ht="34" x14ac:dyDescent="0.2">
      <c r="A45" s="50" t="s">
        <v>417</v>
      </c>
      <c r="B45" s="56" t="s">
        <v>189</v>
      </c>
      <c r="C45" s="55" t="s">
        <v>174</v>
      </c>
      <c r="F45" s="14" t="s">
        <v>193</v>
      </c>
      <c r="H45" s="4">
        <v>0</v>
      </c>
      <c r="K45" s="4">
        <f>IF(H40=0, 0, H99*J40/H40)</f>
        <v>0</v>
      </c>
      <c r="N45" s="4">
        <f>IF(K40=0, 0, K99*M40/K40)</f>
        <v>0</v>
      </c>
      <c r="Q45" s="4">
        <f>IF(N40=0, 0, N99*P40/N40)</f>
        <v>0</v>
      </c>
      <c r="T45" s="4">
        <f>IF(Q40=0, 0, Q99*S40/Q40)</f>
        <v>0</v>
      </c>
      <c r="W45" s="4">
        <f>IF(T40=0, 0, T99*V40/T40)</f>
        <v>0</v>
      </c>
      <c r="Z45" s="4">
        <f>IF(W40=0, 0, W99*Y40/W40)</f>
        <v>0</v>
      </c>
      <c r="AA45" s="38" t="s">
        <v>286</v>
      </c>
      <c r="AB45" s="42" t="s">
        <v>388</v>
      </c>
      <c r="AC45" s="43" t="s">
        <v>343</v>
      </c>
    </row>
    <row r="46" spans="1:30" ht="34" x14ac:dyDescent="0.2">
      <c r="B46" s="56"/>
      <c r="C46" s="55"/>
      <c r="F46" s="14" t="s">
        <v>194</v>
      </c>
      <c r="H46" s="4">
        <v>0</v>
      </c>
      <c r="K46" s="4">
        <f>IF(H41=0, 0, H100*J41/H41)</f>
        <v>0</v>
      </c>
      <c r="N46" s="4">
        <f>IF(K41=0, 0, K100*M41/K41)</f>
        <v>0</v>
      </c>
      <c r="Q46" s="4">
        <f>IF(N41=0, 0, N100*P41/N41)</f>
        <v>0</v>
      </c>
      <c r="T46" s="4">
        <f>IF(Q41=0, 0, Q100*S41/Q41)</f>
        <v>0</v>
      </c>
      <c r="W46" s="4">
        <f>IF(T41=0, 0, T100*V41/T41)</f>
        <v>0</v>
      </c>
      <c r="Z46" s="4">
        <f>IF(W41=0, 0, W100*Y41/W41)</f>
        <v>0</v>
      </c>
      <c r="AA46" s="38"/>
      <c r="AB46" s="42"/>
      <c r="AC46" s="43"/>
    </row>
    <row r="47" spans="1:30" ht="34" x14ac:dyDescent="0.2">
      <c r="B47" s="56"/>
      <c r="C47" s="55"/>
      <c r="F47" s="14" t="s">
        <v>195</v>
      </c>
      <c r="H47" s="4">
        <v>0</v>
      </c>
      <c r="K47" s="4">
        <f>IF(H42=0, 0, H101*J42/H42)</f>
        <v>0</v>
      </c>
      <c r="N47" s="4">
        <f>IF(K42=0, 0, K101*M42/K42)</f>
        <v>0</v>
      </c>
      <c r="Q47" s="4">
        <f>IF(N42=0, 0, N101*P42/N42)</f>
        <v>0</v>
      </c>
      <c r="T47" s="4">
        <f>IF(Q42=0, 0, Q101*S42/Q42)</f>
        <v>0</v>
      </c>
      <c r="W47" s="4">
        <f>IF(T42=0, 0, T101*V42/T42)</f>
        <v>0</v>
      </c>
      <c r="Z47" s="4">
        <f>IF(W42=0, 0, W101*Y42/W42)</f>
        <v>0</v>
      </c>
      <c r="AA47" s="38"/>
      <c r="AB47" s="42"/>
      <c r="AC47" s="43"/>
    </row>
    <row r="48" spans="1:30" ht="34" x14ac:dyDescent="0.2">
      <c r="B48" s="56"/>
      <c r="C48" s="55"/>
      <c r="F48" s="14" t="s">
        <v>196</v>
      </c>
      <c r="H48" s="4">
        <v>0</v>
      </c>
      <c r="K48" s="4">
        <f>IF(H43=0, 0, H102*J43/H43)</f>
        <v>0</v>
      </c>
      <c r="N48" s="4">
        <f>IF(K43=0, 0, K102*M43/K43)</f>
        <v>0</v>
      </c>
      <c r="Q48" s="4">
        <f>IF(N43=0, 0, N102*P43/N43)</f>
        <v>0</v>
      </c>
      <c r="T48" s="4">
        <f>IF(Q43=0, 0, Q102*S43/Q43)</f>
        <v>0</v>
      </c>
      <c r="W48" s="4">
        <f>IF(T43=0, 0, T102*V43/T43)</f>
        <v>0</v>
      </c>
      <c r="Z48" s="4">
        <f>IF(W43=0, 0, W102*Y43/W43)</f>
        <v>0</v>
      </c>
      <c r="AA48" s="38"/>
      <c r="AB48" s="42"/>
      <c r="AC48" s="43"/>
    </row>
    <row r="49" spans="1:29" x14ac:dyDescent="0.2">
      <c r="A49" s="50" t="s">
        <v>417</v>
      </c>
      <c r="B49" s="38" t="s">
        <v>190</v>
      </c>
      <c r="C49" s="28" t="s">
        <v>174</v>
      </c>
      <c r="F49" s="14"/>
      <c r="H49" s="4">
        <f>SUM(H45:H48)</f>
        <v>0</v>
      </c>
      <c r="K49" s="4">
        <f>SUM(K45:K48)</f>
        <v>0</v>
      </c>
      <c r="N49" s="4">
        <f>SUM(N45:N48)</f>
        <v>0</v>
      </c>
      <c r="Q49" s="4">
        <f>SUM(Q45:Q48)</f>
        <v>0</v>
      </c>
      <c r="T49" s="4">
        <f>SUM(T45:T48)</f>
        <v>0</v>
      </c>
      <c r="W49" s="4">
        <f>SUM(W45:W48)</f>
        <v>0</v>
      </c>
      <c r="Z49" s="4">
        <f>SUM(Z45:Z48)</f>
        <v>0</v>
      </c>
      <c r="AA49" s="38" t="s">
        <v>287</v>
      </c>
      <c r="AB49" s="42" t="s">
        <v>400</v>
      </c>
      <c r="AC49" s="43" t="s">
        <v>344</v>
      </c>
    </row>
    <row r="50" spans="1:29" ht="17" x14ac:dyDescent="0.2">
      <c r="F50" s="14" t="s">
        <v>82</v>
      </c>
      <c r="AB50" s="40"/>
      <c r="AC50" s="43"/>
    </row>
    <row r="51" spans="1:29" ht="51" x14ac:dyDescent="0.2">
      <c r="A51" s="50" t="s">
        <v>417</v>
      </c>
      <c r="B51" s="56" t="s">
        <v>257</v>
      </c>
      <c r="C51" s="55" t="s">
        <v>174</v>
      </c>
      <c r="E51" s="51" t="s">
        <v>245</v>
      </c>
      <c r="F51" s="14" t="s">
        <v>244</v>
      </c>
      <c r="H51" s="4">
        <f>MIN(H45,H$16*G40)</f>
        <v>0</v>
      </c>
      <c r="K51" s="4">
        <f>MIN(K45,K$16*J40)</f>
        <v>0</v>
      </c>
      <c r="N51" s="4">
        <f>MIN(N45,N$16*M40)</f>
        <v>0</v>
      </c>
      <c r="Q51" s="4">
        <f>MIN(Q45,Q$16*P40)</f>
        <v>0</v>
      </c>
      <c r="T51" s="4">
        <f>MIN(T45,T$16*S40)</f>
        <v>0</v>
      </c>
      <c r="W51" s="4">
        <f>MIN(W45,W$16*V40)</f>
        <v>0</v>
      </c>
      <c r="Z51" s="4">
        <f>MIN(Z45,Z$16*Y40)</f>
        <v>0</v>
      </c>
      <c r="AA51" s="38" t="s">
        <v>322</v>
      </c>
      <c r="AB51" s="42" t="s">
        <v>389</v>
      </c>
      <c r="AC51" s="43" t="s">
        <v>343</v>
      </c>
    </row>
    <row r="52" spans="1:29" ht="51" x14ac:dyDescent="0.2">
      <c r="B52" s="56"/>
      <c r="C52" s="55"/>
      <c r="E52" s="51"/>
      <c r="F52" s="14" t="s">
        <v>246</v>
      </c>
      <c r="H52" s="4">
        <f>MIN(H46,H$16*G41)</f>
        <v>0</v>
      </c>
      <c r="K52" s="4">
        <f>MIN(K46,K$16*J41)</f>
        <v>0</v>
      </c>
      <c r="N52" s="4">
        <f>MIN(N46,N$16*M41)</f>
        <v>0</v>
      </c>
      <c r="Q52" s="4">
        <f t="shared" ref="Q52" si="5">MIN(Q46,Q$16*P41)</f>
        <v>0</v>
      </c>
      <c r="T52" s="4">
        <f t="shared" ref="T52" si="6">MIN(T46,T$16*S41)</f>
        <v>0</v>
      </c>
      <c r="W52" s="4">
        <f t="shared" ref="W52" si="7">MIN(W46,W$16*V41)</f>
        <v>0</v>
      </c>
      <c r="Z52" s="4">
        <f t="shared" ref="Z52" si="8">MIN(Z46,Z$16*Y41)</f>
        <v>0</v>
      </c>
      <c r="AA52" s="38"/>
      <c r="AB52" s="42"/>
      <c r="AC52" s="43"/>
    </row>
    <row r="53" spans="1:29" ht="51" x14ac:dyDescent="0.2">
      <c r="B53" s="56"/>
      <c r="C53" s="55"/>
      <c r="E53" s="51"/>
      <c r="F53" s="14" t="s">
        <v>247</v>
      </c>
      <c r="H53" s="4">
        <f>MIN(H47,H$16*G42)</f>
        <v>0</v>
      </c>
      <c r="K53" s="4">
        <f>MIN(K47,K$16*J42)</f>
        <v>0</v>
      </c>
      <c r="N53" s="4">
        <f>MIN(N47,N$16*M42)</f>
        <v>0</v>
      </c>
      <c r="Q53" s="4">
        <f>MIN(Q47,Q$16*P42)</f>
        <v>0</v>
      </c>
      <c r="T53" s="4">
        <f>MIN(T47,T$16*S42)</f>
        <v>0</v>
      </c>
      <c r="W53" s="4">
        <f>MIN(W47,W$16*V42)</f>
        <v>0</v>
      </c>
      <c r="Z53" s="4">
        <f>MIN(Z47,Z$16*Y42)</f>
        <v>0</v>
      </c>
      <c r="AA53" s="38"/>
      <c r="AB53" s="42"/>
      <c r="AC53" s="43"/>
    </row>
    <row r="54" spans="1:29" ht="51" x14ac:dyDescent="0.2">
      <c r="B54" s="56"/>
      <c r="C54" s="55"/>
      <c r="E54" s="51"/>
      <c r="F54" s="14" t="s">
        <v>248</v>
      </c>
      <c r="H54" s="4">
        <f>MIN(H48,H$16*G43)</f>
        <v>0</v>
      </c>
      <c r="K54" s="4">
        <f>MIN(K48,K$16*J43)</f>
        <v>0</v>
      </c>
      <c r="N54" s="4">
        <f>MIN(N48,N$16*M43)</f>
        <v>0</v>
      </c>
      <c r="Q54" s="4">
        <f>MIN(Q48,Q$16*P43)</f>
        <v>0</v>
      </c>
      <c r="T54" s="4">
        <f>MIN(T48,T$16*S43)</f>
        <v>0</v>
      </c>
      <c r="W54" s="4">
        <f>MIN(W48,W$16*V43)</f>
        <v>0</v>
      </c>
      <c r="Z54" s="4">
        <f>MIN(Z48,Z$16*Y43)</f>
        <v>0</v>
      </c>
      <c r="AA54" s="38"/>
      <c r="AB54" s="42"/>
      <c r="AC54" s="43"/>
    </row>
    <row r="55" spans="1:29" x14ac:dyDescent="0.2">
      <c r="A55" s="50" t="s">
        <v>417</v>
      </c>
      <c r="B55" s="38" t="s">
        <v>258</v>
      </c>
      <c r="C55" s="28" t="s">
        <v>174</v>
      </c>
      <c r="F55" s="14"/>
      <c r="H55" s="4">
        <f>SUM(H51:H54)</f>
        <v>0</v>
      </c>
      <c r="K55" s="4">
        <f>SUM(K51:K54)</f>
        <v>0</v>
      </c>
      <c r="N55" s="4">
        <f>SUM(N51:N54)</f>
        <v>0</v>
      </c>
      <c r="Q55" s="4">
        <f>SUM(Q51:Q54)</f>
        <v>0</v>
      </c>
      <c r="T55" s="4">
        <f>SUM(T51:T54)</f>
        <v>0</v>
      </c>
      <c r="W55" s="4">
        <f>SUM(W51:W54)</f>
        <v>0</v>
      </c>
      <c r="Z55" s="4">
        <f>SUM(Z51:Z54)</f>
        <v>0</v>
      </c>
      <c r="AA55" s="38" t="s">
        <v>321</v>
      </c>
      <c r="AB55" s="42" t="s">
        <v>401</v>
      </c>
      <c r="AC55" s="43" t="s">
        <v>344</v>
      </c>
    </row>
    <row r="56" spans="1:29" x14ac:dyDescent="0.2">
      <c r="A56" s="50" t="s">
        <v>417</v>
      </c>
      <c r="B56" s="38" t="s">
        <v>260</v>
      </c>
      <c r="C56" s="28"/>
      <c r="F56" s="14"/>
      <c r="H56" s="4">
        <f>H49-H55</f>
        <v>0</v>
      </c>
      <c r="K56" s="4">
        <f>K49-K55</f>
        <v>0</v>
      </c>
      <c r="N56" s="4">
        <f>N49-N55</f>
        <v>0</v>
      </c>
      <c r="Q56" s="4">
        <f>Q49-Q55</f>
        <v>0</v>
      </c>
      <c r="T56" s="4">
        <f>T49-T55</f>
        <v>0</v>
      </c>
      <c r="W56" s="4">
        <f>W49-W55</f>
        <v>0</v>
      </c>
      <c r="Z56" s="4">
        <f>Z49-Z55</f>
        <v>0</v>
      </c>
      <c r="AA56" s="38" t="s">
        <v>320</v>
      </c>
      <c r="AB56" s="42" t="s">
        <v>402</v>
      </c>
      <c r="AC56" s="43" t="s">
        <v>344</v>
      </c>
    </row>
    <row r="57" spans="1:29" x14ac:dyDescent="0.2">
      <c r="F57" s="14"/>
      <c r="AB57" s="42"/>
      <c r="AC57" s="43"/>
    </row>
    <row r="58" spans="1:29" ht="34" x14ac:dyDescent="0.2">
      <c r="A58" s="50" t="s">
        <v>417</v>
      </c>
      <c r="B58" s="56" t="s">
        <v>191</v>
      </c>
      <c r="C58" s="55" t="s">
        <v>174</v>
      </c>
      <c r="F58" s="14" t="s">
        <v>197</v>
      </c>
      <c r="H58" s="4">
        <f>H45*$H$22</f>
        <v>0</v>
      </c>
      <c r="K58" s="4">
        <f>K45*$H$22</f>
        <v>0</v>
      </c>
      <c r="N58" s="4">
        <f>N45*$H$22</f>
        <v>0</v>
      </c>
      <c r="Q58" s="4">
        <f>Q45*$H$22</f>
        <v>0</v>
      </c>
      <c r="T58" s="4">
        <f>T45*$H$22</f>
        <v>0</v>
      </c>
      <c r="W58" s="4">
        <f>W45*$H$22</f>
        <v>0</v>
      </c>
      <c r="Z58" s="4">
        <f>Z45*$H$22</f>
        <v>0</v>
      </c>
      <c r="AA58" s="38" t="s">
        <v>288</v>
      </c>
      <c r="AB58" s="42" t="s">
        <v>390</v>
      </c>
      <c r="AC58" s="43" t="s">
        <v>343</v>
      </c>
    </row>
    <row r="59" spans="1:29" ht="34" x14ac:dyDescent="0.2">
      <c r="B59" s="56"/>
      <c r="C59" s="55"/>
      <c r="F59" s="14" t="s">
        <v>198</v>
      </c>
      <c r="H59" s="4">
        <f>H46*$H$22</f>
        <v>0</v>
      </c>
      <c r="K59" s="4">
        <f>K46*$H$22</f>
        <v>0</v>
      </c>
      <c r="N59" s="4">
        <f>N46*$H$22</f>
        <v>0</v>
      </c>
      <c r="Q59" s="4">
        <f>Q46*$H$22</f>
        <v>0</v>
      </c>
      <c r="T59" s="4">
        <f>T46*$H$22</f>
        <v>0</v>
      </c>
      <c r="W59" s="4">
        <f>W46*$H$22</f>
        <v>0</v>
      </c>
      <c r="Z59" s="4">
        <f>Z46*$H$22</f>
        <v>0</v>
      </c>
      <c r="AA59" s="38"/>
      <c r="AB59" s="42"/>
      <c r="AC59" s="43"/>
    </row>
    <row r="60" spans="1:29" ht="34" x14ac:dyDescent="0.2">
      <c r="B60" s="56"/>
      <c r="C60" s="55"/>
      <c r="F60" s="14" t="s">
        <v>199</v>
      </c>
      <c r="H60" s="4">
        <f>H47*$H$22</f>
        <v>0</v>
      </c>
      <c r="K60" s="4">
        <f>K47*$H$22</f>
        <v>0</v>
      </c>
      <c r="N60" s="4">
        <f>N47*$H$22</f>
        <v>0</v>
      </c>
      <c r="Q60" s="4">
        <f>Q47*$H$22</f>
        <v>0</v>
      </c>
      <c r="T60" s="4">
        <f>T47*$H$22</f>
        <v>0</v>
      </c>
      <c r="W60" s="4">
        <f>W47*$H$22</f>
        <v>0</v>
      </c>
      <c r="Z60" s="4">
        <f>Z47*$H$22</f>
        <v>0</v>
      </c>
      <c r="AA60" s="38"/>
      <c r="AB60" s="42"/>
      <c r="AC60" s="43"/>
    </row>
    <row r="61" spans="1:29" ht="34" x14ac:dyDescent="0.2">
      <c r="B61" s="56"/>
      <c r="C61" s="55"/>
      <c r="F61" s="14" t="s">
        <v>200</v>
      </c>
      <c r="H61" s="4">
        <f>H48*$H$22</f>
        <v>0</v>
      </c>
      <c r="K61" s="4">
        <f>K48*$H$22</f>
        <v>0</v>
      </c>
      <c r="N61" s="4">
        <f>N48*$H$22</f>
        <v>0</v>
      </c>
      <c r="Q61" s="4">
        <f>Q48*$H$22</f>
        <v>0</v>
      </c>
      <c r="T61" s="4">
        <f>T48*$H$22</f>
        <v>0</v>
      </c>
      <c r="W61" s="4">
        <f>W48*$H$22</f>
        <v>0</v>
      </c>
      <c r="Z61" s="4">
        <f>Z48*$H$22</f>
        <v>0</v>
      </c>
      <c r="AA61" s="38"/>
      <c r="AB61" s="42"/>
      <c r="AC61" s="43"/>
    </row>
    <row r="62" spans="1:29" x14ac:dyDescent="0.2">
      <c r="A62" s="50" t="s">
        <v>417</v>
      </c>
      <c r="B62" s="38" t="s">
        <v>192</v>
      </c>
      <c r="C62" s="28" t="s">
        <v>174</v>
      </c>
      <c r="F62" s="14"/>
      <c r="H62" s="4">
        <f>SUM(H58:H61)</f>
        <v>0</v>
      </c>
      <c r="K62" s="4">
        <f>SUM(K58:K61)</f>
        <v>0</v>
      </c>
      <c r="N62" s="4">
        <f>SUM(N58:N61)</f>
        <v>0</v>
      </c>
      <c r="Q62" s="4">
        <f>SUM(Q58:Q61)</f>
        <v>0</v>
      </c>
      <c r="T62" s="4">
        <f>SUM(T58:T61)</f>
        <v>0</v>
      </c>
      <c r="W62" s="4">
        <f>SUM(W58:W61)</f>
        <v>0</v>
      </c>
      <c r="Z62" s="4">
        <f>SUM(Z58:Z61)</f>
        <v>0</v>
      </c>
      <c r="AA62" s="38" t="s">
        <v>289</v>
      </c>
      <c r="AB62" s="42" t="s">
        <v>403</v>
      </c>
      <c r="AC62" s="43" t="s">
        <v>344</v>
      </c>
    </row>
    <row r="63" spans="1:29" x14ac:dyDescent="0.2">
      <c r="F63" s="14"/>
      <c r="AB63" s="42"/>
      <c r="AC63" s="43"/>
    </row>
    <row r="64" spans="1:29" ht="34" x14ac:dyDescent="0.2">
      <c r="A64" s="50" t="s">
        <v>417</v>
      </c>
      <c r="B64" s="56" t="s">
        <v>178</v>
      </c>
      <c r="C64" s="55" t="s">
        <v>174</v>
      </c>
      <c r="F64" s="14" t="s">
        <v>90</v>
      </c>
      <c r="H64" s="4">
        <f>AE6</f>
        <v>0</v>
      </c>
      <c r="K64" s="4">
        <f>AE7</f>
        <v>0.01</v>
      </c>
      <c r="N64" s="4">
        <f>AE8</f>
        <v>0.05</v>
      </c>
      <c r="Q64" s="4">
        <f>AE9</f>
        <v>0.12</v>
      </c>
      <c r="T64" s="4">
        <f>AE11</f>
        <v>0.2</v>
      </c>
      <c r="W64" s="4">
        <f>AE13</f>
        <v>0.36</v>
      </c>
      <c r="Z64" s="4">
        <f>AE15</f>
        <v>0.6</v>
      </c>
      <c r="AA64" s="38" t="s">
        <v>309</v>
      </c>
      <c r="AB64" s="42" t="s">
        <v>391</v>
      </c>
      <c r="AC64" s="43" t="s">
        <v>343</v>
      </c>
    </row>
    <row r="65" spans="1:32" ht="34" x14ac:dyDescent="0.2">
      <c r="B65" s="56"/>
      <c r="C65" s="55"/>
      <c r="F65" s="14" t="s">
        <v>91</v>
      </c>
      <c r="H65" s="4">
        <v>0</v>
      </c>
      <c r="K65" s="4">
        <v>0</v>
      </c>
      <c r="N65" s="4">
        <f>AE7</f>
        <v>0.01</v>
      </c>
      <c r="Q65" s="4">
        <f>AE8</f>
        <v>0.05</v>
      </c>
      <c r="T65" s="4">
        <f>AE9</f>
        <v>0.12</v>
      </c>
      <c r="W65" s="4">
        <f>AE11</f>
        <v>0.2</v>
      </c>
      <c r="Z65" s="4">
        <f>AE13</f>
        <v>0.36</v>
      </c>
      <c r="AA65" s="38"/>
      <c r="AB65" s="42"/>
      <c r="AC65" s="43"/>
    </row>
    <row r="66" spans="1:32" ht="34" x14ac:dyDescent="0.2">
      <c r="B66" s="56"/>
      <c r="C66" s="55"/>
      <c r="F66" s="14" t="s">
        <v>92</v>
      </c>
      <c r="H66" s="4">
        <v>0</v>
      </c>
      <c r="K66" s="4">
        <v>0</v>
      </c>
      <c r="N66" s="4">
        <v>0</v>
      </c>
      <c r="Q66" s="4">
        <f>AE7</f>
        <v>0.01</v>
      </c>
      <c r="T66" s="4">
        <f>AE8</f>
        <v>0.05</v>
      </c>
      <c r="W66" s="4">
        <f>AE9</f>
        <v>0.12</v>
      </c>
      <c r="Z66" s="4">
        <f>AE11</f>
        <v>0.2</v>
      </c>
      <c r="AA66" s="38"/>
      <c r="AB66" s="42"/>
      <c r="AC66" s="43"/>
    </row>
    <row r="67" spans="1:32" ht="34" x14ac:dyDescent="0.2">
      <c r="B67" s="56"/>
      <c r="C67" s="55"/>
      <c r="F67" s="14" t="s">
        <v>93</v>
      </c>
      <c r="H67" s="4">
        <v>0</v>
      </c>
      <c r="K67" s="4">
        <v>0</v>
      </c>
      <c r="N67" s="4">
        <v>0</v>
      </c>
      <c r="Q67" s="4">
        <v>0</v>
      </c>
      <c r="T67" s="4">
        <f>AE7</f>
        <v>0.01</v>
      </c>
      <c r="W67" s="4">
        <f>AE8</f>
        <v>0.05</v>
      </c>
      <c r="Z67" s="4">
        <f>AE9</f>
        <v>0.12</v>
      </c>
      <c r="AA67" s="38"/>
      <c r="AB67" s="42"/>
      <c r="AC67" s="43"/>
    </row>
    <row r="68" spans="1:32" ht="17" x14ac:dyDescent="0.2">
      <c r="A68" s="50" t="s">
        <v>417</v>
      </c>
      <c r="B68" s="38" t="s">
        <v>423</v>
      </c>
      <c r="C68" s="31" t="s">
        <v>162</v>
      </c>
      <c r="F68" s="14" t="s">
        <v>49</v>
      </c>
      <c r="AA68" s="38" t="s">
        <v>421</v>
      </c>
      <c r="AB68" s="42" t="s">
        <v>422</v>
      </c>
      <c r="AC68" s="43" t="s">
        <v>344</v>
      </c>
    </row>
    <row r="69" spans="1:32" x14ac:dyDescent="0.2">
      <c r="F69" s="14"/>
      <c r="AB69" s="42"/>
      <c r="AC69" s="43"/>
    </row>
    <row r="70" spans="1:32" ht="34" x14ac:dyDescent="0.2">
      <c r="A70" s="50" t="s">
        <v>417</v>
      </c>
      <c r="B70" s="56" t="s">
        <v>232</v>
      </c>
      <c r="C70" s="55" t="s">
        <v>174</v>
      </c>
      <c r="F70" s="14" t="s">
        <v>109</v>
      </c>
      <c r="H70" s="4">
        <f>H40*H64</f>
        <v>0</v>
      </c>
      <c r="K70" s="4">
        <f>K40*K64</f>
        <v>0.85</v>
      </c>
      <c r="N70" s="4">
        <f>K70*(1- $G$31)*N40/K40+N40*N64</f>
        <v>5.0986655000000001</v>
      </c>
      <c r="Q70" s="4">
        <f>N70*(1- $G$31)*Q40/N40+Q40*Q64</f>
        <v>15.290660595165001</v>
      </c>
      <c r="T70" s="4">
        <f>Q70*(1- $G$31)*T40/Q40+T40*T64</f>
        <v>32.266654258030592</v>
      </c>
      <c r="W70" s="4">
        <f>T70*(1- $G$31)*W40/T40+W40*W64</f>
        <v>62.815995610845476</v>
      </c>
      <c r="Z70" s="4">
        <f>W70*(1- $G$31)*Z40/W40+Z40*Z64</f>
        <v>113.71737449773646</v>
      </c>
      <c r="AA70" s="38" t="s">
        <v>290</v>
      </c>
      <c r="AB70" s="42" t="s">
        <v>392</v>
      </c>
      <c r="AC70" s="43" t="s">
        <v>343</v>
      </c>
    </row>
    <row r="71" spans="1:32" ht="34" x14ac:dyDescent="0.2">
      <c r="B71" s="56"/>
      <c r="C71" s="55"/>
      <c r="F71" s="14" t="s">
        <v>110</v>
      </c>
      <c r="K71" s="4">
        <f>K41*K65</f>
        <v>0</v>
      </c>
      <c r="N71" s="4">
        <f>K71*(1- $G$31)*N41/K41+N41*N65</f>
        <v>0.8</v>
      </c>
      <c r="Q71" s="4">
        <f>N71*(1- $G$31)*Q41/N41+Q41*Q65</f>
        <v>4.7987440000000001</v>
      </c>
      <c r="T71" s="4">
        <f>Q71*(1- $G$31)*T41/Q41+T41*T65</f>
        <v>14.39120997192</v>
      </c>
      <c r="W71" s="4">
        <f>T71*(1- $G$31)*W41/T41+W41*W65</f>
        <v>30.368615772264086</v>
      </c>
      <c r="Z71" s="4">
        <f>W71*(1- $G$31)*Z41/W41+Z41*Z65</f>
        <v>59.120937045501627</v>
      </c>
      <c r="AA71" s="38"/>
      <c r="AB71" s="42"/>
      <c r="AC71" s="43"/>
    </row>
    <row r="72" spans="1:32" ht="34" x14ac:dyDescent="0.2">
      <c r="B72" s="56"/>
      <c r="C72" s="55"/>
      <c r="E72" s="51"/>
      <c r="F72" s="14" t="s">
        <v>111</v>
      </c>
      <c r="N72" s="4">
        <f>K72*(1- $G$31)+N42*N66</f>
        <v>0</v>
      </c>
      <c r="Q72" s="4">
        <f>N72*(1- $G$31)*Q42/N42+Q42*Q66</f>
        <v>0.92</v>
      </c>
      <c r="T72" s="4">
        <f>Q72*(1- $G$31)*T42/Q42+T42*T66</f>
        <v>5.5185556000000009</v>
      </c>
      <c r="W72" s="4">
        <f>T72*(1- $G$31)*W42/T42+W42*W66</f>
        <v>16.549891467708001</v>
      </c>
      <c r="Z72" s="4">
        <f>W72*(1- $G$31)*Z42/W42+Z42*Z66</f>
        <v>34.923908138103698</v>
      </c>
      <c r="AA72" s="38"/>
      <c r="AB72" s="42"/>
      <c r="AC72" s="43"/>
    </row>
    <row r="73" spans="1:32" ht="34" x14ac:dyDescent="0.2">
      <c r="B73" s="56"/>
      <c r="C73" s="55"/>
      <c r="E73" s="51"/>
      <c r="F73" s="14" t="s">
        <v>112</v>
      </c>
      <c r="N73" s="4">
        <f>K73*(1- $G$31)+N43*N67</f>
        <v>0</v>
      </c>
      <c r="Q73" s="4">
        <f>N73*(1- $G$31)+Q43*Q67</f>
        <v>0</v>
      </c>
      <c r="T73" s="4">
        <f>Q73*(1- $G$31)*T43/Q43+T43*T67</f>
        <v>0.43</v>
      </c>
      <c r="W73" s="4">
        <f>T73*(1- $G$31)*W43/T43+W43*W67</f>
        <v>2.5793249</v>
      </c>
      <c r="Z73" s="4">
        <f>W73*(1- $G$31)*Z43/W43+Z43*Z67</f>
        <v>7.7352753599069999</v>
      </c>
      <c r="AA73" s="38"/>
      <c r="AB73" s="42"/>
      <c r="AC73" s="43"/>
    </row>
    <row r="74" spans="1:32" x14ac:dyDescent="0.2">
      <c r="E74" s="51"/>
      <c r="F74" s="14"/>
      <c r="AB74" s="42"/>
      <c r="AC74" s="43"/>
    </row>
    <row r="75" spans="1:32" ht="34" x14ac:dyDescent="0.2">
      <c r="A75" s="50" t="s">
        <v>417</v>
      </c>
      <c r="B75" s="56" t="s">
        <v>230</v>
      </c>
      <c r="C75" s="55" t="s">
        <v>174</v>
      </c>
      <c r="F75" s="14" t="s">
        <v>127</v>
      </c>
      <c r="H75" s="4">
        <v>0</v>
      </c>
      <c r="K75" s="4">
        <f>INT(J$4-$AG$6 &gt; $E83)*MAX(H99-$H$23*H40-K45,0)</f>
        <v>0</v>
      </c>
      <c r="N75" s="4">
        <f>INT(M$4-$AG$6 &gt; $E83)*MAX(K99-$H$23*K40-N45,0)</f>
        <v>0</v>
      </c>
      <c r="Q75" s="4">
        <f>INT(P$4-$AG$6 &gt; $E83)*MAX(N99-$H$23*N40-Q45,0)</f>
        <v>0</v>
      </c>
      <c r="T75" s="4">
        <f>INT(S$4-$AG$6 &gt; $E83)*MAX(Q99-$H$23*Q40-T45,0)</f>
        <v>0</v>
      </c>
      <c r="W75" s="4">
        <f>INT(V$4-$AG$6 &gt; $E83)*MAX(T99-$H$23*T40-W45,0)</f>
        <v>0</v>
      </c>
      <c r="Z75" s="4">
        <f>INT(Y$4-$AG$6 &gt; $E83)*MAX(W99-$H$23*W40-Z45,0)</f>
        <v>0</v>
      </c>
      <c r="AA75" s="38" t="s">
        <v>355</v>
      </c>
      <c r="AB75" s="42" t="s">
        <v>393</v>
      </c>
      <c r="AC75" s="43" t="s">
        <v>343</v>
      </c>
    </row>
    <row r="76" spans="1:32" ht="34" x14ac:dyDescent="0.2">
      <c r="B76" s="56"/>
      <c r="C76" s="55"/>
      <c r="F76" s="14" t="s">
        <v>128</v>
      </c>
      <c r="H76" s="4">
        <v>0</v>
      </c>
      <c r="K76" s="4">
        <f>INT(J$4-$AG$6 &gt; $E84)*MAX(H100-$H$23*H41-K46,0)</f>
        <v>0</v>
      </c>
      <c r="N76" s="4">
        <f>INT(M$4-$AG$6 &gt; $E84)*MAX(K100-$H$23*K41-N46,0)</f>
        <v>0</v>
      </c>
      <c r="Q76" s="4">
        <f>INT(P$4-$AG$6 &gt; $E84)*MAX(N100-$H$23*N41-Q46,0)</f>
        <v>0</v>
      </c>
      <c r="T76" s="4">
        <f>INT(S$4-$AG$6 &gt; $E84)*MAX(Q100-$H$23*Q41-T46,0)</f>
        <v>0</v>
      </c>
      <c r="W76" s="4">
        <f>INT(V$4-$AG$6 &gt; $E84)*MAX(T100-$H$23*T41-W46,0)</f>
        <v>0</v>
      </c>
      <c r="Z76" s="4">
        <f>INT(Y$4-$AG$6 &gt; $E84)*MAX(W100-$H$23*W41-Z46,0)</f>
        <v>0</v>
      </c>
      <c r="AA76" s="38"/>
      <c r="AB76" s="42"/>
      <c r="AC76" s="43"/>
    </row>
    <row r="77" spans="1:32" ht="34" x14ac:dyDescent="0.2">
      <c r="B77" s="56"/>
      <c r="C77" s="55"/>
      <c r="E77" s="51" t="s">
        <v>152</v>
      </c>
      <c r="F77" s="14" t="s">
        <v>129</v>
      </c>
      <c r="H77" s="4">
        <v>0</v>
      </c>
      <c r="K77" s="4">
        <f>INT(J$4-$AG$6 &gt; $E85)*MAX(H101-$H$23*H42-K47,0)</f>
        <v>0</v>
      </c>
      <c r="N77" s="4">
        <f>INT(M$4-$AG$6 &gt; $E85)*MAX(K101-$H$23*K42-N47,0)</f>
        <v>0</v>
      </c>
      <c r="Q77" s="4">
        <f>INT(P$4-$AG$6 &gt; $E85)*MAX(N101-$H$23*N42-Q47,0)</f>
        <v>0</v>
      </c>
      <c r="T77" s="4">
        <f>INT(S$4-$AG$6 &gt; $E85)*MAX(Q101-$H$23*Q42-T47,0)</f>
        <v>0</v>
      </c>
      <c r="W77" s="4">
        <f>INT(V$4-$AG$6 &gt; $E85)*MAX(T101-$H$23*T42-W47,0)</f>
        <v>0</v>
      </c>
      <c r="Z77" s="4">
        <f>INT(Y$4-$AG$6 &gt; $E85)*MAX(W101-$H$23*W42-Z47,0)</f>
        <v>0</v>
      </c>
      <c r="AA77" s="38"/>
      <c r="AB77" s="42"/>
      <c r="AC77" s="43"/>
    </row>
    <row r="78" spans="1:32" ht="34" x14ac:dyDescent="0.2">
      <c r="B78" s="56"/>
      <c r="C78" s="55"/>
      <c r="E78" s="51"/>
      <c r="F78" s="14" t="s">
        <v>130</v>
      </c>
      <c r="H78" s="4">
        <v>0</v>
      </c>
      <c r="K78" s="4">
        <f>INT(J$4-$AG$6 &gt; $E86)*MAX(H102-$H$23*H43-K48,0)</f>
        <v>0</v>
      </c>
      <c r="N78" s="4">
        <f>INT(M$4-$AG$6 &gt; $E86)*MAX(K102-$H$23*K43-N48,0)</f>
        <v>0</v>
      </c>
      <c r="Q78" s="4">
        <f>INT(P$4-$AG$6 &gt; $E86)*MAX(N102-$H$23*N43-Q48,0)</f>
        <v>0</v>
      </c>
      <c r="T78" s="4">
        <f>INT(S$4-$AG$6 &gt; $E86)*MAX(Q102-$H$23*Q43-T48,0)</f>
        <v>0</v>
      </c>
      <c r="W78" s="4">
        <f>INT(V$4-$AG$6 &gt; $E86)*MAX(T102-$H$23*T43-W48,0)</f>
        <v>0</v>
      </c>
      <c r="Z78" s="4">
        <f>INT(Y$4-$AG$6 &gt; $E86)*MAX(W102-$H$23*W43-Z48,0)</f>
        <v>0</v>
      </c>
      <c r="AA78" s="38"/>
      <c r="AB78" s="42"/>
      <c r="AC78" s="43"/>
    </row>
    <row r="79" spans="1:32" ht="34" x14ac:dyDescent="0.2">
      <c r="A79" s="50" t="s">
        <v>417</v>
      </c>
      <c r="B79" s="38" t="s">
        <v>231</v>
      </c>
      <c r="C79" s="28" t="s">
        <v>174</v>
      </c>
      <c r="E79" s="51"/>
      <c r="F79" s="14" t="s">
        <v>147</v>
      </c>
      <c r="H79" s="4">
        <v>0</v>
      </c>
      <c r="K79" s="4">
        <f>SUM(K75:K78)</f>
        <v>0</v>
      </c>
      <c r="N79" s="4">
        <f>SUM(N75:N78)</f>
        <v>0</v>
      </c>
      <c r="Q79" s="4">
        <f>SUM(Q75:Q78)</f>
        <v>0</v>
      </c>
      <c r="T79" s="4">
        <f>SUM(T75:T78)</f>
        <v>0</v>
      </c>
      <c r="W79" s="4">
        <f>SUM(W75:W78)</f>
        <v>0</v>
      </c>
      <c r="Z79" s="4">
        <f>SUM(Z75:Z78)</f>
        <v>0</v>
      </c>
      <c r="AA79" s="45" t="s">
        <v>431</v>
      </c>
      <c r="AB79" s="42" t="s">
        <v>404</v>
      </c>
      <c r="AC79" s="43" t="s">
        <v>344</v>
      </c>
      <c r="AF79" t="s">
        <v>106</v>
      </c>
    </row>
    <row r="80" spans="1:32" x14ac:dyDescent="0.2">
      <c r="E80" s="51"/>
      <c r="F80" s="14"/>
      <c r="AB80" s="42"/>
      <c r="AC80" s="43"/>
      <c r="AD80" t="s">
        <v>85</v>
      </c>
      <c r="AF80" t="s">
        <v>107</v>
      </c>
    </row>
    <row r="81" spans="1:30" ht="17" customHeight="1" x14ac:dyDescent="0.2">
      <c r="A81" s="50" t="s">
        <v>417</v>
      </c>
      <c r="B81" s="37" t="s">
        <v>430</v>
      </c>
      <c r="C81" s="55" t="s">
        <v>174</v>
      </c>
      <c r="F81" s="14" t="s">
        <v>88</v>
      </c>
      <c r="G81" s="4">
        <v>0</v>
      </c>
      <c r="J81" s="4">
        <v>0</v>
      </c>
      <c r="M81" s="4">
        <v>0</v>
      </c>
      <c r="P81" s="4">
        <v>0</v>
      </c>
      <c r="S81" s="4">
        <v>0</v>
      </c>
      <c r="V81" s="4">
        <v>0</v>
      </c>
      <c r="Y81" s="4">
        <v>0</v>
      </c>
      <c r="AA81" s="38" t="s">
        <v>306</v>
      </c>
      <c r="AB81" s="42" t="s">
        <v>394</v>
      </c>
      <c r="AC81" s="43" t="s">
        <v>343</v>
      </c>
      <c r="AD81" t="s">
        <v>86</v>
      </c>
    </row>
    <row r="82" spans="1:30" ht="34" x14ac:dyDescent="0.2">
      <c r="A82" s="50" t="s">
        <v>417</v>
      </c>
      <c r="B82" s="37" t="s">
        <v>429</v>
      </c>
      <c r="C82" s="55"/>
      <c r="F82" s="14" t="s">
        <v>148</v>
      </c>
      <c r="G82" s="4">
        <f>SUM(H$75:H75)</f>
        <v>0</v>
      </c>
      <c r="H82" s="4">
        <f>IF(G82&gt;=G$136, IF(G81&lt;G$136, G$136-G81, 0),H75)</f>
        <v>0</v>
      </c>
      <c r="J82" s="4">
        <f>SUM(K$75:K75)</f>
        <v>0</v>
      </c>
      <c r="K82" s="4">
        <f>IF(J82&gt;=J$136, IF(J81&lt;J$136, J$136-J81, 0),K75)</f>
        <v>0</v>
      </c>
      <c r="M82" s="4">
        <f>SUM(N$75:N75)</f>
        <v>0</v>
      </c>
      <c r="N82" s="4">
        <f>IF(M82&gt;=M$136, IF(M81&lt;M$136, M$136-M81, 0),N75)</f>
        <v>0</v>
      </c>
      <c r="P82" s="4">
        <f>SUM(Q$75:Q75)</f>
        <v>0</v>
      </c>
      <c r="Q82" s="4">
        <f>IF(P82&gt;=P$136, IF(P81&lt;P$136, P$136-P81, 0),Q75)</f>
        <v>0</v>
      </c>
      <c r="S82" s="4">
        <f>SUM(T$75:T75)</f>
        <v>0</v>
      </c>
      <c r="T82" s="4">
        <f>IF(S82&gt;=S$136, IF(S81&lt;S$136, S$136-S81, 0),T75)</f>
        <v>0</v>
      </c>
      <c r="V82" s="4">
        <f>SUM(W$75:W75)</f>
        <v>0</v>
      </c>
      <c r="W82" s="4">
        <f>IF(V82&gt;=V$136, IF(V81&lt;V$136, V$136-V81, 0),W75)</f>
        <v>0</v>
      </c>
      <c r="Y82" s="4">
        <f>SUM(Z$75:Z75)</f>
        <v>0</v>
      </c>
      <c r="Z82" s="4">
        <f>IF(Y82&gt;=Y$136, IF(Y81&lt;Y$136, Y$136-Y81, 0),Z75)</f>
        <v>0</v>
      </c>
      <c r="AA82" s="38" t="s">
        <v>436</v>
      </c>
      <c r="AB82" s="42" t="s">
        <v>395</v>
      </c>
      <c r="AC82" s="43" t="s">
        <v>343</v>
      </c>
    </row>
    <row r="83" spans="1:30" ht="34" x14ac:dyDescent="0.2">
      <c r="B83" s="41"/>
      <c r="C83" s="55"/>
      <c r="E83" s="22">
        <v>0</v>
      </c>
      <c r="F83" s="14" t="s">
        <v>149</v>
      </c>
      <c r="G83" s="4">
        <f>SUM(H$75:H76)</f>
        <v>0</v>
      </c>
      <c r="H83" s="4">
        <f>IF(G83&gt;=G$136, IF(G82&lt;G$136, G$136-G82, 0),H76)</f>
        <v>0</v>
      </c>
      <c r="J83" s="4">
        <f>SUM(K$75:K76)</f>
        <v>0</v>
      </c>
      <c r="K83" s="4">
        <f>IF(J83&gt;=J$136, IF(J82&lt;J$136, J$136-J82, 0),K76)</f>
        <v>0</v>
      </c>
      <c r="M83" s="4">
        <f>SUM(N$75:N76)</f>
        <v>0</v>
      </c>
      <c r="N83" s="4">
        <f>IF(M83&gt;=M$136, IF(M82&lt;M$136, M$136-M82, 0),N76)</f>
        <v>0</v>
      </c>
      <c r="P83" s="4">
        <f>SUM(Q$75:Q76)</f>
        <v>0</v>
      </c>
      <c r="Q83" s="4">
        <f>IF(P83&gt;=P$136, IF(P82&lt;P$136, P$136-P82, 0),Q76)</f>
        <v>0</v>
      </c>
      <c r="S83" s="4">
        <f>SUM(T$75:T76)</f>
        <v>0</v>
      </c>
      <c r="T83" s="4">
        <f>IF(S83&gt;=S$136, IF(S82&lt;S$136, S$136-S82, 0),T76)</f>
        <v>0</v>
      </c>
      <c r="V83" s="4">
        <f>SUM(W$75:W76)</f>
        <v>0</v>
      </c>
      <c r="W83" s="4">
        <f>IF(V83&gt;=V$136, IF(V82&lt;V$136, V$136-V82, 0),W76)</f>
        <v>0</v>
      </c>
      <c r="Y83" s="4">
        <f>SUM(Z$75:Z76)</f>
        <v>0</v>
      </c>
      <c r="Z83" s="4">
        <f>IF(Y83&gt;=Y$136, IF(Y82&lt;Y$136, Y$136-Y82, 0),Z76)</f>
        <v>0</v>
      </c>
      <c r="AA83" s="37"/>
      <c r="AB83" s="42"/>
      <c r="AC83" s="43"/>
    </row>
    <row r="84" spans="1:30" ht="34" x14ac:dyDescent="0.2">
      <c r="B84" s="41"/>
      <c r="C84" s="55"/>
      <c r="E84" s="22">
        <v>1</v>
      </c>
      <c r="F84" s="14" t="s">
        <v>150</v>
      </c>
      <c r="G84" s="4">
        <f>SUM(H$75:H77)</f>
        <v>0</v>
      </c>
      <c r="H84" s="4">
        <f>IF(G84&gt;=G$136, IF(G83&lt;G$136, G$136-G83, 0),H77)</f>
        <v>0</v>
      </c>
      <c r="J84" s="4">
        <f>SUM(K$75:K77)</f>
        <v>0</v>
      </c>
      <c r="K84" s="4">
        <f>IF(J84&gt;=J$136, IF(J83&lt;J$136, J$136-J83, 0),K77)</f>
        <v>0</v>
      </c>
      <c r="M84" s="4">
        <f>SUM(N$75:N77)</f>
        <v>0</v>
      </c>
      <c r="N84" s="4">
        <f>IF(M84&gt;=M$136, IF(M83&lt;M$136, M$136-M83, 0),N77)</f>
        <v>0</v>
      </c>
      <c r="P84" s="4">
        <f>SUM(Q$75:Q77)</f>
        <v>0</v>
      </c>
      <c r="Q84" s="4">
        <f>IF(P84&gt;=P$136, IF(P83&lt;P$136, P$136-P83, 0),Q77)</f>
        <v>0</v>
      </c>
      <c r="S84" s="4">
        <f>SUM(T$75:T77)</f>
        <v>0</v>
      </c>
      <c r="T84" s="4">
        <f>IF(S84&gt;=S$136, IF(S83&lt;S$136, S$136-S83, 0),T77)</f>
        <v>0</v>
      </c>
      <c r="V84" s="4">
        <f>SUM(W$75:W77)</f>
        <v>0</v>
      </c>
      <c r="W84" s="4">
        <f>IF(V84&gt;=V$136, IF(V83&lt;V$136, V$136-V83, 0),W77)</f>
        <v>0</v>
      </c>
      <c r="Y84" s="4">
        <f>SUM(Z$75:Z77)</f>
        <v>0</v>
      </c>
      <c r="Z84" s="4">
        <f>IF(Y84&gt;=Y$136, IF(Y83&lt;Y$136, Y$136-Y83, 0),Z77)</f>
        <v>0</v>
      </c>
      <c r="AA84" s="37"/>
      <c r="AB84" s="42"/>
      <c r="AC84" s="43"/>
    </row>
    <row r="85" spans="1:30" ht="34" x14ac:dyDescent="0.2">
      <c r="B85" s="41"/>
      <c r="C85" s="55"/>
      <c r="E85" s="22">
        <v>2</v>
      </c>
      <c r="F85" s="14" t="s">
        <v>151</v>
      </c>
      <c r="G85" s="4">
        <f>SUM(H$75:H78)</f>
        <v>0</v>
      </c>
      <c r="H85" s="4">
        <f>IF(G85&gt;=G$136, IF(G84&lt;G$136, G$136-G84, 0),H78)</f>
        <v>0</v>
      </c>
      <c r="J85" s="4">
        <f>SUM(K$75:K78)</f>
        <v>0</v>
      </c>
      <c r="K85" s="4">
        <f>IF(J85&gt;=J$136, IF(J84&lt;J$136, J$136-J84, 0),K78)</f>
        <v>0</v>
      </c>
      <c r="M85" s="4">
        <f>SUM(N$75:N78)</f>
        <v>0</v>
      </c>
      <c r="N85" s="4">
        <f>IF(M85&gt;=M$136, IF(M84&lt;M$136, M$136-M84, 0),N78)</f>
        <v>0</v>
      </c>
      <c r="P85" s="4">
        <f>SUM(Q$75:Q78)</f>
        <v>0</v>
      </c>
      <c r="Q85" s="4">
        <f>IF(P85&gt;=P$136, IF(P84&lt;P$136, P$136-P84, 0),Q78)</f>
        <v>0</v>
      </c>
      <c r="S85" s="4">
        <f>SUM(T$75:T78)</f>
        <v>0</v>
      </c>
      <c r="T85" s="4">
        <f>IF(S85&gt;=S$136, IF(S84&lt;S$136, S$136-S84, 0),T78)</f>
        <v>0</v>
      </c>
      <c r="V85" s="4">
        <f>SUM(W$75:W78)</f>
        <v>0</v>
      </c>
      <c r="W85" s="4">
        <f>IF(V85&gt;=V$136, IF(V84&lt;V$136, V$136-V84, 0),W78)</f>
        <v>0</v>
      </c>
      <c r="Y85" s="4">
        <f>SUM(Z$75:Z78)</f>
        <v>0</v>
      </c>
      <c r="Z85" s="4">
        <f>IF(Y85&gt;=Y$136, IF(Y84&lt;Y$136, Y$136-Y84, 0),Z78)</f>
        <v>0</v>
      </c>
      <c r="AA85" s="37"/>
      <c r="AB85" s="42"/>
      <c r="AC85" s="43"/>
    </row>
    <row r="86" spans="1:30" x14ac:dyDescent="0.2">
      <c r="E86" s="22">
        <v>3</v>
      </c>
      <c r="F86" s="14"/>
      <c r="AB86" s="42"/>
      <c r="AC86" s="43"/>
    </row>
    <row r="87" spans="1:30" x14ac:dyDescent="0.2">
      <c r="F87" s="14"/>
      <c r="J87" s="4" t="s">
        <v>136</v>
      </c>
      <c r="M87" s="4" t="s">
        <v>136</v>
      </c>
      <c r="P87" s="4" t="s">
        <v>136</v>
      </c>
      <c r="S87" s="4" t="s">
        <v>136</v>
      </c>
      <c r="V87" s="4" t="s">
        <v>136</v>
      </c>
      <c r="Y87" s="4" t="s">
        <v>136</v>
      </c>
      <c r="AB87" s="42"/>
      <c r="AC87" s="43"/>
    </row>
    <row r="88" spans="1:30" ht="34" x14ac:dyDescent="0.2">
      <c r="A88" s="50" t="s">
        <v>417</v>
      </c>
      <c r="B88" s="37" t="s">
        <v>428</v>
      </c>
      <c r="C88" s="55" t="s">
        <v>174</v>
      </c>
      <c r="F88" s="14" t="s">
        <v>131</v>
      </c>
      <c r="H88" s="4">
        <f>H64</f>
        <v>0</v>
      </c>
      <c r="J88" s="4">
        <f>IF(H99=0,1,MIN(MAX((H99/H70-$G$18)/($G$20-$G$18), 0), 1))</f>
        <v>1</v>
      </c>
      <c r="K88" s="4">
        <f>K64*J88</f>
        <v>0.01</v>
      </c>
      <c r="M88" s="4">
        <f>IF(K99=0,1,MIN(MAX((K99/K70-$G$18)/($G$20-$G$18), 0), 1))</f>
        <v>1</v>
      </c>
      <c r="N88" s="4">
        <f>N64*M88</f>
        <v>0.05</v>
      </c>
      <c r="P88" s="4">
        <f>IF(N99=0,1,MIN(MAX((N99/N70-$G$18)/($G$20-$G$18), 0), 1))</f>
        <v>1</v>
      </c>
      <c r="Q88" s="4">
        <f>Q64*P88</f>
        <v>0.12</v>
      </c>
      <c r="S88" s="4">
        <f>IF(Q99=0,1,MIN(MAX((Q99/Q70-$G$18)/($G$20-$G$18), 0), 1))</f>
        <v>1</v>
      </c>
      <c r="T88" s="4">
        <f>T64*S88</f>
        <v>0.2</v>
      </c>
      <c r="V88" s="4">
        <f>IF(T99=0,1,MIN(MAX((T99/T70-$G$18)/($G$20-$G$18), 0), 1))</f>
        <v>1</v>
      </c>
      <c r="W88" s="4">
        <f>W64*V88</f>
        <v>0.36</v>
      </c>
      <c r="Y88" s="4">
        <f>IF(W99=0,1,MIN(MAX((W99/W70-$G$18)/($G$20-$G$18), 0), 1))</f>
        <v>1</v>
      </c>
      <c r="Z88" s="4">
        <f>Z64*Y88</f>
        <v>0.6</v>
      </c>
      <c r="AA88" s="37" t="s">
        <v>310</v>
      </c>
      <c r="AB88" s="42" t="s">
        <v>396</v>
      </c>
      <c r="AC88" s="43" t="s">
        <v>343</v>
      </c>
    </row>
    <row r="89" spans="1:30" ht="34" x14ac:dyDescent="0.2">
      <c r="A89" s="50" t="s">
        <v>417</v>
      </c>
      <c r="B89" s="37" t="s">
        <v>427</v>
      </c>
      <c r="C89" s="55"/>
      <c r="F89" s="14" t="s">
        <v>132</v>
      </c>
      <c r="H89" s="4">
        <f>H65</f>
        <v>0</v>
      </c>
      <c r="J89" s="4">
        <f>IF(H100=0,1,MIN(MAX((H100/H71-$G$18)/($G$20-$G$18), 0), 1))</f>
        <v>1</v>
      </c>
      <c r="K89" s="4">
        <f>K65</f>
        <v>0</v>
      </c>
      <c r="M89" s="4">
        <f>IF(K100=0,1,MIN(MAX((K100/K71-$G$18)/($G$20-$G$18), 0), 1))</f>
        <v>1</v>
      </c>
      <c r="N89" s="4">
        <f>N65</f>
        <v>0.01</v>
      </c>
      <c r="P89" s="4">
        <f>IF(N100=0,1,MIN(MAX((N100/N71-$G$18)/($G$20-$G$18), 0), 1))</f>
        <v>1</v>
      </c>
      <c r="Q89" s="4">
        <f>Q65</f>
        <v>0.05</v>
      </c>
      <c r="S89" s="4">
        <f>IF(Q100=0,1,MIN(MAX((Q100/Q71-$G$18)/($G$20-$G$18), 0), 1))</f>
        <v>1</v>
      </c>
      <c r="T89" s="4">
        <f>T65</f>
        <v>0.12</v>
      </c>
      <c r="V89" s="4">
        <f>IF(T100=0,1,MIN(MAX((T100/T71-$G$18)/($G$20-$G$18), 0), 1))</f>
        <v>1</v>
      </c>
      <c r="W89" s="4">
        <f>W65</f>
        <v>0.2</v>
      </c>
      <c r="Y89" s="4">
        <f>IF(W100=0,1,MIN(MAX((W100/W71-$G$18)/($G$20-$G$18), 0), 1))</f>
        <v>1</v>
      </c>
      <c r="Z89" s="4">
        <f>Z65</f>
        <v>0.36</v>
      </c>
      <c r="AA89" s="37" t="s">
        <v>307</v>
      </c>
      <c r="AB89" s="42" t="s">
        <v>426</v>
      </c>
      <c r="AC89" s="43" t="s">
        <v>353</v>
      </c>
    </row>
    <row r="90" spans="1:30" ht="34" x14ac:dyDescent="0.2">
      <c r="B90" s="37"/>
      <c r="C90" s="55"/>
      <c r="F90" s="14" t="s">
        <v>133</v>
      </c>
      <c r="H90" s="4">
        <f>H66</f>
        <v>0</v>
      </c>
      <c r="J90" s="4">
        <f>IF(H101=0,1,MIN(MAX((H101/H72-$G$18)/($G$20-$G$18), 0), 1))</f>
        <v>1</v>
      </c>
      <c r="K90" s="4">
        <f>K66</f>
        <v>0</v>
      </c>
      <c r="M90" s="4">
        <f>IF(K101=0,1,MIN(MAX((K101/K72-$G$18)/($G$20-$G$18), 0), 1))</f>
        <v>1</v>
      </c>
      <c r="N90" s="4">
        <f>N66</f>
        <v>0</v>
      </c>
      <c r="P90" s="4">
        <f>IF(N101=0,1,MIN(MAX((N101/N72-$G$18)/($G$20-$G$18), 0), 1))</f>
        <v>1</v>
      </c>
      <c r="Q90" s="4">
        <f>Q66</f>
        <v>0.01</v>
      </c>
      <c r="S90" s="4">
        <f>IF(Q101=0,1,MIN(MAX((Q101/Q72-$G$18)/($G$20-$G$18), 0), 1))</f>
        <v>1</v>
      </c>
      <c r="T90" s="4">
        <f>T66</f>
        <v>0.05</v>
      </c>
      <c r="V90" s="4">
        <f>IF(T101=0,1,MIN(MAX((T101/T72-$G$18)/($G$20-$G$18), 0), 1))</f>
        <v>1</v>
      </c>
      <c r="W90" s="4">
        <f>W66</f>
        <v>0.12</v>
      </c>
      <c r="Y90" s="4">
        <f>IF(W101=0,1,MIN(MAX((W101/W72-$G$18)/($G$20-$G$18), 0), 1))</f>
        <v>1</v>
      </c>
      <c r="Z90" s="4">
        <f>Z66</f>
        <v>0.2</v>
      </c>
      <c r="AA90" s="37"/>
      <c r="AB90" s="42"/>
      <c r="AC90" s="43"/>
    </row>
    <row r="91" spans="1:30" ht="34" x14ac:dyDescent="0.2">
      <c r="B91" s="41"/>
      <c r="C91" s="55"/>
      <c r="F91" s="14" t="s">
        <v>134</v>
      </c>
      <c r="H91" s="4">
        <f>H67</f>
        <v>0</v>
      </c>
      <c r="J91" s="4">
        <f>IF(H102=0,1,MIN(MAX((H102/H73-$G$18)/($G$20-$G$18), 0), 1))</f>
        <v>1</v>
      </c>
      <c r="K91" s="4">
        <f>K67</f>
        <v>0</v>
      </c>
      <c r="M91" s="4">
        <f>IF(K102=0,1,MIN(MAX((K102/K73-$G$18)/($G$20-$G$18), 0), 1))</f>
        <v>1</v>
      </c>
      <c r="N91" s="4">
        <f>N67</f>
        <v>0</v>
      </c>
      <c r="P91" s="4">
        <f>IF(N102=0,1,MIN(MAX((N102/N73-$G$18)/($G$20-$G$18), 0), 1))</f>
        <v>1</v>
      </c>
      <c r="Q91" s="4">
        <f>Q67</f>
        <v>0</v>
      </c>
      <c r="S91" s="4">
        <f>IF(Q102=0,1,MIN(MAX((Q102/Q73-$G$18)/($G$20-$G$18), 0), 1))</f>
        <v>1</v>
      </c>
      <c r="T91" s="4">
        <f>T67</f>
        <v>0.01</v>
      </c>
      <c r="V91" s="4">
        <f>IF(T102=0,1,MIN(MAX((T102/T73-$G$18)/($G$20-$G$18), 0), 1))</f>
        <v>1</v>
      </c>
      <c r="W91" s="4">
        <f>W67</f>
        <v>0.05</v>
      </c>
      <c r="Y91" s="4">
        <f>IF(W102=0,1,MIN(MAX((W102/W73-$G$18)/($G$20-$G$18), 0), 1))</f>
        <v>1</v>
      </c>
      <c r="Z91" s="4">
        <f>Z67</f>
        <v>0.12</v>
      </c>
      <c r="AA91" s="37"/>
      <c r="AB91" s="42"/>
      <c r="AC91" s="43"/>
    </row>
    <row r="92" spans="1:30" x14ac:dyDescent="0.2">
      <c r="F92" s="14"/>
      <c r="AB92" s="42"/>
      <c r="AC92" s="43"/>
    </row>
    <row r="93" spans="1:30" ht="51" x14ac:dyDescent="0.2">
      <c r="A93" s="50" t="s">
        <v>417</v>
      </c>
      <c r="B93" s="57" t="s">
        <v>202</v>
      </c>
      <c r="C93" s="55" t="s">
        <v>174</v>
      </c>
      <c r="F93" s="14" t="s">
        <v>203</v>
      </c>
      <c r="H93" s="4">
        <f>H59*H34</f>
        <v>0</v>
      </c>
      <c r="K93" s="4">
        <f>(H99-K82-K45)*$G$31</f>
        <v>0</v>
      </c>
      <c r="N93" s="4">
        <f>(K99-N82-N45)*$G$31</f>
        <v>1.3345E-3</v>
      </c>
      <c r="Q93" s="4">
        <f>(N99-Q82-Q45)*$G$31</f>
        <v>8.0049048349999999E-3</v>
      </c>
      <c r="T93" s="4">
        <f>(Q99-T82-T45)*$G$31</f>
        <v>2.4006337134409049E-2</v>
      </c>
      <c r="W93" s="4">
        <f>(T99-W82-W45)*$G$31</f>
        <v>5.0658647185108027E-2</v>
      </c>
      <c r="Z93" s="4">
        <f>(W99-Z82-Z45)*$G$31</f>
        <v>9.8621113109027395E-2</v>
      </c>
      <c r="AA93" s="37" t="s">
        <v>451</v>
      </c>
      <c r="AB93" s="42" t="s">
        <v>397</v>
      </c>
      <c r="AC93" s="43" t="s">
        <v>312</v>
      </c>
    </row>
    <row r="94" spans="1:30" ht="51" x14ac:dyDescent="0.2">
      <c r="B94" s="57"/>
      <c r="C94" s="55"/>
      <c r="F94" s="14" t="s">
        <v>204</v>
      </c>
      <c r="H94" s="4">
        <f>H60*H36</f>
        <v>0</v>
      </c>
      <c r="K94" s="4">
        <f>(H100-K83-K46)*$G$31</f>
        <v>0</v>
      </c>
      <c r="N94" s="4">
        <f>(K100-N83-N46)*$G$31</f>
        <v>0</v>
      </c>
      <c r="Q94" s="4">
        <f>(N100-Q83-Q46)*$G$31</f>
        <v>1.2560000000000002E-3</v>
      </c>
      <c r="T94" s="4">
        <f>(Q100-T83-T46)*$G$31</f>
        <v>7.5340280800000005E-3</v>
      </c>
      <c r="W94" s="4">
        <f>(T100-W83-W46)*$G$31</f>
        <v>2.2594199655914398E-2</v>
      </c>
      <c r="Z94" s="4">
        <f>(W100-Z83-Z46)*$G$31</f>
        <v>4.7678726762454618E-2</v>
      </c>
      <c r="AA94" s="37"/>
      <c r="AB94" s="42"/>
      <c r="AC94" s="43"/>
    </row>
    <row r="95" spans="1:30" ht="51" x14ac:dyDescent="0.2">
      <c r="B95" s="57"/>
      <c r="C95" s="55"/>
      <c r="F95" s="14" t="s">
        <v>205</v>
      </c>
      <c r="H95" s="4">
        <f>H61*H37</f>
        <v>0</v>
      </c>
      <c r="K95" s="4">
        <f>(H101-K84-K47)*$G$31</f>
        <v>0</v>
      </c>
      <c r="N95" s="4">
        <f>(K101-N84-N47)*$G$31</f>
        <v>0</v>
      </c>
      <c r="Q95" s="4">
        <f>(N101-Q84-Q47)*$G$31</f>
        <v>0</v>
      </c>
      <c r="T95" s="4">
        <f>(Q101-T84-T47)*$G$31</f>
        <v>1.4444E-3</v>
      </c>
      <c r="W95" s="4">
        <f>(T101-W84-W47)*$G$31</f>
        <v>8.664132292000002E-3</v>
      </c>
      <c r="Z95" s="4">
        <f>(W101-Z84-Z47)*$G$31</f>
        <v>2.5983329604301563E-2</v>
      </c>
      <c r="AA95" s="37"/>
      <c r="AB95" s="42"/>
      <c r="AC95" s="43"/>
    </row>
    <row r="96" spans="1:30" ht="51" x14ac:dyDescent="0.2">
      <c r="B96" s="57"/>
      <c r="C96" s="55"/>
      <c r="F96" s="14" t="s">
        <v>206</v>
      </c>
      <c r="H96" s="4">
        <f>H62*H38</f>
        <v>0</v>
      </c>
      <c r="K96" s="4">
        <f>(H102-K85-K48)*$G$31</f>
        <v>0</v>
      </c>
      <c r="N96" s="4">
        <f>(K102-N85-N48)*$G$31</f>
        <v>0</v>
      </c>
      <c r="Q96" s="4">
        <f>(N102-Q85-Q48)*$G$31</f>
        <v>0</v>
      </c>
      <c r="T96" s="4">
        <f>(Q102-T85-T48)*$G$31</f>
        <v>0</v>
      </c>
      <c r="W96" s="4">
        <f>(T102-W85-W48)*$G$31</f>
        <v>6.7509999999999998E-4</v>
      </c>
      <c r="Z96" s="4">
        <f>(W102-Z85-Z48)*$G$31</f>
        <v>4.049540093E-3</v>
      </c>
      <c r="AA96" s="37"/>
      <c r="AB96" s="42"/>
      <c r="AC96" s="43"/>
    </row>
    <row r="97" spans="1:29" ht="17" x14ac:dyDescent="0.2">
      <c r="A97" s="50" t="s">
        <v>417</v>
      </c>
      <c r="B97" s="37" t="s">
        <v>447</v>
      </c>
      <c r="C97" s="28"/>
      <c r="F97" s="14"/>
      <c r="H97" s="4">
        <f>SUM(H93:H96)</f>
        <v>0</v>
      </c>
      <c r="K97" s="4">
        <f>SUM(K93:K96)</f>
        <v>0</v>
      </c>
      <c r="N97" s="4">
        <f>SUM(N93:N96)</f>
        <v>1.3345E-3</v>
      </c>
      <c r="Q97" s="4">
        <f>SUM(Q93:Q96)</f>
        <v>9.2609048350000001E-3</v>
      </c>
      <c r="T97" s="4">
        <f>SUM(T93:T96)</f>
        <v>3.2984765214409045E-2</v>
      </c>
      <c r="W97" s="4">
        <f>SUM(W93:W96)</f>
        <v>8.2592079133022425E-2</v>
      </c>
      <c r="Z97" s="4">
        <f>SUM(Z93:Z96)</f>
        <v>0.17633270956878355</v>
      </c>
      <c r="AA97" s="37" t="s">
        <v>450</v>
      </c>
      <c r="AB97" s="42" t="s">
        <v>448</v>
      </c>
      <c r="AC97" s="43" t="s">
        <v>449</v>
      </c>
    </row>
    <row r="98" spans="1:29" x14ac:dyDescent="0.2">
      <c r="F98" s="14"/>
      <c r="AB98" s="42"/>
      <c r="AC98" s="43"/>
    </row>
    <row r="99" spans="1:29" ht="17" x14ac:dyDescent="0.2">
      <c r="A99" s="50" t="s">
        <v>417</v>
      </c>
      <c r="B99" s="57" t="s">
        <v>207</v>
      </c>
      <c r="C99" s="55" t="s">
        <v>174</v>
      </c>
      <c r="F99" s="14" t="s">
        <v>70</v>
      </c>
      <c r="H99" s="4">
        <f>H64*H40</f>
        <v>0</v>
      </c>
      <c r="K99" s="4">
        <f>H99 - K82 - K93 - K45 + K40*K88</f>
        <v>0.85</v>
      </c>
      <c r="N99" s="4">
        <f>K99 - N82 - N93 - N45 + N40*N88</f>
        <v>5.0986655000000001</v>
      </c>
      <c r="Q99" s="4">
        <f>N99 - Q82 - Q93 - Q45 + Q40*Q88</f>
        <v>15.290660595164999</v>
      </c>
      <c r="T99" s="4">
        <f>Q99 - T82 - T93 - T45 + T40*T88</f>
        <v>32.266654258030592</v>
      </c>
      <c r="W99" s="4">
        <f>T99 - W82 - W93 - W45 + W40*W88</f>
        <v>62.815995610845476</v>
      </c>
      <c r="Z99" s="4">
        <f>W99 - Z82 - Z93 - Z45 + Z40*Z88</f>
        <v>113.71737449773644</v>
      </c>
      <c r="AA99" s="38" t="s">
        <v>308</v>
      </c>
      <c r="AB99" s="42" t="s">
        <v>398</v>
      </c>
      <c r="AC99" s="43" t="s">
        <v>343</v>
      </c>
    </row>
    <row r="100" spans="1:29" ht="17" x14ac:dyDescent="0.2">
      <c r="B100" s="57"/>
      <c r="C100" s="55"/>
      <c r="F100" s="14" t="s">
        <v>71</v>
      </c>
      <c r="H100" s="4">
        <f>H65*H41</f>
        <v>0</v>
      </c>
      <c r="K100" s="4">
        <f>H100 - K83 - K94 - K46 + K41*K89</f>
        <v>0</v>
      </c>
      <c r="N100" s="4">
        <f>K100 - N83 - N94 - N46 + N41*N89</f>
        <v>0.8</v>
      </c>
      <c r="Q100" s="4">
        <f>N100 - Q83 - Q94 - Q46 + Q41*Q89</f>
        <v>4.7987440000000001</v>
      </c>
      <c r="T100" s="4">
        <f>Q100 - T83 - T94 - T46 + T41*T89</f>
        <v>14.391209971919999</v>
      </c>
      <c r="W100" s="4">
        <f>T100 - W83 - W94 - W46 + W41*W89</f>
        <v>30.368615772264086</v>
      </c>
      <c r="Z100" s="4">
        <f>W100 - Z83 - Z94 - Z46 + Z41*Z89</f>
        <v>59.120937045501627</v>
      </c>
      <c r="AA100" s="37"/>
      <c r="AB100" s="42"/>
      <c r="AC100" s="43"/>
    </row>
    <row r="101" spans="1:29" ht="17" x14ac:dyDescent="0.2">
      <c r="B101" s="57"/>
      <c r="C101" s="55"/>
      <c r="F101" s="14" t="s">
        <v>72</v>
      </c>
      <c r="H101" s="4">
        <f>H66*H42</f>
        <v>0</v>
      </c>
      <c r="K101" s="4">
        <f>H101 - K84 - K95 - K47 + K42*K90</f>
        <v>0</v>
      </c>
      <c r="N101" s="4">
        <f>K101 - N84 - N95 - N47 + N42*N90</f>
        <v>0</v>
      </c>
      <c r="Q101" s="4">
        <f>N101 - Q84 - Q95 - Q47 + Q42*Q90</f>
        <v>0.92</v>
      </c>
      <c r="T101" s="4">
        <f>Q101 - T84 - T95 - T47 + T42*T90</f>
        <v>5.5185556000000009</v>
      </c>
      <c r="W101" s="4">
        <f>T101 - W84 - W95 - W47 + W42*W90</f>
        <v>16.549891467708001</v>
      </c>
      <c r="Z101" s="4">
        <f>W101 - Z84 - Z95 - Z47 + Z42*Z90</f>
        <v>34.923908138103698</v>
      </c>
      <c r="AA101" s="37"/>
      <c r="AB101" s="42"/>
      <c r="AC101" s="43"/>
    </row>
    <row r="102" spans="1:29" ht="17" customHeight="1" x14ac:dyDescent="0.2">
      <c r="B102" s="57"/>
      <c r="C102" s="55"/>
      <c r="F102" s="14" t="s">
        <v>81</v>
      </c>
      <c r="H102" s="4">
        <f>H67*H43</f>
        <v>0</v>
      </c>
      <c r="K102" s="4">
        <f>H102 - K85 - K96 - K48 + K43*K91</f>
        <v>0</v>
      </c>
      <c r="N102" s="4">
        <f>K102 - N85 - N96 - N48 + N43*N91</f>
        <v>0</v>
      </c>
      <c r="Q102" s="4">
        <f>N102 - Q85 - Q96 - Q48 + Q43*Q91</f>
        <v>0</v>
      </c>
      <c r="T102" s="4">
        <f>Q102 - T85 - T96 - T48 + T43*T91</f>
        <v>0.43</v>
      </c>
      <c r="W102" s="4">
        <f>T102 - W85 - W96 - W48 + W43*W91</f>
        <v>2.5793249</v>
      </c>
      <c r="Z102" s="4">
        <f>W102 - Z85 - Z96 - Z48 + Z43*Z91</f>
        <v>7.7352753599069999</v>
      </c>
      <c r="AA102" s="37"/>
      <c r="AB102" s="42"/>
      <c r="AC102" s="43"/>
    </row>
    <row r="103" spans="1:29" x14ac:dyDescent="0.2">
      <c r="E103" s="26"/>
      <c r="F103" s="14"/>
      <c r="AB103" s="42"/>
      <c r="AC103" s="43"/>
    </row>
    <row r="104" spans="1:29" ht="17" x14ac:dyDescent="0.2">
      <c r="A104" s="50" t="s">
        <v>417</v>
      </c>
      <c r="B104" s="57" t="s">
        <v>208</v>
      </c>
      <c r="C104" s="55" t="s">
        <v>174</v>
      </c>
      <c r="E104" s="26"/>
      <c r="F104" s="14" t="s">
        <v>209</v>
      </c>
      <c r="H104" s="4">
        <f>H99*$H$22</f>
        <v>0</v>
      </c>
      <c r="K104" s="4">
        <f>K99*$H$22</f>
        <v>0.21249999999999999</v>
      </c>
      <c r="N104" s="4">
        <f>N99*$H$22</f>
        <v>1.274666375</v>
      </c>
      <c r="Q104" s="4">
        <f>Q99*$H$22</f>
        <v>3.8226651487912497</v>
      </c>
      <c r="T104" s="4">
        <f>T99*$H$22</f>
        <v>8.0666635645076479</v>
      </c>
      <c r="W104" s="4">
        <f>W99*$H$22</f>
        <v>15.703998902711369</v>
      </c>
      <c r="Z104" s="4">
        <f>Z99*$H$22</f>
        <v>28.429343624434111</v>
      </c>
      <c r="AA104" s="38" t="s">
        <v>311</v>
      </c>
      <c r="AB104" s="42" t="s">
        <v>399</v>
      </c>
      <c r="AC104" s="43" t="s">
        <v>343</v>
      </c>
    </row>
    <row r="105" spans="1:29" ht="17" x14ac:dyDescent="0.2">
      <c r="B105" s="57"/>
      <c r="C105" s="55"/>
      <c r="E105" s="26"/>
      <c r="F105" s="14" t="s">
        <v>210</v>
      </c>
      <c r="H105" s="4">
        <f t="shared" ref="H105:H107" si="9">H100*$H$22</f>
        <v>0</v>
      </c>
      <c r="K105" s="4">
        <f t="shared" ref="K105:K107" si="10">K100*$H$22</f>
        <v>0</v>
      </c>
      <c r="N105" s="4">
        <f t="shared" ref="N105:N107" si="11">N100*$H$22</f>
        <v>0.2</v>
      </c>
      <c r="Q105" s="4">
        <f t="shared" ref="Q105:Q107" si="12">Q100*$H$22</f>
        <v>1.199686</v>
      </c>
      <c r="T105" s="4">
        <f t="shared" ref="T105:T107" si="13">T100*$H$22</f>
        <v>3.5978024929799997</v>
      </c>
      <c r="W105" s="4">
        <f t="shared" ref="W105:W107" si="14">W100*$H$22</f>
        <v>7.5921539430660214</v>
      </c>
      <c r="Z105" s="4">
        <f t="shared" ref="Z105:Z107" si="15">Z100*$H$22</f>
        <v>14.780234261375407</v>
      </c>
      <c r="AA105" s="37"/>
      <c r="AB105" s="42"/>
      <c r="AC105" s="43"/>
    </row>
    <row r="106" spans="1:29" ht="17" x14ac:dyDescent="0.2">
      <c r="B106" s="57"/>
      <c r="C106" s="55"/>
      <c r="E106" s="26"/>
      <c r="F106" s="14" t="s">
        <v>211</v>
      </c>
      <c r="H106" s="4">
        <f>H101*$H$22</f>
        <v>0</v>
      </c>
      <c r="K106" s="4">
        <f>K101*$H$22</f>
        <v>0</v>
      </c>
      <c r="N106" s="4">
        <f>N101*$H$22</f>
        <v>0</v>
      </c>
      <c r="Q106" s="4">
        <f>Q101*$H$22</f>
        <v>0.23</v>
      </c>
      <c r="T106" s="4">
        <f>T101*$H$22</f>
        <v>1.3796389000000002</v>
      </c>
      <c r="W106" s="4">
        <f>W101*$H$22</f>
        <v>4.1374728669270002</v>
      </c>
      <c r="Z106" s="4">
        <f>Z101*$H$22</f>
        <v>8.7309770345259246</v>
      </c>
      <c r="AA106" s="37"/>
      <c r="AB106" s="42"/>
      <c r="AC106" s="43"/>
    </row>
    <row r="107" spans="1:29" ht="17" x14ac:dyDescent="0.2">
      <c r="B107" s="57"/>
      <c r="C107" s="55"/>
      <c r="E107" s="26"/>
      <c r="F107" s="14" t="s">
        <v>212</v>
      </c>
      <c r="H107" s="4">
        <f t="shared" si="9"/>
        <v>0</v>
      </c>
      <c r="K107" s="4">
        <f t="shared" si="10"/>
        <v>0</v>
      </c>
      <c r="N107" s="4">
        <f t="shared" si="11"/>
        <v>0</v>
      </c>
      <c r="Q107" s="4">
        <f t="shared" si="12"/>
        <v>0</v>
      </c>
      <c r="T107" s="4">
        <f t="shared" si="13"/>
        <v>0.1075</v>
      </c>
      <c r="W107" s="4">
        <f t="shared" si="14"/>
        <v>0.64483122500000001</v>
      </c>
      <c r="Z107" s="4">
        <f t="shared" si="15"/>
        <v>1.93381883997675</v>
      </c>
      <c r="AA107" s="37"/>
      <c r="AB107" s="42"/>
      <c r="AC107" s="43"/>
    </row>
    <row r="108" spans="1:29" x14ac:dyDescent="0.2">
      <c r="B108" s="29"/>
      <c r="C108" s="35"/>
      <c r="E108" s="26"/>
      <c r="F108" s="14"/>
      <c r="AA108" s="29"/>
      <c r="AB108" s="42"/>
      <c r="AC108" s="43"/>
    </row>
    <row r="109" spans="1:29" x14ac:dyDescent="0.2">
      <c r="B109" s="29"/>
      <c r="C109" s="35"/>
      <c r="E109" s="26"/>
      <c r="F109" s="14"/>
      <c r="AA109" s="29"/>
      <c r="AB109" s="42"/>
      <c r="AC109" s="43"/>
    </row>
    <row r="110" spans="1:29" ht="34" x14ac:dyDescent="0.2">
      <c r="E110" s="26"/>
      <c r="F110" s="15" t="s">
        <v>140</v>
      </c>
      <c r="G110" s="8" t="s">
        <v>124</v>
      </c>
      <c r="H110" s="8"/>
      <c r="AB110" s="42"/>
      <c r="AC110" s="43"/>
    </row>
    <row r="111" spans="1:29" ht="34" x14ac:dyDescent="0.2">
      <c r="B111" s="38" t="s">
        <v>233</v>
      </c>
      <c r="C111" s="34" t="s">
        <v>180</v>
      </c>
      <c r="E111" s="26"/>
      <c r="F111" s="14" t="s">
        <v>90</v>
      </c>
      <c r="G111" s="4">
        <f>$G$30</f>
        <v>0.3</v>
      </c>
      <c r="H111" s="4">
        <f>$H$30</f>
        <v>0.92</v>
      </c>
      <c r="J111" s="4">
        <f>$G$30</f>
        <v>0.3</v>
      </c>
      <c r="K111" s="4">
        <f>$H$30</f>
        <v>0.92</v>
      </c>
      <c r="M111" s="4">
        <f>$G$30</f>
        <v>0.3</v>
      </c>
      <c r="N111" s="4">
        <f>$H$30</f>
        <v>0.92</v>
      </c>
      <c r="P111" s="4">
        <f>$G$30</f>
        <v>0.3</v>
      </c>
      <c r="Q111" s="4">
        <f>$H$30</f>
        <v>0.92</v>
      </c>
      <c r="S111" s="4">
        <f>$G$30</f>
        <v>0.3</v>
      </c>
      <c r="T111" s="4">
        <f>$H$30</f>
        <v>0.92</v>
      </c>
      <c r="V111" s="4">
        <f>$G$30</f>
        <v>0.3</v>
      </c>
      <c r="W111" s="4">
        <f>$H$30</f>
        <v>0.92</v>
      </c>
      <c r="Y111" s="4">
        <f>$G$30</f>
        <v>0.3</v>
      </c>
      <c r="Z111" s="4">
        <f>$H$30</f>
        <v>0.92</v>
      </c>
      <c r="AA111" s="38"/>
      <c r="AB111" s="42"/>
      <c r="AC111" s="43"/>
    </row>
    <row r="112" spans="1:29" ht="34" x14ac:dyDescent="0.2">
      <c r="A112" s="50" t="s">
        <v>417</v>
      </c>
      <c r="B112" s="38" t="s">
        <v>234</v>
      </c>
      <c r="C112" s="28" t="s">
        <v>174</v>
      </c>
      <c r="F112" s="14" t="s">
        <v>141</v>
      </c>
      <c r="G112" s="4">
        <f>G7*$G$21</f>
        <v>7500000</v>
      </c>
      <c r="H112" s="4">
        <f>H7*$H$21</f>
        <v>25000000</v>
      </c>
      <c r="J112" s="4">
        <f>J7*$G$21</f>
        <v>7492500</v>
      </c>
      <c r="K112" s="4">
        <f>K7*$H$21</f>
        <v>24990000</v>
      </c>
      <c r="M112" s="4">
        <f>M7*$G$21</f>
        <v>7483200</v>
      </c>
      <c r="N112" s="4">
        <f>N7*$H$21</f>
        <v>24979000</v>
      </c>
      <c r="P112" s="4">
        <f>P7*$G$21</f>
        <v>7474500</v>
      </c>
      <c r="Q112" s="4">
        <f>Q7*$H$21</f>
        <v>24969600</v>
      </c>
      <c r="S112" s="4">
        <f>S7*$G$21</f>
        <v>7464000</v>
      </c>
      <c r="T112" s="4">
        <f>T7*$H$21</f>
        <v>24950400</v>
      </c>
      <c r="V112" s="4">
        <f>V7*$G$21</f>
        <v>7449000</v>
      </c>
      <c r="W112" s="4">
        <f>W7*$H$21</f>
        <v>24946500</v>
      </c>
      <c r="Y112" s="4">
        <f>Y7*$G$21</f>
        <v>7434300</v>
      </c>
      <c r="Z112" s="4">
        <f>Z7*$H$21</f>
        <v>24936000</v>
      </c>
      <c r="AA112" s="38" t="s">
        <v>459</v>
      </c>
      <c r="AB112" s="42" t="s">
        <v>366</v>
      </c>
      <c r="AC112" s="43" t="s">
        <v>316</v>
      </c>
    </row>
    <row r="113" spans="1:29" ht="34" x14ac:dyDescent="0.2">
      <c r="A113" s="50" t="s">
        <v>417</v>
      </c>
      <c r="B113" s="38" t="s">
        <v>181</v>
      </c>
      <c r="C113" s="28" t="s">
        <v>174</v>
      </c>
      <c r="F113" s="14" t="s">
        <v>164</v>
      </c>
      <c r="G113" s="4">
        <v>1</v>
      </c>
      <c r="H113" s="4">
        <v>1</v>
      </c>
      <c r="J113" s="4">
        <f>IF(G115=0,0,MIN(MAX((G115/G112-$G$18)/($G$20-$G$18), 0), 1))</f>
        <v>1</v>
      </c>
      <c r="K113" s="4">
        <f>IF(H115=0,0,MIN(MAX((H115/H112-$H$18)/($G$20-$H$18), 0), 1))</f>
        <v>1</v>
      </c>
      <c r="M113" s="4">
        <f>IF(J115=0,0,MIN(MAX((J115/J112-$G$18)/($G$20-$G$18), 0), 1))</f>
        <v>1</v>
      </c>
      <c r="N113" s="4">
        <f>IF(K115=0,0,MIN(MAX((K115/K112-$H$18)/($G$20-$H$18), 0), 1))</f>
        <v>1</v>
      </c>
      <c r="P113" s="4">
        <f>IF(M115=0,0,MIN(MAX((M115/M112-$G$18)/($G$20-$G$18), 0), 1))</f>
        <v>1</v>
      </c>
      <c r="Q113" s="4">
        <f>IF(N115=0,0,MIN(MAX((N115/N112-$H$18)/($G$20-$H$18), 0), 1))</f>
        <v>1</v>
      </c>
      <c r="S113" s="4">
        <f>IF(P115=0,0,MIN(MAX((P115/P112-$G$18)/($G$20-$G$18), 0), 1))</f>
        <v>1</v>
      </c>
      <c r="T113" s="4">
        <f>IF(Q115=0,0,MIN(MAX((Q115/Q112-$H$18)/($G$20-$H$18), 0), 1))</f>
        <v>1</v>
      </c>
      <c r="V113" s="4">
        <f>IF(S115=0,0,MIN(MAX((S115/S112-$G$18)/($G$20-$G$18), 0), 1))</f>
        <v>1</v>
      </c>
      <c r="W113" s="4">
        <f>IF(T115=0,0,MIN(MAX((T115/T112-$H$18)/($G$20-$H$18), 0), 1))</f>
        <v>1</v>
      </c>
      <c r="Y113" s="4">
        <f>IF(V115=0,0,MIN(MAX((V115/V112-$G$18)/($G$20-$G$18), 0), 1))</f>
        <v>0.8611518815783703</v>
      </c>
      <c r="Z113" s="4">
        <f>IF(W115=0,0,MIN(MAX((W115/W112-$H$18)/($G$20-$H$18), 0), 1))</f>
        <v>1</v>
      </c>
      <c r="AA113" s="38" t="s">
        <v>438</v>
      </c>
      <c r="AB113" s="42" t="s">
        <v>367</v>
      </c>
      <c r="AC113" s="43" t="s">
        <v>353</v>
      </c>
    </row>
    <row r="114" spans="1:29" ht="34" x14ac:dyDescent="0.2">
      <c r="A114" s="50" t="s">
        <v>417</v>
      </c>
      <c r="B114" s="38" t="s">
        <v>182</v>
      </c>
      <c r="C114" s="33" t="s">
        <v>163</v>
      </c>
      <c r="F114" s="14" t="s">
        <v>131</v>
      </c>
      <c r="G114" s="4">
        <f>G111</f>
        <v>0.3</v>
      </c>
      <c r="H114" s="4">
        <f>H111</f>
        <v>0.92</v>
      </c>
      <c r="J114" s="4">
        <f xml:space="preserve"> J111*J113</f>
        <v>0.3</v>
      </c>
      <c r="K114" s="4">
        <f>K111*K113</f>
        <v>0.92</v>
      </c>
      <c r="M114" s="4">
        <f xml:space="preserve"> M111*M113</f>
        <v>0.3</v>
      </c>
      <c r="N114" s="4">
        <f>N111*N113</f>
        <v>0.92</v>
      </c>
      <c r="P114" s="4">
        <f xml:space="preserve"> P111*P113</f>
        <v>0.3</v>
      </c>
      <c r="Q114" s="4">
        <f>Q111*Q113</f>
        <v>0.92</v>
      </c>
      <c r="S114" s="4">
        <f xml:space="preserve"> S111*S113</f>
        <v>0.3</v>
      </c>
      <c r="T114" s="4">
        <f>T111*T113</f>
        <v>0.92</v>
      </c>
      <c r="V114" s="4">
        <f xml:space="preserve"> V111*V113</f>
        <v>0.3</v>
      </c>
      <c r="W114" s="4">
        <f>W111*W113</f>
        <v>0.92</v>
      </c>
      <c r="Y114" s="4">
        <f xml:space="preserve"> Y111*Y113</f>
        <v>0.25834556447351109</v>
      </c>
      <c r="Z114" s="4">
        <f>Z111*Z113</f>
        <v>0.92</v>
      </c>
      <c r="AA114" s="38" t="s">
        <v>458</v>
      </c>
      <c r="AB114" s="42" t="s">
        <v>368</v>
      </c>
      <c r="AC114" s="43" t="s">
        <v>340</v>
      </c>
    </row>
    <row r="115" spans="1:29" ht="34" x14ac:dyDescent="0.2">
      <c r="A115" s="50" t="s">
        <v>417</v>
      </c>
      <c r="B115" s="38" t="s">
        <v>235</v>
      </c>
      <c r="C115" s="33" t="s">
        <v>163</v>
      </c>
      <c r="F115" s="14" t="s">
        <v>172</v>
      </c>
      <c r="G115" s="4">
        <f>G7*G21</f>
        <v>7500000</v>
      </c>
      <c r="H115" s="4">
        <f>H7*H21</f>
        <v>25000000</v>
      </c>
      <c r="J115" s="4">
        <f>G115 - G137 - G124 - G148+J114*J7</f>
        <v>6966918.08125271</v>
      </c>
      <c r="K115" s="4">
        <f>H115 - H137 - H124 - (H148 - H97)+ K114*K7</f>
        <v>23723974.534997292</v>
      </c>
      <c r="M115" s="4">
        <f>J115 - J137 - J124 - J148+M114*M7</f>
        <v>6430976.9232831635</v>
      </c>
      <c r="N115" s="4">
        <f>K115 - K137 - K124 - (K148 - K97)+ N114*N7</f>
        <v>22403030.169761121</v>
      </c>
      <c r="P115" s="4">
        <f>M115 - M137 - M124 - M148+P114*P7</f>
        <v>5878439.281534086</v>
      </c>
      <c r="Q115" s="4">
        <f>N115 - N137 - N124 - (N148 - N97)+ Q114*Q7</f>
        <v>21042661.125952005</v>
      </c>
      <c r="S115" s="4">
        <f>P115 - P137 - P124 - P148+S114*S7</f>
        <v>5319767.3070256906</v>
      </c>
      <c r="T115" s="4">
        <f>Q115 - Q137 - Q124 - (Q148 - Q97)+ T114*T7</f>
        <v>19588129.954529207</v>
      </c>
      <c r="V115" s="4">
        <f>S115 - S137 - S124 - S148+V114*V7</f>
        <v>4639771.7554611461</v>
      </c>
      <c r="W115" s="4">
        <f>T115 - T137 - T124 - (T148 - T97)+ W114*W7</f>
        <v>17473377.857190389</v>
      </c>
      <c r="Y115" s="4">
        <f>V115 - V137 - V124 - V148+Y114*Y7</f>
        <v>4179370.6044759089</v>
      </c>
      <c r="Z115" s="4">
        <f>W115 - W137 - W124 - (W148 - W97)+ Z114*Z7</f>
        <v>15778712.754563004</v>
      </c>
      <c r="AA115" s="38" t="s">
        <v>460</v>
      </c>
      <c r="AB115" s="42" t="s">
        <v>369</v>
      </c>
      <c r="AC115" s="43" t="s">
        <v>316</v>
      </c>
    </row>
    <row r="116" spans="1:29" ht="34" x14ac:dyDescent="0.2">
      <c r="A116" s="50" t="s">
        <v>417</v>
      </c>
      <c r="B116" s="38" t="s">
        <v>238</v>
      </c>
      <c r="C116" s="33" t="s">
        <v>163</v>
      </c>
      <c r="F116" s="14" t="s">
        <v>142</v>
      </c>
      <c r="G116" s="4">
        <f>IF(G7=0,0,G115/G7)</f>
        <v>150</v>
      </c>
      <c r="H116" s="4">
        <f>IF(H7=0,0,H115/H7)</f>
        <v>100</v>
      </c>
      <c r="J116" s="4">
        <f>IF(J7=0,0,J115/J7)</f>
        <v>139.47783946451872</v>
      </c>
      <c r="K116" s="4">
        <f>IF(K7=0,0,K115/K7)</f>
        <v>94.933871688664638</v>
      </c>
      <c r="M116" s="4">
        <f>IF(M7=0,0,M115/M7)</f>
        <v>128.90829304207753</v>
      </c>
      <c r="N116" s="4">
        <f>IF(N7=0,0,N115/N7)</f>
        <v>89.687458143885351</v>
      </c>
      <c r="P116" s="4">
        <f>IF(P7=0,0,P115/P7)</f>
        <v>117.96988323367621</v>
      </c>
      <c r="Q116" s="4">
        <f>IF(Q7=0,0,Q115/Q7)</f>
        <v>84.273120618480093</v>
      </c>
      <c r="S116" s="4">
        <f>IF(S7=0,0,S115/S7)</f>
        <v>106.90850697398896</v>
      </c>
      <c r="T116" s="4">
        <f>IF(T7=0,0,T115/T7)</f>
        <v>78.508280246125139</v>
      </c>
      <c r="V116" s="4">
        <f>IF(V7=0,0,V115/V7)</f>
        <v>93.430764306507172</v>
      </c>
      <c r="W116" s="4">
        <f>IF(W7=0,0,W115/W7)</f>
        <v>70.043404313993506</v>
      </c>
      <c r="Y116" s="4">
        <f>IF(Y7=0,0,Y115/Y7)</f>
        <v>84.326108802629207</v>
      </c>
      <c r="Z116" s="4">
        <f>IF(Z7=0,0,Z115/Z7)</f>
        <v>63.276839727955583</v>
      </c>
      <c r="AA116" s="38" t="s">
        <v>456</v>
      </c>
      <c r="AB116" s="42" t="s">
        <v>370</v>
      </c>
      <c r="AC116" s="43" t="s">
        <v>340</v>
      </c>
    </row>
    <row r="117" spans="1:29" ht="68" x14ac:dyDescent="0.2">
      <c r="A117" s="50" t="s">
        <v>417</v>
      </c>
      <c r="B117" s="38" t="s">
        <v>276</v>
      </c>
      <c r="C117" s="28" t="s">
        <v>174</v>
      </c>
      <c r="F117" s="10" t="s">
        <v>75</v>
      </c>
      <c r="G117" s="4">
        <f>MAX(G116-$G23,0)</f>
        <v>100.4134425</v>
      </c>
      <c r="H117" s="4">
        <f>MAX(H116-$H23,0)</f>
        <v>62.199106999999998</v>
      </c>
      <c r="J117" s="4">
        <f>MAX(J116-$G23,0)</f>
        <v>89.891281964518726</v>
      </c>
      <c r="K117" s="4">
        <f>MAX(K116-$H23,0)</f>
        <v>57.132978688664636</v>
      </c>
      <c r="M117" s="4">
        <f>MAX(M116-$G23,0)</f>
        <v>79.321735542077533</v>
      </c>
      <c r="N117" s="4">
        <f>MAX(N116-$H23,0)</f>
        <v>51.886565143885349</v>
      </c>
      <c r="P117" s="4">
        <f>MAX(P116-$G23,0)</f>
        <v>68.383325733676216</v>
      </c>
      <c r="Q117" s="4">
        <f>MAX(Q116-$H23,0)</f>
        <v>46.47222761848009</v>
      </c>
      <c r="S117" s="4">
        <f>MAX(S116-$G23,0)</f>
        <v>57.321949473988965</v>
      </c>
      <c r="T117" s="4">
        <f>MAX(T116-$H23,0)</f>
        <v>40.707387246125137</v>
      </c>
      <c r="V117" s="4">
        <f>MAX(V116-$G23,0)</f>
        <v>43.844206806507174</v>
      </c>
      <c r="W117" s="4">
        <f>MAX(W116-$H23,0)</f>
        <v>32.242511313993504</v>
      </c>
      <c r="Y117" s="4">
        <f>MAX(Y116-$G23,0)</f>
        <v>34.739551302629209</v>
      </c>
      <c r="Z117" s="4">
        <f>MAX(Z116-$H23,0)</f>
        <v>25.475946727955581</v>
      </c>
      <c r="AA117" s="38" t="s">
        <v>457</v>
      </c>
      <c r="AB117" s="46" t="s">
        <v>371</v>
      </c>
      <c r="AC117" s="43" t="s">
        <v>340</v>
      </c>
    </row>
    <row r="118" spans="1:29" x14ac:dyDescent="0.2">
      <c r="F118" s="13"/>
      <c r="AB118" s="42"/>
      <c r="AC118" s="43"/>
    </row>
    <row r="119" spans="1:29" ht="17" x14ac:dyDescent="0.2">
      <c r="F119" s="11" t="s">
        <v>58</v>
      </c>
      <c r="G119" s="12"/>
      <c r="H119" s="12"/>
      <c r="J119" s="12"/>
      <c r="K119" s="12"/>
      <c r="M119" s="12"/>
      <c r="N119" s="12"/>
      <c r="P119" s="12"/>
      <c r="Q119" s="12"/>
      <c r="S119" s="12"/>
      <c r="T119" s="12"/>
      <c r="V119" s="12"/>
      <c r="W119" s="12"/>
      <c r="Y119" s="12"/>
      <c r="Z119" s="12"/>
      <c r="AB119" s="42"/>
      <c r="AC119" s="43"/>
    </row>
    <row r="120" spans="1:29" ht="34" x14ac:dyDescent="0.2">
      <c r="A120" s="50" t="s">
        <v>417</v>
      </c>
      <c r="B120" s="38" t="s">
        <v>240</v>
      </c>
      <c r="C120" s="34" t="s">
        <v>180</v>
      </c>
      <c r="F120" s="10" t="s">
        <v>216</v>
      </c>
      <c r="G120" s="4">
        <f>G116*G7</f>
        <v>7500000</v>
      </c>
      <c r="H120" s="4">
        <f>H116*H7</f>
        <v>25000000</v>
      </c>
      <c r="J120" s="4">
        <f>J116*J7</f>
        <v>6966918.08125271</v>
      </c>
      <c r="K120" s="4">
        <f>K116*K7</f>
        <v>23723974.534997292</v>
      </c>
      <c r="M120" s="4">
        <f>M116*M7</f>
        <v>6430976.9232831635</v>
      </c>
      <c r="N120" s="4">
        <f>N116*N7</f>
        <v>22403030.169761121</v>
      </c>
      <c r="P120" s="4">
        <f>P116*P7</f>
        <v>5878439.281534086</v>
      </c>
      <c r="Q120" s="4">
        <f>Q116*Q7</f>
        <v>21042661.125952005</v>
      </c>
      <c r="S120" s="4">
        <f>S116*S7</f>
        <v>5319767.3070256906</v>
      </c>
      <c r="T120" s="4">
        <f>T116*T7</f>
        <v>19588129.954529207</v>
      </c>
      <c r="V120" s="4">
        <f>V116*V7</f>
        <v>4639771.7554611461</v>
      </c>
      <c r="W120" s="4">
        <f>W116*W7</f>
        <v>17473377.857190389</v>
      </c>
      <c r="Y120" s="4">
        <f>Y116*Y7</f>
        <v>4179370.6044759089</v>
      </c>
      <c r="Z120" s="4">
        <f>Z116*Z7</f>
        <v>15778712.754563004</v>
      </c>
      <c r="AA120" s="38"/>
      <c r="AB120" s="42"/>
      <c r="AC120" s="43"/>
    </row>
    <row r="121" spans="1:29" ht="34" x14ac:dyDescent="0.2">
      <c r="A121" s="50" t="s">
        <v>417</v>
      </c>
      <c r="B121" s="38" t="s">
        <v>239</v>
      </c>
      <c r="C121" s="33" t="s">
        <v>163</v>
      </c>
      <c r="F121" s="10" t="s">
        <v>215</v>
      </c>
      <c r="H121" s="4">
        <f>SUM(H99:H102)</f>
        <v>0</v>
      </c>
      <c r="K121" s="4">
        <f>SUM(K99:K102)</f>
        <v>0.85</v>
      </c>
      <c r="N121" s="4">
        <f>SUM(N99:N102)</f>
        <v>5.8986654999999999</v>
      </c>
      <c r="Q121" s="4">
        <f>SUM(Q99:Q102)</f>
        <v>21.009404595165002</v>
      </c>
      <c r="T121" s="4">
        <f>SUM(T99:T102)</f>
        <v>52.606419829950589</v>
      </c>
      <c r="W121" s="4">
        <f>SUM(W99:W102)</f>
        <v>112.31382775081757</v>
      </c>
      <c r="Z121" s="4">
        <f>SUM(Z99:Z102)</f>
        <v>215.49749504124878</v>
      </c>
      <c r="AA121" s="38" t="s">
        <v>317</v>
      </c>
      <c r="AB121" s="42" t="s">
        <v>405</v>
      </c>
      <c r="AC121" s="43" t="s">
        <v>344</v>
      </c>
    </row>
    <row r="122" spans="1:29" ht="34" x14ac:dyDescent="0.2">
      <c r="A122" s="50" t="s">
        <v>417</v>
      </c>
      <c r="B122" s="38" t="s">
        <v>236</v>
      </c>
      <c r="C122" s="33" t="s">
        <v>163</v>
      </c>
      <c r="F122" s="10" t="s">
        <v>214</v>
      </c>
      <c r="G122" s="4">
        <f>G120+G121</f>
        <v>7500000</v>
      </c>
      <c r="H122" s="4">
        <f>H120+H121</f>
        <v>25000000</v>
      </c>
      <c r="J122" s="4">
        <f>J120+J121</f>
        <v>6966918.08125271</v>
      </c>
      <c r="K122" s="4">
        <f>K120+K121</f>
        <v>23723975.384997293</v>
      </c>
      <c r="M122" s="4">
        <f>M120+M121</f>
        <v>6430976.9232831635</v>
      </c>
      <c r="N122" s="4">
        <f>N120+N121</f>
        <v>22403036.06842662</v>
      </c>
      <c r="P122" s="4">
        <f>P120+P121</f>
        <v>5878439.281534086</v>
      </c>
      <c r="Q122" s="4">
        <f>Q120+Q121</f>
        <v>21042682.135356601</v>
      </c>
      <c r="S122" s="4">
        <f>S120+S121</f>
        <v>5319767.3070256906</v>
      </c>
      <c r="T122" s="4">
        <f>T120+T121</f>
        <v>19588182.560949039</v>
      </c>
      <c r="V122" s="4">
        <f>V120+V121</f>
        <v>4639771.7554611461</v>
      </c>
      <c r="W122" s="4">
        <f>W120+W121</f>
        <v>17473490.171018139</v>
      </c>
      <c r="Y122" s="4">
        <f>Y120+Y121</f>
        <v>4179370.6044759089</v>
      </c>
      <c r="Z122" s="4">
        <f>Z120+Z121</f>
        <v>15778928.252058046</v>
      </c>
      <c r="AA122" s="38" t="s">
        <v>455</v>
      </c>
      <c r="AB122" s="42" t="s">
        <v>452</v>
      </c>
      <c r="AC122" s="43" t="s">
        <v>316</v>
      </c>
    </row>
    <row r="123" spans="1:29" ht="34" x14ac:dyDescent="0.2">
      <c r="A123" s="50" t="s">
        <v>417</v>
      </c>
      <c r="B123" s="38" t="s">
        <v>237</v>
      </c>
      <c r="C123" s="33" t="s">
        <v>163</v>
      </c>
      <c r="F123" s="10" t="s">
        <v>217</v>
      </c>
      <c r="G123" s="4">
        <f>G122*$G$22</f>
        <v>2250000</v>
      </c>
      <c r="H123" s="4">
        <f>H122*$H$22</f>
        <v>6250000</v>
      </c>
      <c r="J123" s="4">
        <f>J122*$G$22</f>
        <v>2090075.424375813</v>
      </c>
      <c r="K123" s="4">
        <f>K122*$H$22</f>
        <v>5930993.8462493233</v>
      </c>
      <c r="M123" s="4">
        <f>M122*$G$22</f>
        <v>1929293.0769849489</v>
      </c>
      <c r="N123" s="4">
        <f>N122*$H$22</f>
        <v>5600759.0171066551</v>
      </c>
      <c r="P123" s="4">
        <f>P122*$G$22</f>
        <v>1763531.7844602258</v>
      </c>
      <c r="Q123" s="4">
        <f>Q122*$H$22</f>
        <v>5260670.5338391503</v>
      </c>
      <c r="S123" s="4">
        <f>S122*$G$22</f>
        <v>1595930.192107707</v>
      </c>
      <c r="T123" s="4">
        <f>T122*$H$22</f>
        <v>4897045.6402372597</v>
      </c>
      <c r="V123" s="4">
        <f>V122*$G$22</f>
        <v>1391931.5266383437</v>
      </c>
      <c r="W123" s="4">
        <f>W122*$H$22</f>
        <v>4368372.5427545346</v>
      </c>
      <c r="Y123" s="4">
        <f>Y122*$G$22</f>
        <v>1253811.1813427727</v>
      </c>
      <c r="Z123" s="4">
        <f>Z122*$H$22</f>
        <v>3944732.0630145115</v>
      </c>
      <c r="AA123" s="38" t="s">
        <v>454</v>
      </c>
      <c r="AB123" s="42" t="s">
        <v>453</v>
      </c>
      <c r="AC123" s="43" t="s">
        <v>316</v>
      </c>
    </row>
    <row r="124" spans="1:29" ht="17" x14ac:dyDescent="0.2">
      <c r="A124" s="50" t="s">
        <v>417</v>
      </c>
      <c r="B124" s="38" t="s">
        <v>275</v>
      </c>
      <c r="C124" s="28" t="s">
        <v>174</v>
      </c>
      <c r="F124" s="10" t="s">
        <v>263</v>
      </c>
      <c r="G124" s="4">
        <f>G12*G116</f>
        <v>7500</v>
      </c>
      <c r="H124" s="4">
        <f>H12*H116</f>
        <v>10000</v>
      </c>
      <c r="J124" s="4">
        <f>J12*J116</f>
        <v>8647.6260468001601</v>
      </c>
      <c r="K124" s="4">
        <f>K12*K116</f>
        <v>10442.725885753111</v>
      </c>
      <c r="M124" s="4">
        <f>M12*M116</f>
        <v>7476.6809964404965</v>
      </c>
      <c r="N124" s="4">
        <f>N12*N116</f>
        <v>8430.6210655252235</v>
      </c>
      <c r="P124" s="4">
        <f>P12*P116</f>
        <v>8257.8918263573341</v>
      </c>
      <c r="Q124" s="4">
        <f>Q12*Q116</f>
        <v>16180.439158748177</v>
      </c>
      <c r="S124" s="4">
        <f>S12*S116</f>
        <v>10690.850697398897</v>
      </c>
      <c r="T124" s="4">
        <f>T12*T116</f>
        <v>3061.8229295988804</v>
      </c>
      <c r="V124" s="4">
        <f>V12*V116</f>
        <v>9156.2149020377037</v>
      </c>
      <c r="W124" s="4">
        <f>W12*W116</f>
        <v>7354.5574529693185</v>
      </c>
      <c r="Y124" s="4">
        <f>Y12*Y116</f>
        <v>8263.958662657662</v>
      </c>
      <c r="Z124" s="4">
        <f>Z12*Z116</f>
        <v>7340.1134084428477</v>
      </c>
      <c r="AA124" s="38" t="s">
        <v>472</v>
      </c>
      <c r="AB124" s="42" t="s">
        <v>372</v>
      </c>
      <c r="AC124" s="43" t="s">
        <v>316</v>
      </c>
    </row>
    <row r="125" spans="1:29" ht="51" x14ac:dyDescent="0.2">
      <c r="A125" s="50" t="s">
        <v>417</v>
      </c>
      <c r="B125" s="38" t="s">
        <v>259</v>
      </c>
      <c r="C125" s="28" t="s">
        <v>174</v>
      </c>
      <c r="F125" s="10" t="s">
        <v>264</v>
      </c>
      <c r="G125" s="4">
        <f>MIN(G124,G12*G16)</f>
        <v>250</v>
      </c>
      <c r="H125" s="4">
        <f>MIN(H124,H12*H16)</f>
        <v>1000</v>
      </c>
      <c r="J125" s="4">
        <f>MIN(J124,J12*J16)</f>
        <v>316.2</v>
      </c>
      <c r="K125" s="4">
        <f>MIN(K124,K12*K16)</f>
        <v>1078</v>
      </c>
      <c r="M125" s="4">
        <f>MIN(M124,M12*M16)</f>
        <v>301.60000000000002</v>
      </c>
      <c r="N125" s="4">
        <f>MIN(N124,N12*N16)</f>
        <v>921.2</v>
      </c>
      <c r="P125" s="4">
        <f>MIN(P124,P12*P16)</f>
        <v>329</v>
      </c>
      <c r="Q125" s="4">
        <f>MIN(Q124,Q12*Q16)</f>
        <v>1900.8000000000002</v>
      </c>
      <c r="S125" s="4">
        <f>MIN(S124,S12*S16)</f>
        <v>520</v>
      </c>
      <c r="T125" s="4">
        <f>MIN(T124,T12*T16)</f>
        <v>393.9</v>
      </c>
      <c r="V125" s="4">
        <f>MIN(V124,V12*V16)</f>
        <v>401.79999999999995</v>
      </c>
      <c r="W125" s="4">
        <f>MIN(W124,W12*W16)</f>
        <v>1155</v>
      </c>
      <c r="Y125" s="4">
        <f>MIN(Y124,Y12*Y16)</f>
        <v>499.79999999999995</v>
      </c>
      <c r="Z125" s="4">
        <f>MIN(Z124,Z12*Z16)</f>
        <v>1044</v>
      </c>
      <c r="AA125" s="38" t="s">
        <v>473</v>
      </c>
      <c r="AB125" s="42" t="s">
        <v>470</v>
      </c>
      <c r="AC125" s="43" t="s">
        <v>316</v>
      </c>
    </row>
    <row r="126" spans="1:29" ht="34" x14ac:dyDescent="0.2">
      <c r="A126" s="50" t="s">
        <v>417</v>
      </c>
      <c r="B126" s="38" t="s">
        <v>277</v>
      </c>
      <c r="C126" s="28" t="s">
        <v>174</v>
      </c>
      <c r="F126" s="10" t="s">
        <v>251</v>
      </c>
      <c r="G126" s="4">
        <f>(G124-G125)*$G$15</f>
        <v>5075</v>
      </c>
      <c r="H126" s="4">
        <f>(H124-H125+H56)*$G$15</f>
        <v>6300</v>
      </c>
      <c r="J126" s="4">
        <f>(J124-J125)*$G$15</f>
        <v>5831.998232760111</v>
      </c>
      <c r="K126" s="4">
        <f>(K124-K125+K56)*$G$15</f>
        <v>6555.3081200271772</v>
      </c>
      <c r="M126" s="4">
        <f>(M124-M125)*$G$15</f>
        <v>5022.5566975083466</v>
      </c>
      <c r="N126" s="4">
        <f>(N124-N125+N56)*$G$15</f>
        <v>5256.5947458676565</v>
      </c>
      <c r="P126" s="4">
        <f>(P124-P125)*$G$15</f>
        <v>5550.2242784501332</v>
      </c>
      <c r="Q126" s="4">
        <f>(Q124-Q125+Q56)*$G$15</f>
        <v>9995.7474111237243</v>
      </c>
      <c r="S126" s="4">
        <f>(S124-S125)*$G$15</f>
        <v>7119.5954881792277</v>
      </c>
      <c r="T126" s="4">
        <f>(T124-T125+T56)*$G$15</f>
        <v>1867.5460507192161</v>
      </c>
      <c r="V126" s="4">
        <f>(V124-V125)*$G$15</f>
        <v>6128.0904314263926</v>
      </c>
      <c r="W126" s="4">
        <f>(W124-W125+W56)*$G$15</f>
        <v>4339.6902170785224</v>
      </c>
      <c r="Y126" s="4">
        <f>(Y124-Y125)*$G$15</f>
        <v>5434.9110638603634</v>
      </c>
      <c r="Z126" s="4">
        <f>(Z124-Z125+Z56)*$G$15</f>
        <v>4407.2793859099929</v>
      </c>
      <c r="AA126" s="38" t="s">
        <v>474</v>
      </c>
      <c r="AB126" s="42" t="s">
        <v>471</v>
      </c>
      <c r="AC126" s="43" t="s">
        <v>316</v>
      </c>
    </row>
    <row r="127" spans="1:29" ht="34" x14ac:dyDescent="0.2">
      <c r="A127" s="50" t="s">
        <v>417</v>
      </c>
      <c r="B127" s="38" t="s">
        <v>252</v>
      </c>
      <c r="C127" s="33" t="s">
        <v>163</v>
      </c>
      <c r="F127" s="14" t="s">
        <v>249</v>
      </c>
      <c r="G127" s="4">
        <f>MIN(G126+H126, G34)</f>
        <v>11375</v>
      </c>
      <c r="J127" s="4">
        <f>MIN(J126+K126, J34)</f>
        <v>12387.306352787287</v>
      </c>
      <c r="M127" s="4">
        <f>MIN(M126+N126, M34)</f>
        <v>10279.151443376002</v>
      </c>
      <c r="P127" s="4">
        <f>MIN(P126+Q126, P34)</f>
        <v>15545.971689573857</v>
      </c>
      <c r="S127" s="4">
        <f>MIN(S126+T126, S34)</f>
        <v>8987.1415388984442</v>
      </c>
      <c r="V127" s="4">
        <f>MIN(V126+W126, V34)</f>
        <v>10467.780648504915</v>
      </c>
      <c r="Y127" s="4">
        <f>MIN(Y126+Z126, Y34)</f>
        <v>9842.1904497703563</v>
      </c>
      <c r="AA127" s="38" t="s">
        <v>324</v>
      </c>
      <c r="AB127" s="42" t="s">
        <v>325</v>
      </c>
      <c r="AC127" s="43" t="s">
        <v>323</v>
      </c>
    </row>
    <row r="128" spans="1:29" ht="34" x14ac:dyDescent="0.2">
      <c r="A128" s="50" t="s">
        <v>417</v>
      </c>
      <c r="B128" s="38" t="s">
        <v>253</v>
      </c>
      <c r="C128" s="28" t="s">
        <v>174</v>
      </c>
      <c r="F128" s="14" t="s">
        <v>265</v>
      </c>
      <c r="G128" s="4">
        <f>G126/(G126+H126)</f>
        <v>0.44615384615384618</v>
      </c>
      <c r="H128" s="4">
        <f>H126/(G126+H126)</f>
        <v>0.55384615384615388</v>
      </c>
      <c r="J128" s="4">
        <f>J126/(J126+K126)</f>
        <v>0.47080439174315275</v>
      </c>
      <c r="K128" s="4">
        <f>K126/(J126+K126)</f>
        <v>0.52919560825684731</v>
      </c>
      <c r="M128" s="4">
        <f>M126/(M126+N126)</f>
        <v>0.48861588674665718</v>
      </c>
      <c r="N128" s="4">
        <f>N126/(M126+N126)</f>
        <v>0.51138411325334288</v>
      </c>
      <c r="P128" s="4">
        <f>P126/(P126+Q126)</f>
        <v>0.35702009429056636</v>
      </c>
      <c r="Q128" s="4">
        <f>Q126/(P126+Q126)</f>
        <v>0.64297990570943375</v>
      </c>
      <c r="S128" s="4">
        <f>S126/(S126+T126)</f>
        <v>0.79219799280605052</v>
      </c>
      <c r="T128" s="4">
        <f>T126/(S126+T126)</f>
        <v>0.2078020071939494</v>
      </c>
      <c r="V128" s="4">
        <f>V126/(V126+W126)</f>
        <v>0.58542403945975419</v>
      </c>
      <c r="W128" s="4">
        <f>W126/(V126+W126)</f>
        <v>0.41457596054024581</v>
      </c>
      <c r="Y128" s="4">
        <f>Y126/(Y126+Z126)</f>
        <v>0.55220543552753276</v>
      </c>
      <c r="Z128" s="4">
        <f>Z126/(Y126+Z126)</f>
        <v>0.44779456447246724</v>
      </c>
      <c r="AA128" s="38" t="s">
        <v>477</v>
      </c>
      <c r="AB128" s="42" t="s">
        <v>373</v>
      </c>
      <c r="AC128" s="43" t="s">
        <v>354</v>
      </c>
    </row>
    <row r="129" spans="1:30" ht="68" x14ac:dyDescent="0.2">
      <c r="A129" s="50" t="s">
        <v>417</v>
      </c>
      <c r="B129" s="38" t="s">
        <v>183</v>
      </c>
      <c r="C129" s="28" t="s">
        <v>174</v>
      </c>
      <c r="F129" s="10" t="s">
        <v>121</v>
      </c>
      <c r="G129" s="4">
        <f>MAX(G14-G28, 0)*G117</f>
        <v>4513584.2403750001</v>
      </c>
      <c r="H129" s="4">
        <f>MAX(H14-H28, 0)*H117</f>
        <v>12433601.4893</v>
      </c>
      <c r="J129" s="4">
        <f>MAX(J14-J28, 0)*J117</f>
        <v>4035039.8648233167</v>
      </c>
      <c r="K129" s="4">
        <f>MAX(K14-K28, 0)*K117</f>
        <v>11414597.812208308</v>
      </c>
      <c r="M129" s="4">
        <f>MAX(M14-M28, 0)*M117</f>
        <v>3516332.5365802972</v>
      </c>
      <c r="N129" s="4">
        <f>MAX(N14-N28, 0)*N117</f>
        <v>10361539.512973329</v>
      </c>
      <c r="P129" s="4">
        <f>MAX(P14-P28, 0)*P117</f>
        <v>2992454.3341056714</v>
      </c>
      <c r="Q129" s="4">
        <f>MAX(Q14-Q28, 0)*Q117</f>
        <v>9271395.2987972517</v>
      </c>
      <c r="S129" s="4">
        <f>MAX(S14-S28, 0)*S117</f>
        <v>2474015.3392973635</v>
      </c>
      <c r="T129" s="4">
        <f>MAX(T14-T28, 0)*T117</f>
        <v>8160406.3842944754</v>
      </c>
      <c r="V129" s="4">
        <f>MAX(V14-V28, 0)*V117</f>
        <v>1857328.2887372568</v>
      </c>
      <c r="W129" s="4">
        <f>MAX(W14-W28, 0)*W117</f>
        <v>6443988.3112147413</v>
      </c>
      <c r="Y129" s="4">
        <f>MAX(Y14-Y28, 0)*Y117</f>
        <v>1468232.3962543209</v>
      </c>
      <c r="Z129" s="4">
        <f>MAX(Z14-Z28, 0)*Z117</f>
        <v>5088667.5032287594</v>
      </c>
      <c r="AA129" s="38" t="s">
        <v>475</v>
      </c>
      <c r="AB129" s="42" t="s">
        <v>326</v>
      </c>
      <c r="AC129" s="43" t="s">
        <v>316</v>
      </c>
    </row>
    <row r="130" spans="1:30" x14ac:dyDescent="0.2">
      <c r="AB130" s="42"/>
      <c r="AC130" s="43"/>
    </row>
    <row r="131" spans="1:30" ht="17" x14ac:dyDescent="0.2">
      <c r="F131" s="15" t="s">
        <v>73</v>
      </c>
      <c r="G131" s="8"/>
      <c r="H131" s="8"/>
      <c r="J131" s="8"/>
      <c r="K131" s="8"/>
      <c r="M131" s="8"/>
      <c r="N131" s="8"/>
      <c r="P131" s="8"/>
      <c r="Q131" s="8"/>
      <c r="S131" s="8"/>
      <c r="T131" s="8"/>
      <c r="V131" s="8"/>
      <c r="W131" s="8"/>
      <c r="Y131" s="8"/>
      <c r="Z131" s="8"/>
      <c r="AB131" s="42"/>
      <c r="AC131" s="43"/>
    </row>
    <row r="132" spans="1:30" ht="52" customHeight="1" x14ac:dyDescent="0.2">
      <c r="A132" s="50" t="s">
        <v>417</v>
      </c>
      <c r="B132" s="38" t="s">
        <v>254</v>
      </c>
      <c r="C132" s="28" t="s">
        <v>174</v>
      </c>
      <c r="F132" s="14" t="s">
        <v>256</v>
      </c>
      <c r="G132" s="4">
        <f>MAX(G34-G127,0)</f>
        <v>1988625</v>
      </c>
      <c r="J132" s="4">
        <f>MAX(J34-J127,0)</f>
        <v>2037612.6936472128</v>
      </c>
      <c r="M132" s="4">
        <f>MAX(M34-M127,0)</f>
        <v>2099720.8485566238</v>
      </c>
      <c r="P132" s="4">
        <f>MAX(P34-P127,0)</f>
        <v>2194454.028310426</v>
      </c>
      <c r="S132" s="4">
        <f>MAX(S34-S127,0)</f>
        <v>2991012.8584611015</v>
      </c>
      <c r="V132" s="4">
        <f>MAX(V34-V127,0)</f>
        <v>24989532.219351497</v>
      </c>
      <c r="Y132" s="4">
        <f>MAX(Y34-Y127,0)</f>
        <v>2510157.8095502295</v>
      </c>
      <c r="AA132" s="38" t="s">
        <v>435</v>
      </c>
      <c r="AB132" s="42" t="s">
        <v>406</v>
      </c>
      <c r="AC132" s="43" t="s">
        <v>342</v>
      </c>
    </row>
    <row r="133" spans="1:30" x14ac:dyDescent="0.2">
      <c r="A133" s="50" t="s">
        <v>417</v>
      </c>
      <c r="B133" s="38" t="s">
        <v>483</v>
      </c>
      <c r="C133" s="28" t="s">
        <v>174</v>
      </c>
      <c r="F133" s="14"/>
      <c r="G133" s="4">
        <f>MIN(G132,G35*H79)</f>
        <v>0</v>
      </c>
      <c r="J133" s="4">
        <f>MIN(J132,J35*K79)</f>
        <v>0</v>
      </c>
      <c r="M133" s="4">
        <f>MIN(M132,M35*N79)</f>
        <v>0</v>
      </c>
      <c r="P133" s="4">
        <f>MIN(P132,P35*Q79)</f>
        <v>0</v>
      </c>
      <c r="S133" s="4">
        <f>MIN(S132,S35*T79)</f>
        <v>0</v>
      </c>
      <c r="V133" s="4">
        <f>MIN(V132,V35*W79)</f>
        <v>0</v>
      </c>
      <c r="Y133" s="4">
        <f>MIN(Y132,Y35*Z79)</f>
        <v>0</v>
      </c>
      <c r="AA133" s="38" t="s">
        <v>489</v>
      </c>
      <c r="AB133" s="42" t="s">
        <v>490</v>
      </c>
      <c r="AC133" s="43" t="s">
        <v>323</v>
      </c>
    </row>
    <row r="134" spans="1:30" ht="34" customHeight="1" x14ac:dyDescent="0.2">
      <c r="A134" s="50" t="s">
        <v>417</v>
      </c>
      <c r="B134" s="38" t="s">
        <v>255</v>
      </c>
      <c r="C134" s="28" t="s">
        <v>174</v>
      </c>
      <c r="F134" s="10" t="s">
        <v>165</v>
      </c>
      <c r="G134" s="4">
        <f>MIN(G144,MAX(G132-G133, 0))</f>
        <v>1988625</v>
      </c>
      <c r="J134" s="4">
        <f>MIN(J144,MAX(J132-J133, 0))</f>
        <v>2037612.6936472128</v>
      </c>
      <c r="M134" s="4">
        <f>MIN(M144,MAX(M132-M133, 0))</f>
        <v>2099720.8485566238</v>
      </c>
      <c r="P134" s="4">
        <f>MIN(P144,MAX(P132-P133, 0))</f>
        <v>2194454.028310426</v>
      </c>
      <c r="S134" s="4">
        <f>MIN(S144,MAX(S132-S133, 0))</f>
        <v>2991012.8584611015</v>
      </c>
      <c r="V134" s="4">
        <f>MIN(V144,MAX(V132-V133, 0))</f>
        <v>2349768.217245861</v>
      </c>
      <c r="Y134" s="4">
        <f>MIN(Y144,MAX(Y132-Y133, 0))</f>
        <v>388638.22348903998</v>
      </c>
      <c r="AA134" s="38" t="s">
        <v>488</v>
      </c>
      <c r="AB134" s="42" t="s">
        <v>407</v>
      </c>
      <c r="AC134" s="43" t="s">
        <v>323</v>
      </c>
    </row>
    <row r="135" spans="1:30" ht="34" customHeight="1" x14ac:dyDescent="0.2">
      <c r="A135" s="50" t="s">
        <v>417</v>
      </c>
      <c r="B135" s="38" t="s">
        <v>266</v>
      </c>
      <c r="C135" s="28" t="s">
        <v>174</v>
      </c>
      <c r="F135" s="10" t="s">
        <v>123</v>
      </c>
      <c r="G135" s="4">
        <f>G132-G133-G134</f>
        <v>0</v>
      </c>
      <c r="J135" s="4">
        <f>J132-J133-J134</f>
        <v>0</v>
      </c>
      <c r="M135" s="4">
        <f>M132-M133-M134</f>
        <v>0</v>
      </c>
      <c r="P135" s="4">
        <f>P132-P133-P134</f>
        <v>0</v>
      </c>
      <c r="S135" s="4">
        <f>S132-S133-S134</f>
        <v>0</v>
      </c>
      <c r="V135" s="4">
        <f>V132-V133-V134</f>
        <v>22639764.002105635</v>
      </c>
      <c r="Y135" s="4">
        <f>Y132-Y133-Y134</f>
        <v>2121519.5860611894</v>
      </c>
      <c r="AA135" s="38" t="s">
        <v>434</v>
      </c>
      <c r="AB135" s="42" t="s">
        <v>408</v>
      </c>
      <c r="AC135" s="43" t="s">
        <v>327</v>
      </c>
    </row>
    <row r="136" spans="1:30" ht="34" customHeight="1" x14ac:dyDescent="0.2">
      <c r="A136" s="50" t="s">
        <v>417</v>
      </c>
      <c r="B136" s="38" t="s">
        <v>484</v>
      </c>
      <c r="C136" s="28" t="s">
        <v>174</v>
      </c>
      <c r="F136" s="10" t="s">
        <v>146</v>
      </c>
      <c r="G136" s="4">
        <f>MIN(G135,H79-G133)</f>
        <v>0</v>
      </c>
      <c r="J136" s="4">
        <f>MIN(J135,K79-J133)</f>
        <v>0</v>
      </c>
      <c r="M136" s="4">
        <f>MIN(M135,N79-M133)</f>
        <v>0</v>
      </c>
      <c r="P136" s="4">
        <f>MIN(P135,Q79-P133)</f>
        <v>0</v>
      </c>
      <c r="S136" s="4">
        <f>MIN(S135,T79-S133)</f>
        <v>0</v>
      </c>
      <c r="V136" s="4">
        <f>MIN(V135,W79-V133)</f>
        <v>0</v>
      </c>
      <c r="Y136" s="4">
        <f>MIN(Y135,Z79-Y133)</f>
        <v>0</v>
      </c>
      <c r="AA136" s="38" t="s">
        <v>487</v>
      </c>
      <c r="AB136" s="42" t="s">
        <v>486</v>
      </c>
      <c r="AC136" s="43" t="s">
        <v>323</v>
      </c>
    </row>
    <row r="137" spans="1:30" ht="45" customHeight="1" x14ac:dyDescent="0.2">
      <c r="A137" s="50" t="s">
        <v>417</v>
      </c>
      <c r="B137" s="38" t="s">
        <v>262</v>
      </c>
      <c r="C137" s="28" t="s">
        <v>174</v>
      </c>
      <c r="F137" s="10" t="s">
        <v>120</v>
      </c>
      <c r="G137" s="4">
        <f>G145*G134</f>
        <v>529635.22104433016</v>
      </c>
      <c r="H137" s="4">
        <f>H145*G134</f>
        <v>1458989.7789556701</v>
      </c>
      <c r="J137" s="4">
        <f>J145*J134</f>
        <v>532170.95570853585</v>
      </c>
      <c r="K137" s="4">
        <f>K145*J134</f>
        <v>1505441.737938677</v>
      </c>
      <c r="M137" s="4">
        <f>M145*M134</f>
        <v>550789.80536667234</v>
      </c>
      <c r="N137" s="4">
        <f>N145*M134</f>
        <v>1548931.0431899517</v>
      </c>
      <c r="P137" s="4">
        <f>P145*P134</f>
        <v>557000.38851015724</v>
      </c>
      <c r="Q137" s="4">
        <f>Q145*P134</f>
        <v>1637453.6398002687</v>
      </c>
      <c r="S137" s="4">
        <f>S145*S134</f>
        <v>676930.2312938408</v>
      </c>
      <c r="T137" s="4">
        <f>T145*S134</f>
        <v>2314082.6271672607</v>
      </c>
      <c r="V137" s="4">
        <f>V145*V134</f>
        <v>457497.26325426705</v>
      </c>
      <c r="W137" s="4">
        <f>W145*V134</f>
        <v>1892270.9539915938</v>
      </c>
      <c r="Y137" s="4">
        <f>Y145*Y134</f>
        <v>52472.144479718736</v>
      </c>
      <c r="Z137" s="4">
        <f>Z145*Y134</f>
        <v>336166.07900932123</v>
      </c>
      <c r="AA137" s="38" t="s">
        <v>432</v>
      </c>
      <c r="AB137" s="42" t="s">
        <v>374</v>
      </c>
      <c r="AC137" s="43" t="s">
        <v>345</v>
      </c>
    </row>
    <row r="138" spans="1:30" ht="34" x14ac:dyDescent="0.2">
      <c r="A138" s="50" t="s">
        <v>417</v>
      </c>
      <c r="B138" s="38" t="s">
        <v>267</v>
      </c>
      <c r="C138" s="33" t="s">
        <v>163</v>
      </c>
      <c r="F138" s="10" t="s">
        <v>165</v>
      </c>
      <c r="G138" s="4">
        <f>G137</f>
        <v>529635.22104433016</v>
      </c>
      <c r="H138" s="4">
        <f>H137+G133+G136</f>
        <v>1458989.7789556701</v>
      </c>
      <c r="J138" s="4">
        <f>J137</f>
        <v>532170.95570853585</v>
      </c>
      <c r="K138" s="4">
        <f>K137+J133+J136</f>
        <v>1505441.737938677</v>
      </c>
      <c r="M138" s="4">
        <f>M137</f>
        <v>550789.80536667234</v>
      </c>
      <c r="N138" s="4">
        <f>N137+M133+M136</f>
        <v>1548931.0431899517</v>
      </c>
      <c r="P138" s="4">
        <f>P137</f>
        <v>557000.38851015724</v>
      </c>
      <c r="Q138" s="4">
        <f>Q137+P133+P136</f>
        <v>1637453.6398002687</v>
      </c>
      <c r="S138" s="4">
        <f>S137</f>
        <v>676930.2312938408</v>
      </c>
      <c r="T138" s="4">
        <f>T137+S133+S136</f>
        <v>2314082.6271672607</v>
      </c>
      <c r="V138" s="4">
        <f>V137</f>
        <v>457497.26325426705</v>
      </c>
      <c r="W138" s="4">
        <f>W137+V133+V136</f>
        <v>1892270.9539915938</v>
      </c>
      <c r="Y138" s="4">
        <f>Y137</f>
        <v>52472.144479718736</v>
      </c>
      <c r="Z138" s="4">
        <f>Z137+Y133+Y136</f>
        <v>336166.07900932123</v>
      </c>
      <c r="AA138" s="38" t="s">
        <v>433</v>
      </c>
      <c r="AB138" s="42" t="s">
        <v>437</v>
      </c>
      <c r="AC138" s="43" t="s">
        <v>345</v>
      </c>
    </row>
    <row r="139" spans="1:30" ht="17" x14ac:dyDescent="0.2">
      <c r="F139" s="15" t="s">
        <v>74</v>
      </c>
      <c r="G139" s="8"/>
      <c r="H139" s="8"/>
      <c r="J139" s="8"/>
      <c r="K139" s="8"/>
      <c r="M139" s="8"/>
      <c r="N139" s="8"/>
      <c r="P139" s="8"/>
      <c r="Q139" s="8"/>
      <c r="S139" s="8"/>
      <c r="T139" s="8"/>
      <c r="V139" s="8"/>
      <c r="W139" s="8"/>
      <c r="Y139" s="8"/>
      <c r="Z139" s="8"/>
      <c r="AB139" s="42"/>
      <c r="AC139" s="43"/>
    </row>
    <row r="140" spans="1:30" ht="119" x14ac:dyDescent="0.2">
      <c r="A140" s="50" t="s">
        <v>417</v>
      </c>
      <c r="B140" s="38" t="s">
        <v>270</v>
      </c>
      <c r="C140" s="28" t="s">
        <v>174</v>
      </c>
      <c r="F140" s="10" t="s">
        <v>137</v>
      </c>
      <c r="G140" s="4">
        <f>G117/$G$24</f>
        <v>1</v>
      </c>
      <c r="H140" s="4">
        <f>H117/$H$24</f>
        <v>1</v>
      </c>
      <c r="J140" s="4">
        <f>J117/$G$24</f>
        <v>0.8952116342841121</v>
      </c>
      <c r="K140" s="4">
        <f>K117/$H$24</f>
        <v>0.91854982240604577</v>
      </c>
      <c r="M140" s="4">
        <f>M117/$G$24</f>
        <v>0.78995136076604022</v>
      </c>
      <c r="N140" s="4">
        <f>N117/$H$24</f>
        <v>0.83420112677639169</v>
      </c>
      <c r="P140" s="4">
        <f>P117/$G$24</f>
        <v>0.681017640976468</v>
      </c>
      <c r="Q140" s="4">
        <f>Q117/$H$24</f>
        <v>0.74715264993241937</v>
      </c>
      <c r="S140" s="4">
        <f>S117/$G$24</f>
        <v>0.57085931969705117</v>
      </c>
      <c r="T140" s="4">
        <f>T117/$H$24</f>
        <v>0.6544689981823234</v>
      </c>
      <c r="V140" s="4">
        <f>V117/$G$24</f>
        <v>0.43663682585633068</v>
      </c>
      <c r="W140" s="4">
        <f>W117/$H$24</f>
        <v>0.51837579137580714</v>
      </c>
      <c r="Y140" s="4">
        <f>Y117/$G$24</f>
        <v>0.34596514607722179</v>
      </c>
      <c r="Z140" s="4">
        <f>Z117/$H$24</f>
        <v>0.40958701751064658</v>
      </c>
      <c r="AA140" s="38" t="s">
        <v>356</v>
      </c>
      <c r="AB140" s="42" t="s">
        <v>375</v>
      </c>
      <c r="AC140" s="43" t="s">
        <v>353</v>
      </c>
      <c r="AD140">
        <v>20</v>
      </c>
    </row>
    <row r="141" spans="1:30" ht="34" x14ac:dyDescent="0.2">
      <c r="A141" s="50" t="s">
        <v>417</v>
      </c>
      <c r="B141" s="38" t="s">
        <v>184</v>
      </c>
      <c r="C141" s="28" t="s">
        <v>174</v>
      </c>
      <c r="F141" s="10" t="s">
        <v>185</v>
      </c>
      <c r="G141" s="4">
        <f>MAX(MIN((G140-$G$18)/$G$19, 1), 0)</f>
        <v>1</v>
      </c>
      <c r="H141" s="4">
        <f>MAX(MIN((H140-$H$18)/$H$19, 1), 0)</f>
        <v>1</v>
      </c>
      <c r="J141" s="4">
        <f>MAX(MIN((J140-$G$18)/$G$19, 1), 0)</f>
        <v>1</v>
      </c>
      <c r="K141" s="4">
        <f>MAX(MIN((K140-$H$18)/$H$19, 1), 0)</f>
        <v>1</v>
      </c>
      <c r="M141" s="4">
        <f>MAX(MIN((M140-$G$18)/$G$19, 1), 0)</f>
        <v>1</v>
      </c>
      <c r="N141" s="4">
        <f>MAX(MIN((N140-$H$18)/$H$19, 1), 0)</f>
        <v>0.95435915135809635</v>
      </c>
      <c r="P141" s="4">
        <f>MAX(MIN((P140-$G$18)/$G$19, 1), 0)</f>
        <v>0.81388590259622062</v>
      </c>
      <c r="Q141" s="4">
        <f>MAX(MIN((Q140-$H$18)/$H$19, 1), 0)</f>
        <v>0.77225276927863951</v>
      </c>
      <c r="S141" s="4">
        <f>MAX(MIN((S140-$G$18)/$G$19, 1), 0)</f>
        <v>0.55804708982295081</v>
      </c>
      <c r="T141" s="4">
        <f>MAX(MIN((T140-$H$18)/$H$19, 1), 0)</f>
        <v>0.57835753859728811</v>
      </c>
      <c r="V141" s="4">
        <f>MAX(MIN((V140-$G$18)/$G$19, 1), 0)</f>
        <v>0.2463200856997155</v>
      </c>
      <c r="W141" s="4">
        <f>MAX(MIN((W140-$H$18)/$H$19, 1), 0)</f>
        <v>0.29364903575296619</v>
      </c>
      <c r="Y141" s="4">
        <f>MAX(MIN((Y140-$G$18)/$G$19, 1), 0)</f>
        <v>3.5738309966176322E-2</v>
      </c>
      <c r="Z141" s="4">
        <f>MAX(MIN((Z140-$H$18)/$H$19, 1), 0)</f>
        <v>6.6061710417515754E-2</v>
      </c>
      <c r="AA141" s="39" t="s">
        <v>330</v>
      </c>
      <c r="AB141" s="42" t="s">
        <v>376</v>
      </c>
      <c r="AC141" s="43" t="s">
        <v>353</v>
      </c>
      <c r="AD141">
        <v>20</v>
      </c>
    </row>
    <row r="142" spans="1:30" x14ac:dyDescent="0.2">
      <c r="B142" s="38"/>
      <c r="AA142" s="38"/>
      <c r="AB142" s="42"/>
      <c r="AC142" s="43"/>
      <c r="AD142">
        <v>20</v>
      </c>
    </row>
    <row r="143" spans="1:30" ht="51" x14ac:dyDescent="0.2">
      <c r="A143" s="50" t="s">
        <v>417</v>
      </c>
      <c r="B143" s="38" t="s">
        <v>186</v>
      </c>
      <c r="C143" s="28" t="s">
        <v>174</v>
      </c>
      <c r="F143" s="10" t="s">
        <v>76</v>
      </c>
      <c r="G143" s="4">
        <f>G129*G141</f>
        <v>4513584.2403750001</v>
      </c>
      <c r="H143" s="4">
        <f>H129*H141</f>
        <v>12433601.4893</v>
      </c>
      <c r="J143" s="4">
        <f>J129*J141</f>
        <v>4035039.8648233167</v>
      </c>
      <c r="K143" s="4">
        <f>K129*K141</f>
        <v>11414597.812208308</v>
      </c>
      <c r="M143" s="4">
        <f>M129*M141</f>
        <v>3516332.5365802972</v>
      </c>
      <c r="N143" s="4">
        <f>N129*N141</f>
        <v>9888630.0563646089</v>
      </c>
      <c r="P143" s="4">
        <f>P129*P141</f>
        <v>2435516.3966915668</v>
      </c>
      <c r="Q143" s="4">
        <f>Q129*Q141</f>
        <v>7159860.694573137</v>
      </c>
      <c r="S143" s="4">
        <f>S129*S141</f>
        <v>1380617.060272234</v>
      </c>
      <c r="T143" s="4">
        <f>T129*T141</f>
        <v>4719632.5503741484</v>
      </c>
      <c r="V143" s="4">
        <f>V129*V141</f>
        <v>457497.26325426705</v>
      </c>
      <c r="W143" s="4">
        <f>W129*W141</f>
        <v>1892270.9539915938</v>
      </c>
      <c r="Y143" s="4">
        <f>Y129*Y141</f>
        <v>52472.144479718736</v>
      </c>
      <c r="Z143" s="4">
        <f>Z129*Z141</f>
        <v>336166.07900932123</v>
      </c>
      <c r="AA143" s="38" t="s">
        <v>476</v>
      </c>
      <c r="AB143" s="42" t="s">
        <v>377</v>
      </c>
      <c r="AC143" s="43" t="s">
        <v>316</v>
      </c>
      <c r="AD143">
        <v>20</v>
      </c>
    </row>
    <row r="144" spans="1:30" ht="34" x14ac:dyDescent="0.2">
      <c r="A144" s="50" t="s">
        <v>417</v>
      </c>
      <c r="B144" s="38" t="s">
        <v>187</v>
      </c>
      <c r="C144" s="28" t="s">
        <v>174</v>
      </c>
      <c r="F144" s="10" t="s">
        <v>122</v>
      </c>
      <c r="G144" s="4">
        <f>G143+H143</f>
        <v>16947185.729674999</v>
      </c>
      <c r="H144" s="4">
        <f>G144</f>
        <v>16947185.729674999</v>
      </c>
      <c r="J144" s="4">
        <f>J143+K143</f>
        <v>15449637.677031625</v>
      </c>
      <c r="K144" s="4">
        <f>J144</f>
        <v>15449637.677031625</v>
      </c>
      <c r="M144" s="4">
        <f>M143+N143</f>
        <v>13404962.592944905</v>
      </c>
      <c r="N144" s="4">
        <f>M144</f>
        <v>13404962.592944905</v>
      </c>
      <c r="P144" s="4">
        <f>P143+Q143</f>
        <v>9595377.0912647042</v>
      </c>
      <c r="Q144" s="4">
        <f>P144</f>
        <v>9595377.0912647042</v>
      </c>
      <c r="S144" s="4">
        <f>S143+T143</f>
        <v>6100249.610646382</v>
      </c>
      <c r="T144" s="4">
        <f>S144</f>
        <v>6100249.610646382</v>
      </c>
      <c r="V144" s="4">
        <f>V143+W143</f>
        <v>2349768.217245861</v>
      </c>
      <c r="W144" s="4">
        <f>V144</f>
        <v>2349768.217245861</v>
      </c>
      <c r="Y144" s="4">
        <f>Y143+Z143</f>
        <v>388638.22348903998</v>
      </c>
      <c r="Z144" s="4">
        <f>Y144</f>
        <v>388638.22348903998</v>
      </c>
      <c r="AA144" s="38" t="s">
        <v>479</v>
      </c>
      <c r="AB144" s="42" t="s">
        <v>328</v>
      </c>
      <c r="AC144" s="43" t="s">
        <v>480</v>
      </c>
    </row>
    <row r="145" spans="1:29" ht="34" x14ac:dyDescent="0.2">
      <c r="A145" s="50" t="s">
        <v>417</v>
      </c>
      <c r="B145" s="38" t="s">
        <v>188</v>
      </c>
      <c r="C145" s="28" t="s">
        <v>174</v>
      </c>
      <c r="F145" s="10" t="s">
        <v>119</v>
      </c>
      <c r="G145" s="4">
        <f>G143/G144</f>
        <v>0.26633237591015407</v>
      </c>
      <c r="H145" s="4">
        <f>H143/H144</f>
        <v>0.73366762408984598</v>
      </c>
      <c r="J145" s="4">
        <f>J143/J144</f>
        <v>0.26117375366168316</v>
      </c>
      <c r="K145" s="4">
        <f>K143/K144</f>
        <v>0.73882624633831684</v>
      </c>
      <c r="M145" s="4">
        <f>M143/M144</f>
        <v>0.26231572913384776</v>
      </c>
      <c r="N145" s="4">
        <f>N143/N144</f>
        <v>0.73768427086615229</v>
      </c>
      <c r="P145" s="4">
        <f>P143/P144</f>
        <v>0.25382185332859675</v>
      </c>
      <c r="Q145" s="4">
        <f>Q143/Q144</f>
        <v>0.74617814667140325</v>
      </c>
      <c r="S145" s="4">
        <f>S143/S144</f>
        <v>0.22632140459674469</v>
      </c>
      <c r="T145" s="4">
        <f>T143/T144</f>
        <v>0.77367859540325534</v>
      </c>
      <c r="V145" s="4">
        <f>V143/V144</f>
        <v>0.19469888982943809</v>
      </c>
      <c r="W145" s="4">
        <f>W143/W144</f>
        <v>0.80530111017056183</v>
      </c>
      <c r="Y145" s="4">
        <f>Y143/Y144</f>
        <v>0.13501539814752295</v>
      </c>
      <c r="Z145" s="4">
        <f>Z143/Z144</f>
        <v>0.86498460185247705</v>
      </c>
      <c r="AA145" s="38" t="s">
        <v>329</v>
      </c>
      <c r="AB145" s="42" t="s">
        <v>378</v>
      </c>
      <c r="AC145" s="43" t="s">
        <v>354</v>
      </c>
    </row>
    <row r="146" spans="1:29" x14ac:dyDescent="0.2">
      <c r="AB146" s="42"/>
      <c r="AC146" s="43"/>
    </row>
    <row r="147" spans="1:29" ht="17" x14ac:dyDescent="0.2">
      <c r="F147" s="15" t="s">
        <v>250</v>
      </c>
      <c r="G147" s="8"/>
      <c r="H147" s="8"/>
      <c r="J147" s="8"/>
      <c r="K147" s="8"/>
      <c r="M147" s="8"/>
      <c r="N147" s="8"/>
      <c r="P147" s="8"/>
      <c r="Q147" s="8"/>
      <c r="S147" s="8"/>
      <c r="T147" s="8"/>
      <c r="V147" s="8"/>
      <c r="W147" s="8"/>
      <c r="Y147" s="8"/>
      <c r="Z147" s="8"/>
      <c r="AB147" s="42"/>
      <c r="AC147" s="43"/>
    </row>
    <row r="148" spans="1:29" ht="51" x14ac:dyDescent="0.2">
      <c r="A148" s="50" t="s">
        <v>417</v>
      </c>
      <c r="B148" s="38" t="s">
        <v>268</v>
      </c>
      <c r="C148" s="33" t="s">
        <v>163</v>
      </c>
      <c r="F148" s="10" t="s">
        <v>201</v>
      </c>
      <c r="G148" s="4">
        <f>(G115 - G137 - G124)*$G$31</f>
        <v>10931.697702960402</v>
      </c>
      <c r="H148" s="4">
        <f>(H115 - H137 - H124)*$H$31+H97</f>
        <v>36943.686047039599</v>
      </c>
      <c r="J148" s="4">
        <f>(J115 - J137 - J124)*$G$31</f>
        <v>10088.976214210876</v>
      </c>
      <c r="K148" s="4">
        <f>(K115 - K137 - K124)*$H$31+K97</f>
        <v>34866.701411741393</v>
      </c>
      <c r="M148" s="4">
        <f>(M115 - M137 - M124)*$G$31</f>
        <v>9220.1553859644791</v>
      </c>
      <c r="N148" s="4">
        <f>(N115 - N137 - N124)*$H$31+N97</f>
        <v>32727.700888143867</v>
      </c>
      <c r="P148" s="4">
        <f>(P115 - P137 - P124)*$G$31</f>
        <v>8341.6941718801863</v>
      </c>
      <c r="Q148" s="4">
        <f>(Q115 - Q137 - Q124)*$H$31+Q97</f>
        <v>30440.781724683824</v>
      </c>
      <c r="S148" s="4">
        <f>(S115 - S137 - S124)*$G$31</f>
        <v>7272.4695733040871</v>
      </c>
      <c r="T148" s="4">
        <f>(T115 - T137 - T124)*$H$31+T97</f>
        <v>27115.480226723997</v>
      </c>
      <c r="V148" s="4">
        <f>(V115 - V137 - V124)*$G$31</f>
        <v>6551.7956953686007</v>
      </c>
      <c r="W148" s="4">
        <f>(W115 - W137 - W124)*$H$31+W97</f>
        <v>24450.873774900079</v>
      </c>
      <c r="Y148" s="4">
        <f>(Y115 - Y137 - Y124)*$G$31</f>
        <v>6466.2561670936466</v>
      </c>
      <c r="Z148" s="4">
        <f>(Z115 - Z137 - Z124)*$H$31+Z97</f>
        <v>24233.450635277597</v>
      </c>
      <c r="AA148" s="38" t="s">
        <v>445</v>
      </c>
      <c r="AB148" s="42" t="s">
        <v>379</v>
      </c>
      <c r="AC148" s="43" t="s">
        <v>312</v>
      </c>
    </row>
    <row r="149" spans="1:29" x14ac:dyDescent="0.2">
      <c r="A149" s="50" t="s">
        <v>417</v>
      </c>
      <c r="B149" s="38" t="s">
        <v>284</v>
      </c>
      <c r="C149" s="33" t="s">
        <v>163</v>
      </c>
      <c r="G149" s="4">
        <f>G148*$G22</f>
        <v>3279.5093108881206</v>
      </c>
      <c r="H149" s="4">
        <f>H148*$H22</f>
        <v>9235.9215117598997</v>
      </c>
      <c r="J149" s="4">
        <f>J148*$G22</f>
        <v>3026.6928642632624</v>
      </c>
      <c r="K149" s="4">
        <f>K148*$H22</f>
        <v>8716.6753529353482</v>
      </c>
      <c r="M149" s="4">
        <f>M148*$G22</f>
        <v>2766.0466157893438</v>
      </c>
      <c r="N149" s="4">
        <f>N148*$H22</f>
        <v>8181.9252220359667</v>
      </c>
      <c r="P149" s="4">
        <f>P148*$G22</f>
        <v>2502.5082515640556</v>
      </c>
      <c r="Q149" s="4">
        <f>Q148*$H22</f>
        <v>7610.195431170956</v>
      </c>
      <c r="S149" s="4">
        <f>S148*$G22</f>
        <v>2181.740871991226</v>
      </c>
      <c r="T149" s="4">
        <f>T148*$H22</f>
        <v>6778.8700566809994</v>
      </c>
      <c r="V149" s="4">
        <f>V148*$G22</f>
        <v>1965.5387086105802</v>
      </c>
      <c r="W149" s="4">
        <f>W148*$H22</f>
        <v>6112.7184437250198</v>
      </c>
      <c r="Y149" s="4">
        <f>Y148*$G22</f>
        <v>1939.8768501280938</v>
      </c>
      <c r="Z149" s="4">
        <f>Z148*$H22</f>
        <v>6058.3626588193993</v>
      </c>
      <c r="AA149" s="38" t="s">
        <v>446</v>
      </c>
      <c r="AB149" s="42" t="s">
        <v>380</v>
      </c>
      <c r="AC149" s="43" t="s">
        <v>312</v>
      </c>
    </row>
    <row r="150" spans="1:29" ht="51" x14ac:dyDescent="0.2">
      <c r="A150" s="50" t="s">
        <v>417</v>
      </c>
      <c r="B150" s="38" t="s">
        <v>269</v>
      </c>
      <c r="C150" s="33" t="s">
        <v>163</v>
      </c>
      <c r="F150" s="14" t="s">
        <v>213</v>
      </c>
      <c r="G150" s="4">
        <f>G137*$G22</f>
        <v>158890.56631329903</v>
      </c>
      <c r="H150" s="4">
        <f>(H137+G133+G136)*$H22</f>
        <v>364747.44473891752</v>
      </c>
      <c r="J150" s="4">
        <f>J137*$G22</f>
        <v>159651.28671256074</v>
      </c>
      <c r="K150" s="4">
        <f>(K137+J133+J136)*$H22</f>
        <v>376360.43448466924</v>
      </c>
      <c r="M150" s="4">
        <f>M137*$G22</f>
        <v>165236.9416100017</v>
      </c>
      <c r="N150" s="4">
        <f>(N137+M133+M136)*$H22</f>
        <v>387232.76079748792</v>
      </c>
      <c r="P150" s="4">
        <f>P137*$G22</f>
        <v>167100.11655304718</v>
      </c>
      <c r="Q150" s="4">
        <f>(Q137+P133+P136)*$H22</f>
        <v>409363.40995006717</v>
      </c>
      <c r="S150" s="4">
        <f>S137*$G22</f>
        <v>203079.06938815225</v>
      </c>
      <c r="T150" s="4">
        <f>(T137+S133+S136)*$H22</f>
        <v>578520.65679181518</v>
      </c>
      <c r="V150" s="4">
        <f>V137*$G22</f>
        <v>137249.17897628012</v>
      </c>
      <c r="W150" s="4">
        <f>(W137+V133+V136)*$H22</f>
        <v>473067.73849789845</v>
      </c>
      <c r="Y150" s="4">
        <f>Y137*$G22</f>
        <v>15741.643343915621</v>
      </c>
      <c r="Z150" s="4">
        <f>(Z137+Y133+Y136)*$H22</f>
        <v>84041.519752330307</v>
      </c>
      <c r="AA150" s="38" t="s">
        <v>333</v>
      </c>
      <c r="AB150" s="42" t="s">
        <v>381</v>
      </c>
      <c r="AC150" s="43" t="s">
        <v>312</v>
      </c>
    </row>
    <row r="151" spans="1:29" ht="34" x14ac:dyDescent="0.2">
      <c r="A151" s="50" t="s">
        <v>417</v>
      </c>
      <c r="B151" s="38" t="s">
        <v>176</v>
      </c>
      <c r="C151" s="33" t="s">
        <v>163</v>
      </c>
      <c r="F151" s="10" t="s">
        <v>166</v>
      </c>
      <c r="G151" s="4">
        <f>G124-G127*G128-G125</f>
        <v>2175</v>
      </c>
      <c r="H151" s="4">
        <f>H124-G127*H128-H125+H56</f>
        <v>2700</v>
      </c>
      <c r="J151" s="4">
        <f>J124-J127*J128-J125</f>
        <v>2499.4278140400493</v>
      </c>
      <c r="K151" s="4">
        <f>K124-J127*K128-K125+K56</f>
        <v>2809.4177657259334</v>
      </c>
      <c r="M151" s="4">
        <f>M124-M127*M128-M125</f>
        <v>2152.52429893215</v>
      </c>
      <c r="N151" s="4">
        <f>N124-M127*N128-N125+N56</f>
        <v>2252.8263196575672</v>
      </c>
      <c r="P151" s="4">
        <f>P124-P127*P128-P125</f>
        <v>2378.667547907201</v>
      </c>
      <c r="Q151" s="4">
        <f>Q124-P127*Q128-Q125+Q56</f>
        <v>4283.8917476244524</v>
      </c>
      <c r="S151" s="4">
        <f>S124-S127*S128-S125</f>
        <v>3051.2552092196693</v>
      </c>
      <c r="T151" s="4">
        <f>T124-S127*T128-T125+T56</f>
        <v>800.37687887966456</v>
      </c>
      <c r="V151" s="4">
        <f>V124-V127*V128-V125</f>
        <v>2626.324470611311</v>
      </c>
      <c r="W151" s="4">
        <f>W124-V127*W128-W125+W56</f>
        <v>1859.8672358907961</v>
      </c>
      <c r="Y151" s="4">
        <f>Y124-Y127*Y128-Y125</f>
        <v>2329.2475987972985</v>
      </c>
      <c r="Z151" s="4">
        <f>Z124-Y127*Z128-Z125+Z56</f>
        <v>1888.8340225328548</v>
      </c>
      <c r="AA151" s="38" t="s">
        <v>334</v>
      </c>
      <c r="AB151" s="42" t="s">
        <v>382</v>
      </c>
      <c r="AC151" s="43" t="s">
        <v>312</v>
      </c>
    </row>
    <row r="152" spans="1:29" ht="34" x14ac:dyDescent="0.2">
      <c r="A152" s="50" t="s">
        <v>417</v>
      </c>
      <c r="B152" s="38" t="s">
        <v>177</v>
      </c>
      <c r="C152" s="33" t="s">
        <v>163</v>
      </c>
      <c r="F152" s="10" t="s">
        <v>167</v>
      </c>
      <c r="G152" s="4">
        <f>MAX((G124 - G125)*$G22-G17*G9,0)</f>
        <v>2128.25</v>
      </c>
      <c r="H152" s="4">
        <f>MAX((H124-H125+H56)*$H22-H17*H9,0)</f>
        <v>2058</v>
      </c>
      <c r="J152" s="4">
        <f>MAX((J124 - J125)*$G22-J17*J9,0)</f>
        <v>2440.2984140400481</v>
      </c>
      <c r="K152" s="4">
        <f>MAX((K124-K125+K56)*$H22-K17*K9,0)</f>
        <v>2134.2054714382775</v>
      </c>
      <c r="M152" s="4">
        <f>MAX((M124 - M125)*$G22-M17*M9,0)</f>
        <v>2096.1250989321488</v>
      </c>
      <c r="N152" s="4">
        <f>MAX((N124-N125+N56)*$H22-N17*N9,0)</f>
        <v>1700.4848663813059</v>
      </c>
      <c r="P152" s="4">
        <f>MAX((P124 - P125)*$G22-P17*P9,0)</f>
        <v>2317.1445479071999</v>
      </c>
      <c r="Q152" s="4">
        <f>MAX((Q124-Q125+Q56)*$H22-Q17*Q9,0)</f>
        <v>3204.9561896870446</v>
      </c>
      <c r="S152" s="4">
        <f>MAX((S124 - S125)*$G22-S17*S9,0)</f>
        <v>2954.0152092196686</v>
      </c>
      <c r="T152" s="4">
        <f>MAX((T124-T125+T56)*$H22-T17*T9,0)</f>
        <v>591.35193239972011</v>
      </c>
      <c r="V152" s="4">
        <f>MAX((V124 - V125)*$G22-V17*V9,0)</f>
        <v>2551.1878706113116</v>
      </c>
      <c r="W152" s="4">
        <f>MAX((W124-W125+W56)*$H22-W17*W9,0)</f>
        <v>1328.1293632423296</v>
      </c>
      <c r="Y152" s="4">
        <f>MAX((Y124 - Y125)*$G22-Y17*Y9,0)</f>
        <v>2235.7849987972986</v>
      </c>
      <c r="Z152" s="4">
        <f>MAX((Z124-Z125+Z56)*$H22-Z17*Z9,0)</f>
        <v>1373.5803521107118</v>
      </c>
      <c r="AA152" s="38" t="s">
        <v>331</v>
      </c>
      <c r="AB152" s="42" t="s">
        <v>383</v>
      </c>
      <c r="AC152" s="43" t="s">
        <v>312</v>
      </c>
    </row>
    <row r="153" spans="1:29" x14ac:dyDescent="0.2">
      <c r="A153" s="50" t="s">
        <v>417</v>
      </c>
      <c r="B153" s="38" t="s">
        <v>283</v>
      </c>
      <c r="C153" s="33" t="s">
        <v>163</v>
      </c>
      <c r="G153" s="4">
        <f>J114*J7*(1+$G22)</f>
        <v>19480.5</v>
      </c>
      <c r="H153" s="4">
        <f>(K114*K7+SUMPRODUCT(H40:H43,H88:H91))*(1+$H22)</f>
        <v>287385</v>
      </c>
      <c r="J153" s="4">
        <f>M114*M7*(1+$G22)</f>
        <v>19456.32</v>
      </c>
      <c r="K153" s="4">
        <f>(N114*N7+SUMPRODUCT(K40:K43,K88:K91))*(1+$H22)</f>
        <v>287259.5625</v>
      </c>
      <c r="M153" s="4">
        <f>P114*P7*(1+$G22)</f>
        <v>19433.7</v>
      </c>
      <c r="N153" s="4">
        <f>(Q114*Q7+SUMPRODUCT(N40:N43,N88:N91))*(1+$H22)</f>
        <v>287156.71250000002</v>
      </c>
      <c r="P153" s="4">
        <f>S114*S7*(1+$G22)</f>
        <v>19406.400000000001</v>
      </c>
      <c r="Q153" s="4">
        <f>(T114*T7+SUMPRODUCT(Q40:Q43,Q88:Q91))*(1+$H22)</f>
        <v>286948.5</v>
      </c>
      <c r="S153" s="4">
        <f>V114*V7*(1+$G22)</f>
        <v>19367.400000000001</v>
      </c>
      <c r="T153" s="4">
        <f>(W114*W7+SUMPRODUCT(T40:T43,T88:T91))*(1+$H22)</f>
        <v>286924.28750000003</v>
      </c>
      <c r="V153" s="4">
        <f>Y114*Y7*(1+$G22)</f>
        <v>16645.359726367005</v>
      </c>
      <c r="W153" s="4">
        <f>(Z114*Z7+SUMPRODUCT(W40:W43,W88:W91))*(1+$H22)</f>
        <v>286838.73750000005</v>
      </c>
      <c r="Y153" s="4" t="e">
        <f>AB114*AB7*(1+$G22)</f>
        <v>#VALUE!</v>
      </c>
      <c r="Z153" s="4" t="e">
        <f>(AC114*AC7+SUMPRODUCT(Z40:Z43,Z88:Z91))*(1+$H22)</f>
        <v>#VALUE!</v>
      </c>
      <c r="AA153" s="38" t="s">
        <v>335</v>
      </c>
      <c r="AB153" s="42" t="s">
        <v>384</v>
      </c>
      <c r="AC153" s="43" t="s">
        <v>339</v>
      </c>
    </row>
    <row r="154" spans="1:29" x14ac:dyDescent="0.2">
      <c r="AB154" s="42"/>
      <c r="AC154" s="43"/>
    </row>
    <row r="155" spans="1:29" x14ac:dyDescent="0.2">
      <c r="AB155" s="42"/>
      <c r="AC155" s="43"/>
    </row>
    <row r="156" spans="1:29" x14ac:dyDescent="0.2">
      <c r="B156" s="24" t="s">
        <v>261</v>
      </c>
      <c r="G156" s="4">
        <f>G151+G125</f>
        <v>2425</v>
      </c>
      <c r="H156" s="4">
        <f>H151+H125</f>
        <v>3700</v>
      </c>
      <c r="J156" s="4">
        <f>J151+J125</f>
        <v>2815.6278140400491</v>
      </c>
      <c r="K156" s="4">
        <f>K151+K125</f>
        <v>3887.4177657259334</v>
      </c>
      <c r="M156" s="4">
        <f>M151+M125</f>
        <v>2454.1242989321499</v>
      </c>
      <c r="N156" s="4">
        <f>N151+N125</f>
        <v>3174.026319657567</v>
      </c>
      <c r="P156" s="4">
        <f>P151+P125</f>
        <v>2707.667547907201</v>
      </c>
      <c r="Q156" s="4">
        <f>Q151+Q125</f>
        <v>6184.6917476244525</v>
      </c>
      <c r="S156" s="4">
        <f>S151+S125</f>
        <v>3571.2552092196693</v>
      </c>
      <c r="T156" s="4">
        <f>T151+T125</f>
        <v>1194.2768788796645</v>
      </c>
      <c r="V156" s="4">
        <f>V151+V125</f>
        <v>3028.1244706113112</v>
      </c>
      <c r="W156" s="4">
        <f>W151+W125</f>
        <v>3014.8672358907961</v>
      </c>
      <c r="Y156" s="4">
        <f>Y151+Y125</f>
        <v>2829.0475987972986</v>
      </c>
      <c r="Z156" s="4">
        <f>Z151+Z125</f>
        <v>2932.8340225328548</v>
      </c>
      <c r="AB156" s="42"/>
      <c r="AC156" s="43"/>
    </row>
    <row r="157" spans="1:29" x14ac:dyDescent="0.2">
      <c r="AB157" s="42"/>
      <c r="AC157" s="43"/>
    </row>
    <row r="158" spans="1:29" x14ac:dyDescent="0.2">
      <c r="A158" s="50" t="s">
        <v>417</v>
      </c>
      <c r="B158" s="38" t="s">
        <v>271</v>
      </c>
      <c r="C158" s="33" t="s">
        <v>163</v>
      </c>
      <c r="G158" s="4">
        <f>G127+G133+G136+G137+H137</f>
        <v>2000000.0000000002</v>
      </c>
      <c r="J158" s="4">
        <f>J127+J133+J136+J137+K137</f>
        <v>2050000</v>
      </c>
      <c r="M158" s="4">
        <f>M127+M133+M136+M137+N137</f>
        <v>2110000</v>
      </c>
      <c r="P158" s="4">
        <f>P127+P133+P136+P137+Q137</f>
        <v>2210000</v>
      </c>
      <c r="S158" s="4">
        <f>S127+S133+S136+S137+T137</f>
        <v>3000000</v>
      </c>
      <c r="V158" s="4">
        <f>V127+V133+V136+V137+W137</f>
        <v>2360235.9978943658</v>
      </c>
      <c r="Y158" s="4">
        <f>Y127+Y133+Y136+Y137+Z137</f>
        <v>398480.41393881035</v>
      </c>
      <c r="AA158" s="38" t="s">
        <v>336</v>
      </c>
      <c r="AB158" s="42" t="s">
        <v>409</v>
      </c>
      <c r="AC158" s="43" t="s">
        <v>346</v>
      </c>
    </row>
    <row r="159" spans="1:29" x14ac:dyDescent="0.2">
      <c r="G159" s="4">
        <f>G158/G34</f>
        <v>1.0000000000000002</v>
      </c>
      <c r="J159" s="4">
        <f>J158/J34</f>
        <v>1</v>
      </c>
      <c r="M159" s="4">
        <f>M158/M34</f>
        <v>1</v>
      </c>
      <c r="P159" s="4">
        <f>P158/P34</f>
        <v>1</v>
      </c>
      <c r="S159" s="4">
        <f>S158/S34</f>
        <v>1</v>
      </c>
      <c r="V159" s="4">
        <f>V158/V34</f>
        <v>9.4409439915774634E-2</v>
      </c>
      <c r="Y159" s="4">
        <f>Y158/Y34</f>
        <v>0.15812714838841679</v>
      </c>
      <c r="AA159" s="38"/>
      <c r="AB159" s="42"/>
      <c r="AC159" s="43"/>
    </row>
    <row r="160" spans="1:29" x14ac:dyDescent="0.2">
      <c r="B160" s="38" t="s">
        <v>357</v>
      </c>
      <c r="C160" s="31" t="s">
        <v>162</v>
      </c>
      <c r="AA160" s="38" t="s">
        <v>358</v>
      </c>
      <c r="AB160" s="42" t="s">
        <v>359</v>
      </c>
      <c r="AC160" s="43" t="s">
        <v>360</v>
      </c>
    </row>
    <row r="161" spans="2:30" x14ac:dyDescent="0.2">
      <c r="B161" s="38"/>
      <c r="AA161" s="38"/>
      <c r="AB161" s="42"/>
      <c r="AC161" s="43"/>
    </row>
    <row r="162" spans="2:30" x14ac:dyDescent="0.2">
      <c r="AA162" s="38"/>
      <c r="AB162" s="42"/>
      <c r="AC162" s="43"/>
    </row>
    <row r="163" spans="2:30" x14ac:dyDescent="0.2">
      <c r="AA163" s="38"/>
      <c r="AB163" s="42"/>
      <c r="AC163" s="43"/>
    </row>
    <row r="164" spans="2:30" x14ac:dyDescent="0.2">
      <c r="AA164" s="38"/>
      <c r="AB164" s="42"/>
      <c r="AC164" s="43"/>
      <c r="AD164">
        <v>20</v>
      </c>
    </row>
    <row r="165" spans="2:30" x14ac:dyDescent="0.2">
      <c r="AA165" s="38"/>
      <c r="AB165" s="42"/>
      <c r="AC165" s="43"/>
      <c r="AD165">
        <v>20</v>
      </c>
    </row>
    <row r="166" spans="2:30" x14ac:dyDescent="0.2">
      <c r="AA166" s="38"/>
      <c r="AB166" s="42"/>
      <c r="AC166" s="43"/>
      <c r="AD166">
        <v>20</v>
      </c>
    </row>
    <row r="167" spans="2:30" x14ac:dyDescent="0.2">
      <c r="AA167" s="38"/>
      <c r="AB167" s="42"/>
      <c r="AC167" s="43"/>
    </row>
    <row r="168" spans="2:30" x14ac:dyDescent="0.2">
      <c r="AA168" s="38"/>
      <c r="AB168" s="42"/>
      <c r="AC168" s="43"/>
    </row>
  </sheetData>
  <mergeCells count="36">
    <mergeCell ref="B104:B107"/>
    <mergeCell ref="C104:C107"/>
    <mergeCell ref="B51:B54"/>
    <mergeCell ref="C51:C54"/>
    <mergeCell ref="E51:E54"/>
    <mergeCell ref="C81:C85"/>
    <mergeCell ref="C88:C91"/>
    <mergeCell ref="B99:B102"/>
    <mergeCell ref="C99:C102"/>
    <mergeCell ref="B93:B96"/>
    <mergeCell ref="C93:C96"/>
    <mergeCell ref="B75:B78"/>
    <mergeCell ref="C75:C78"/>
    <mergeCell ref="C40:C43"/>
    <mergeCell ref="C64:C67"/>
    <mergeCell ref="B70:B73"/>
    <mergeCell ref="C70:C73"/>
    <mergeCell ref="C45:C48"/>
    <mergeCell ref="B45:B48"/>
    <mergeCell ref="B64:B67"/>
    <mergeCell ref="B58:B61"/>
    <mergeCell ref="C58:C61"/>
    <mergeCell ref="AE4:AG4"/>
    <mergeCell ref="I2:J2"/>
    <mergeCell ref="I3:J3"/>
    <mergeCell ref="J5:K5"/>
    <mergeCell ref="M5:N5"/>
    <mergeCell ref="E19:E20"/>
    <mergeCell ref="E72:E74"/>
    <mergeCell ref="E77:E80"/>
    <mergeCell ref="Y5:Z5"/>
    <mergeCell ref="P5:Q5"/>
    <mergeCell ref="S5:T5"/>
    <mergeCell ref="V5:W5"/>
    <mergeCell ref="G5:H5"/>
    <mergeCell ref="E30:E31"/>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2026-08-29T23:49:22Z</dcterms:modified>
</cp:coreProperties>
</file>