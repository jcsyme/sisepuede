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7EBE7CB3-3C87-4D48-8A0E-87CF406EF9D8}" xr6:coauthVersionLast="47" xr6:coauthVersionMax="47" xr10:uidLastSave="{00000000-0000-0000-0000-000000000000}"/>
  <bookViews>
    <workbookView xWindow="8100" yWindow="50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3" l="1"/>
  <c r="J87" i="3"/>
  <c r="J53" i="3"/>
  <c r="J42" i="3"/>
  <c r="J48" i="3" s="1"/>
  <c r="I38" i="3"/>
  <c r="I37" i="3"/>
  <c r="I36" i="3"/>
  <c r="G36" i="3"/>
  <c r="H37" i="3"/>
  <c r="H36" i="3"/>
  <c r="F21" i="3"/>
  <c r="F20" i="3"/>
  <c r="G11" i="3"/>
  <c r="G10" i="3"/>
  <c r="G95" i="3"/>
  <c r="G94" i="3"/>
  <c r="G92" i="3"/>
  <c r="J44" i="3"/>
  <c r="J43" i="3"/>
  <c r="J49" i="3" s="1"/>
  <c r="M43" i="3"/>
  <c r="M49" i="3" s="1"/>
  <c r="G102" i="3"/>
  <c r="G109" i="3" s="1"/>
  <c r="J50" i="3"/>
  <c r="G48" i="3"/>
  <c r="G82" i="3" s="1"/>
  <c r="G49" i="3"/>
  <c r="G83" i="3" s="1"/>
  <c r="G50" i="3"/>
  <c r="G84" i="3" s="1"/>
  <c r="G47" i="3"/>
  <c r="G45" i="3"/>
  <c r="P44" i="3"/>
  <c r="P50" i="3" s="1"/>
  <c r="M44" i="3"/>
  <c r="M50" i="3" s="1"/>
  <c r="H35" i="3"/>
  <c r="G99" i="3"/>
  <c r="F99" i="3"/>
  <c r="K35" i="3"/>
  <c r="J37" i="3"/>
  <c r="J60" i="3" s="1"/>
  <c r="F72" i="3"/>
  <c r="F71" i="3"/>
  <c r="F102" i="3"/>
  <c r="F103" i="3" s="1"/>
  <c r="F28" i="3"/>
  <c r="G28" i="3" s="1"/>
  <c r="I98" i="3"/>
  <c r="F98" i="3"/>
  <c r="F101" i="3" s="1"/>
  <c r="F74" i="3"/>
  <c r="F73" i="3"/>
  <c r="M38" i="3"/>
  <c r="M61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5" i="3" s="1"/>
  <c r="Y98" i="3"/>
  <c r="X98" i="3"/>
  <c r="V98" i="3"/>
  <c r="U98" i="3"/>
  <c r="S98" i="3"/>
  <c r="R98" i="3"/>
  <c r="P98" i="3"/>
  <c r="O98" i="3"/>
  <c r="M98" i="3"/>
  <c r="L98" i="3"/>
  <c r="J98" i="3"/>
  <c r="G98" i="3"/>
  <c r="G101" i="3" s="1"/>
  <c r="G53" i="3"/>
  <c r="G77" i="3" s="1"/>
  <c r="P80" i="3"/>
  <c r="M80" i="3"/>
  <c r="M79" i="3"/>
  <c r="Y56" i="3"/>
  <c r="Y80" i="3" s="1"/>
  <c r="Y55" i="3"/>
  <c r="Y79" i="3" s="1"/>
  <c r="Y54" i="3"/>
  <c r="Y78" i="3" s="1"/>
  <c r="Y53" i="3"/>
  <c r="V53" i="3"/>
  <c r="W35" i="3"/>
  <c r="M62" i="3"/>
  <c r="J80" i="3"/>
  <c r="J79" i="3"/>
  <c r="J78" i="3"/>
  <c r="G79" i="3"/>
  <c r="G78" i="3"/>
  <c r="G80" i="3"/>
  <c r="G88" i="3"/>
  <c r="I78" i="3" s="1"/>
  <c r="G89" i="3"/>
  <c r="I79" i="3" s="1"/>
  <c r="G90" i="3"/>
  <c r="I80" i="3" s="1"/>
  <c r="P39" i="3"/>
  <c r="T35" i="3"/>
  <c r="Q35" i="3"/>
  <c r="N35" i="3"/>
  <c r="P55" i="3"/>
  <c r="P79" i="3" s="1"/>
  <c r="M54" i="3"/>
  <c r="M78" i="3" s="1"/>
  <c r="S53" i="3"/>
  <c r="P53" i="3"/>
  <c r="G20" i="3"/>
  <c r="G8" i="3"/>
  <c r="J8" i="3" s="1"/>
  <c r="F8" i="3"/>
  <c r="F109" i="3" l="1"/>
  <c r="G51" i="3"/>
  <c r="G85" i="3" s="1"/>
  <c r="G103" i="3"/>
  <c r="J67" i="3"/>
  <c r="J66" i="3"/>
  <c r="J65" i="3"/>
  <c r="F125" i="3"/>
  <c r="F106" i="3"/>
  <c r="F110" i="3"/>
  <c r="F113" i="3" s="1"/>
  <c r="I100" i="3"/>
  <c r="I101" i="3" s="1"/>
  <c r="U99" i="3"/>
  <c r="I99" i="3"/>
  <c r="L99" i="3"/>
  <c r="O99" i="3"/>
  <c r="R99" i="3"/>
  <c r="G87" i="3"/>
  <c r="L25" i="3"/>
  <c r="O25" i="3"/>
  <c r="I25" i="3"/>
  <c r="F25" i="3"/>
  <c r="R25" i="3"/>
  <c r="G24" i="3"/>
  <c r="G25" i="3" s="1"/>
  <c r="J100" i="3"/>
  <c r="J101" i="3" s="1"/>
  <c r="J7" i="3"/>
  <c r="P62" i="3"/>
  <c r="G59" i="3"/>
  <c r="G93" i="3" s="1"/>
  <c r="H38" i="3"/>
  <c r="H39" i="3"/>
  <c r="G21" i="3"/>
  <c r="G125" i="3" l="1"/>
  <c r="G106" i="3"/>
  <c r="J10" i="3"/>
  <c r="J99" i="3"/>
  <c r="F108" i="3"/>
  <c r="F112" i="3"/>
  <c r="F111" i="3"/>
  <c r="G115" i="3"/>
  <c r="G110" i="3"/>
  <c r="G113" i="3" s="1"/>
  <c r="G107" i="3"/>
  <c r="G108" i="3" s="1"/>
  <c r="I77" i="3"/>
  <c r="J77" i="3" s="1"/>
  <c r="J13" i="3"/>
  <c r="J24" i="3" s="1"/>
  <c r="M8" i="3"/>
  <c r="J11" i="3" l="1"/>
  <c r="F115" i="3"/>
  <c r="F126" i="3"/>
  <c r="F127" i="3" s="1"/>
  <c r="G111" i="3"/>
  <c r="G112" i="3"/>
  <c r="G126" i="3"/>
  <c r="G127" i="3" s="1"/>
  <c r="M7" i="3"/>
  <c r="J25" i="3"/>
  <c r="P8" i="3"/>
  <c r="J41" i="3" l="1"/>
  <c r="F129" i="3"/>
  <c r="M10" i="3"/>
  <c r="M99" i="3"/>
  <c r="G129" i="3"/>
  <c r="M13" i="3"/>
  <c r="M24" i="3" s="1"/>
  <c r="M25" i="3" s="1"/>
  <c r="S8" i="3"/>
  <c r="V54" i="3"/>
  <c r="V78" i="3" s="1"/>
  <c r="V55" i="3"/>
  <c r="V79" i="3" s="1"/>
  <c r="S54" i="3"/>
  <c r="S78" i="3" s="1"/>
  <c r="M53" i="3"/>
  <c r="S56" i="3"/>
  <c r="S80" i="3" s="1"/>
  <c r="V56" i="3"/>
  <c r="V80" i="3" s="1"/>
  <c r="S55" i="3"/>
  <c r="S79" i="3" s="1"/>
  <c r="P54" i="3"/>
  <c r="P78" i="3" s="1"/>
  <c r="AD14" i="3"/>
  <c r="AD15" i="3"/>
  <c r="AD16" i="3"/>
  <c r="AD17" i="3"/>
  <c r="AD18" i="3"/>
  <c r="AD20" i="3"/>
  <c r="AD21" i="3"/>
  <c r="AD22" i="3"/>
  <c r="AD23" i="3"/>
  <c r="AD24" i="3"/>
  <c r="AD25" i="3"/>
  <c r="AD26" i="3"/>
  <c r="AD12" i="3"/>
  <c r="AD9" i="3"/>
  <c r="AD11" i="3"/>
  <c r="AD8" i="3"/>
  <c r="AA150" i="3"/>
  <c r="AA149" i="3"/>
  <c r="AA148" i="3"/>
  <c r="AA129" i="3"/>
  <c r="AA128" i="3"/>
  <c r="AA127" i="3"/>
  <c r="AA126" i="3"/>
  <c r="AA11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J45" i="3" l="1"/>
  <c r="J47" i="3"/>
  <c r="J51" i="3" s="1"/>
  <c r="J64" i="3"/>
  <c r="I71" i="3" s="1"/>
  <c r="J59" i="3"/>
  <c r="F130" i="3"/>
  <c r="P7" i="3"/>
  <c r="P99" i="3" s="1"/>
  <c r="P13" i="3"/>
  <c r="P10" i="3"/>
  <c r="M11" i="3"/>
  <c r="S7" i="3"/>
  <c r="P24" i="3"/>
  <c r="P25" i="3" s="1"/>
  <c r="S13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I74" i="3" l="1"/>
  <c r="I73" i="3"/>
  <c r="J68" i="3"/>
  <c r="I72" i="3"/>
  <c r="S10" i="3"/>
  <c r="S99" i="3"/>
  <c r="F118" i="3"/>
  <c r="F120" i="3" s="1"/>
  <c r="P11" i="3"/>
  <c r="V7" i="3"/>
  <c r="S24" i="3"/>
  <c r="S25" i="3" s="1"/>
  <c r="Y8" i="3"/>
  <c r="K36" i="3"/>
  <c r="I39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V10" i="3" l="1"/>
  <c r="V99" i="3"/>
  <c r="Y7" i="3"/>
  <c r="V13" i="3"/>
  <c r="V24" i="3" s="1"/>
  <c r="V25" i="3" s="1"/>
  <c r="F119" i="3"/>
  <c r="F121" i="3" s="1"/>
  <c r="G130" i="3"/>
  <c r="G131" i="3" s="1"/>
  <c r="G122" i="3" s="1"/>
  <c r="G135" i="3" s="1"/>
  <c r="J109" i="3" s="1"/>
  <c r="F131" i="3"/>
  <c r="F122" i="3" s="1"/>
  <c r="V11" i="3"/>
  <c r="S11" i="3"/>
  <c r="Y13" i="3"/>
  <c r="Y24" i="3" s="1"/>
  <c r="Y25" i="3" s="1"/>
  <c r="K39" i="3"/>
  <c r="L36" i="3"/>
  <c r="M36" i="3" s="1"/>
  <c r="K38" i="3"/>
  <c r="K37" i="3"/>
  <c r="O8" i="3"/>
  <c r="Q3" i="2"/>
  <c r="AA4" i="2" s="1"/>
  <c r="F135" i="3" l="1"/>
  <c r="I109" i="3" s="1"/>
  <c r="F134" i="3"/>
  <c r="I102" i="3" s="1"/>
  <c r="Y10" i="3"/>
  <c r="Y99" i="3"/>
  <c r="G71" i="3"/>
  <c r="L37" i="3"/>
  <c r="M37" i="3" s="1"/>
  <c r="N37" i="3" s="1"/>
  <c r="N36" i="3"/>
  <c r="O36" i="3" s="1"/>
  <c r="P36" i="3" s="1"/>
  <c r="M59" i="3"/>
  <c r="Y11" i="3"/>
  <c r="L38" i="3"/>
  <c r="L39" i="3"/>
  <c r="R8" i="3"/>
  <c r="F4" i="2"/>
  <c r="R7" i="2"/>
  <c r="G4" i="2"/>
  <c r="K4" i="2"/>
  <c r="J4" i="2"/>
  <c r="P59" i="3" l="1"/>
  <c r="G72" i="3"/>
  <c r="G73" i="3"/>
  <c r="G74" i="3"/>
  <c r="M60" i="3"/>
  <c r="N39" i="3"/>
  <c r="N38" i="3"/>
  <c r="O38" i="3" s="1"/>
  <c r="P38" i="3" s="1"/>
  <c r="O37" i="3"/>
  <c r="P37" i="3" s="1"/>
  <c r="U8" i="3"/>
  <c r="X7" i="3"/>
  <c r="X99" i="3" s="1"/>
  <c r="Q36" i="3"/>
  <c r="R36" i="3" s="1"/>
  <c r="S36" i="3" s="1"/>
  <c r="U4" i="2"/>
  <c r="R8" i="2"/>
  <c r="G134" i="3" l="1"/>
  <c r="J102" i="3" s="1"/>
  <c r="Q37" i="3"/>
  <c r="R37" i="3" s="1"/>
  <c r="S37" i="3" s="1"/>
  <c r="S59" i="3"/>
  <c r="Q39" i="3"/>
  <c r="O39" i="3"/>
  <c r="P60" i="3"/>
  <c r="P61" i="3"/>
  <c r="Q38" i="3"/>
  <c r="X8" i="3"/>
  <c r="X13" i="3"/>
  <c r="X25" i="3" s="1"/>
  <c r="T36" i="3"/>
  <c r="U36" i="3" s="1"/>
  <c r="V36" i="3" s="1"/>
  <c r="O4" i="2"/>
  <c r="P4" i="2" s="1"/>
  <c r="X5" i="2" s="1"/>
  <c r="Z5" i="2" s="1"/>
  <c r="J5" i="2" s="1"/>
  <c r="R9" i="2"/>
  <c r="M100" i="3" l="1"/>
  <c r="M101" i="3" s="1"/>
  <c r="J103" i="3"/>
  <c r="J125" i="3" s="1"/>
  <c r="I103" i="3"/>
  <c r="I106" i="3" s="1"/>
  <c r="I108" i="3" s="1"/>
  <c r="L100" i="3"/>
  <c r="L101" i="3" s="1"/>
  <c r="V59" i="3"/>
  <c r="J106" i="3"/>
  <c r="J110" i="3"/>
  <c r="R39" i="3"/>
  <c r="S39" i="3" s="1"/>
  <c r="S60" i="3"/>
  <c r="R38" i="3"/>
  <c r="S38" i="3" s="1"/>
  <c r="T37" i="3"/>
  <c r="U37" i="3" s="1"/>
  <c r="V37" i="3" s="1"/>
  <c r="W36" i="3"/>
  <c r="X36" i="3" s="1"/>
  <c r="Y36" i="3" s="1"/>
  <c r="Q4" i="2"/>
  <c r="Y5" i="2" s="1"/>
  <c r="AA5" i="2" s="1"/>
  <c r="F5" i="2"/>
  <c r="R10" i="2"/>
  <c r="I110" i="3" l="1"/>
  <c r="I125" i="3"/>
  <c r="S62" i="3"/>
  <c r="V60" i="3"/>
  <c r="Y59" i="3"/>
  <c r="I111" i="3"/>
  <c r="I112" i="3"/>
  <c r="T39" i="3"/>
  <c r="J111" i="3"/>
  <c r="J112" i="3"/>
  <c r="J115" i="3"/>
  <c r="S61" i="3"/>
  <c r="T38" i="3"/>
  <c r="U38" i="3" s="1"/>
  <c r="V38" i="3" s="1"/>
  <c r="W37" i="3"/>
  <c r="X37" i="3" s="1"/>
  <c r="Y37" i="3" s="1"/>
  <c r="R11" i="2"/>
  <c r="G5" i="2"/>
  <c r="U5" i="2" s="1"/>
  <c r="O5" i="2" s="1"/>
  <c r="Q5" i="2" s="1"/>
  <c r="K5" i="2"/>
  <c r="V61" i="3" l="1"/>
  <c r="Y60" i="3"/>
  <c r="U39" i="3"/>
  <c r="V39" i="3" s="1"/>
  <c r="I115" i="3"/>
  <c r="I126" i="3"/>
  <c r="I127" i="3" s="1"/>
  <c r="J126" i="3"/>
  <c r="J127" i="3" s="1"/>
  <c r="W38" i="3"/>
  <c r="X38" i="3" s="1"/>
  <c r="Y38" i="3" s="1"/>
  <c r="W39" i="3"/>
  <c r="Y6" i="2"/>
  <c r="AA6" i="2" s="1"/>
  <c r="K6" i="2" s="1"/>
  <c r="R12" i="2"/>
  <c r="P5" i="2"/>
  <c r="X6" i="2" s="1"/>
  <c r="Z6" i="2" s="1"/>
  <c r="J6" i="2" s="1"/>
  <c r="V62" i="3" l="1"/>
  <c r="Y61" i="3"/>
  <c r="X39" i="3"/>
  <c r="Y39" i="3" s="1"/>
  <c r="J129" i="3"/>
  <c r="I129" i="3"/>
  <c r="G6" i="2"/>
  <c r="R13" i="2"/>
  <c r="F6" i="2"/>
  <c r="U6" i="2" s="1"/>
  <c r="W6" i="2" s="1"/>
  <c r="O6" i="2" s="1"/>
  <c r="Y62" i="3" l="1"/>
  <c r="I130" i="3"/>
  <c r="R14" i="2"/>
  <c r="Y7" i="2"/>
  <c r="AA7" i="2" s="1"/>
  <c r="J130" i="3" l="1"/>
  <c r="I118" i="3"/>
  <c r="I131" i="3"/>
  <c r="X7" i="2"/>
  <c r="Z7" i="2" s="1"/>
  <c r="R15" i="2"/>
  <c r="G7" i="2"/>
  <c r="K7" i="2"/>
  <c r="J131" i="3" l="1"/>
  <c r="I119" i="3"/>
  <c r="I121" i="3" s="1"/>
  <c r="J71" i="3" s="1"/>
  <c r="I120" i="3"/>
  <c r="J122" i="3" s="1"/>
  <c r="J7" i="2"/>
  <c r="F7" i="2"/>
  <c r="U7" i="2" s="1"/>
  <c r="O7" i="2" s="1"/>
  <c r="R16" i="2"/>
  <c r="J135" i="3" l="1"/>
  <c r="M109" i="3" s="1"/>
  <c r="J82" i="3"/>
  <c r="J134" i="3"/>
  <c r="M102" i="3" s="1"/>
  <c r="I122" i="3"/>
  <c r="I135" i="3" s="1"/>
  <c r="L109" i="3" s="1"/>
  <c r="J72" i="3"/>
  <c r="J73" i="3"/>
  <c r="J74" i="3"/>
  <c r="P7" i="2"/>
  <c r="X8" i="2" s="1"/>
  <c r="Z8" i="2" s="1"/>
  <c r="Q7" i="2"/>
  <c r="Y8" i="2" s="1"/>
  <c r="AA8" i="2" s="1"/>
  <c r="G8" i="2" s="1"/>
  <c r="J8" i="2"/>
  <c r="R17" i="2"/>
  <c r="F8" i="2"/>
  <c r="M41" i="3" l="1"/>
  <c r="M47" i="3" s="1"/>
  <c r="L77" i="3"/>
  <c r="M77" i="3" s="1"/>
  <c r="J83" i="3"/>
  <c r="J84" i="3"/>
  <c r="J89" i="3" s="1"/>
  <c r="J85" i="3"/>
  <c r="J90" i="3"/>
  <c r="M67" i="3" s="1"/>
  <c r="J92" i="3"/>
  <c r="M103" i="3"/>
  <c r="M125" i="3" s="1"/>
  <c r="P100" i="3"/>
  <c r="P101" i="3" s="1"/>
  <c r="I134" i="3"/>
  <c r="L102" i="3" s="1"/>
  <c r="M64" i="3"/>
  <c r="L71" i="3" s="1"/>
  <c r="K8" i="2"/>
  <c r="W8" i="2"/>
  <c r="R18" i="2"/>
  <c r="L80" i="3" l="1"/>
  <c r="J88" i="3"/>
  <c r="M42" i="3" s="1"/>
  <c r="J94" i="3"/>
  <c r="M66" i="3"/>
  <c r="L79" i="3"/>
  <c r="J93" i="3"/>
  <c r="J95" i="3"/>
  <c r="M106" i="3"/>
  <c r="J107" i="3"/>
  <c r="J108" i="3" s="1"/>
  <c r="L78" i="3"/>
  <c r="M110" i="3"/>
  <c r="M111" i="3" s="1"/>
  <c r="L103" i="3"/>
  <c r="L125" i="3" s="1"/>
  <c r="O100" i="3"/>
  <c r="O101" i="3" s="1"/>
  <c r="O8" i="2"/>
  <c r="Q8" i="2" s="1"/>
  <c r="Y9" i="2" s="1"/>
  <c r="AA9" i="2" s="1"/>
  <c r="R19" i="2"/>
  <c r="M65" i="3" l="1"/>
  <c r="L73" i="3" s="1"/>
  <c r="M48" i="3"/>
  <c r="M51" i="3" s="1"/>
  <c r="M45" i="3"/>
  <c r="L110" i="3"/>
  <c r="L112" i="3" s="1"/>
  <c r="L106" i="3"/>
  <c r="L108" i="3" s="1"/>
  <c r="M112" i="3"/>
  <c r="L74" i="3"/>
  <c r="L72" i="3"/>
  <c r="M68" i="3"/>
  <c r="L111" i="3"/>
  <c r="M115" i="3"/>
  <c r="M126" i="3"/>
  <c r="M127" i="3" s="1"/>
  <c r="L115" i="3"/>
  <c r="L126" i="3"/>
  <c r="L127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29" i="3" l="1"/>
  <c r="L129" i="3"/>
  <c r="Q9" i="2"/>
  <c r="Y10" i="2" s="1"/>
  <c r="AA10" i="2" s="1"/>
  <c r="G10" i="2" s="1"/>
  <c r="R21" i="2"/>
  <c r="F10" i="2"/>
  <c r="L130" i="3" l="1"/>
  <c r="L131" i="3" s="1"/>
  <c r="U10" i="2"/>
  <c r="W10" i="2" s="1"/>
  <c r="O10" i="2" s="1"/>
  <c r="Q10" i="2" s="1"/>
  <c r="K10" i="2"/>
  <c r="R22" i="2"/>
  <c r="L118" i="3" l="1"/>
  <c r="L119" i="3" s="1"/>
  <c r="L121" i="3" s="1"/>
  <c r="M130" i="3"/>
  <c r="L120" i="3"/>
  <c r="Y11" i="2"/>
  <c r="P10" i="2"/>
  <c r="X11" i="2" s="1"/>
  <c r="Z11" i="2" s="1"/>
  <c r="J11" i="2" s="1"/>
  <c r="R23" i="2"/>
  <c r="M131" i="3" l="1"/>
  <c r="L122" i="3"/>
  <c r="L135" i="3" s="1"/>
  <c r="O109" i="3" s="1"/>
  <c r="M122" i="3"/>
  <c r="M135" i="3" s="1"/>
  <c r="P109" i="3" s="1"/>
  <c r="M71" i="3"/>
  <c r="M73" i="3"/>
  <c r="M74" i="3"/>
  <c r="M72" i="3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84" i="3" l="1"/>
  <c r="M89" i="3" s="1"/>
  <c r="M83" i="3"/>
  <c r="M88" i="3" s="1"/>
  <c r="P42" i="3" s="1"/>
  <c r="P48" i="3" s="1"/>
  <c r="M85" i="3"/>
  <c r="M90" i="3" s="1"/>
  <c r="M82" i="3"/>
  <c r="M87" i="3" s="1"/>
  <c r="P41" i="3" s="1"/>
  <c r="P47" i="3" s="1"/>
  <c r="M134" i="3"/>
  <c r="P102" i="3" s="1"/>
  <c r="L134" i="3"/>
  <c r="O102" i="3" s="1"/>
  <c r="K11" i="2"/>
  <c r="Q11" i="2"/>
  <c r="R25" i="2"/>
  <c r="F12" i="2"/>
  <c r="O79" i="3" l="1"/>
  <c r="P43" i="3"/>
  <c r="P49" i="3" s="1"/>
  <c r="P51" i="3" s="1"/>
  <c r="M93" i="3"/>
  <c r="M92" i="3"/>
  <c r="M95" i="3"/>
  <c r="M94" i="3"/>
  <c r="O78" i="3"/>
  <c r="P67" i="3"/>
  <c r="M107" i="3"/>
  <c r="M108" i="3" s="1"/>
  <c r="O77" i="3"/>
  <c r="P77" i="3" s="1"/>
  <c r="O103" i="3"/>
  <c r="O125" i="3" s="1"/>
  <c r="S100" i="3"/>
  <c r="S101" i="3" s="1"/>
  <c r="P103" i="3"/>
  <c r="P125" i="3" s="1"/>
  <c r="R100" i="3"/>
  <c r="R101" i="3" s="1"/>
  <c r="O80" i="3"/>
  <c r="P66" i="3"/>
  <c r="P65" i="3"/>
  <c r="P64" i="3"/>
  <c r="O71" i="3" s="1"/>
  <c r="P45" i="3"/>
  <c r="Y12" i="2"/>
  <c r="AA12" i="2" s="1"/>
  <c r="R26" i="2"/>
  <c r="O110" i="3" l="1"/>
  <c r="P110" i="3"/>
  <c r="P112" i="3" s="1"/>
  <c r="P106" i="3"/>
  <c r="O106" i="3"/>
  <c r="O108" i="3" s="1"/>
  <c r="O73" i="3"/>
  <c r="P68" i="3"/>
  <c r="O74" i="3"/>
  <c r="O72" i="3"/>
  <c r="O111" i="3"/>
  <c r="O112" i="3"/>
  <c r="G12" i="2"/>
  <c r="U12" i="2" s="1"/>
  <c r="W12" i="2" s="1"/>
  <c r="O12" i="2" s="1"/>
  <c r="Q12" i="2" s="1"/>
  <c r="K12" i="2"/>
  <c r="R27" i="2"/>
  <c r="P111" i="3" l="1"/>
  <c r="O126" i="3"/>
  <c r="O127" i="3" s="1"/>
  <c r="O115" i="3"/>
  <c r="P115" i="3"/>
  <c r="P126" i="3"/>
  <c r="P127" i="3" s="1"/>
  <c r="Y13" i="2"/>
  <c r="AA13" i="2" s="1"/>
  <c r="G13" i="2" s="1"/>
  <c r="P12" i="2"/>
  <c r="X13" i="2" s="1"/>
  <c r="Z13" i="2" s="1"/>
  <c r="J13" i="2" s="1"/>
  <c r="R28" i="2"/>
  <c r="P129" i="3" l="1"/>
  <c r="O12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0" i="3" l="1"/>
  <c r="O131" i="3" s="1"/>
  <c r="O118" i="3"/>
  <c r="P130" i="3"/>
  <c r="K14" i="2"/>
  <c r="P13" i="2"/>
  <c r="X14" i="2" s="1"/>
  <c r="Z14" i="2" s="1"/>
  <c r="J14" i="2" s="1"/>
  <c r="P131" i="3" l="1"/>
  <c r="O120" i="3"/>
  <c r="O119" i="3"/>
  <c r="O121" i="3" s="1"/>
  <c r="F14" i="2"/>
  <c r="U14" i="2" s="1"/>
  <c r="W14" i="2" s="1"/>
  <c r="O14" i="2" s="1"/>
  <c r="P14" i="2" s="1"/>
  <c r="X15" i="2" s="1"/>
  <c r="Z15" i="2" s="1"/>
  <c r="J15" i="2" s="1"/>
  <c r="P73" i="3" l="1"/>
  <c r="P74" i="3"/>
  <c r="P71" i="3"/>
  <c r="P82" i="3" s="1"/>
  <c r="P87" i="3" s="1"/>
  <c r="P72" i="3"/>
  <c r="O122" i="3"/>
  <c r="O135" i="3" s="1"/>
  <c r="R109" i="3" s="1"/>
  <c r="P122" i="3"/>
  <c r="P135" i="3" s="1"/>
  <c r="S109" i="3" s="1"/>
  <c r="F15" i="2"/>
  <c r="Q14" i="2"/>
  <c r="Y15" i="2" s="1"/>
  <c r="AA15" i="2" s="1"/>
  <c r="G15" i="2" s="1"/>
  <c r="U15" i="2" s="1"/>
  <c r="W15" i="2" s="1"/>
  <c r="O15" i="2" s="1"/>
  <c r="Q15" i="2" s="1"/>
  <c r="P83" i="3" l="1"/>
  <c r="P88" i="3" s="1"/>
  <c r="R78" i="3" s="1"/>
  <c r="P92" i="3"/>
  <c r="P85" i="3"/>
  <c r="P90" i="3" s="1"/>
  <c r="P84" i="3"/>
  <c r="P89" i="3" s="1"/>
  <c r="P134" i="3"/>
  <c r="S102" i="3" s="1"/>
  <c r="O134" i="3"/>
  <c r="R102" i="3" s="1"/>
  <c r="R77" i="3"/>
  <c r="S77" i="3" s="1"/>
  <c r="K15" i="2"/>
  <c r="Y16" i="2" s="1"/>
  <c r="AA16" i="2" s="1"/>
  <c r="G16" i="2" s="1"/>
  <c r="P15" i="2"/>
  <c r="X16" i="2" s="1"/>
  <c r="Z16" i="2" s="1"/>
  <c r="J16" i="2" s="1"/>
  <c r="P94" i="3" l="1"/>
  <c r="P95" i="3"/>
  <c r="P93" i="3"/>
  <c r="S41" i="3"/>
  <c r="S43" i="3"/>
  <c r="S49" i="3" s="1"/>
  <c r="S44" i="3"/>
  <c r="S50" i="3" s="1"/>
  <c r="S42" i="3"/>
  <c r="R80" i="3"/>
  <c r="S66" i="3"/>
  <c r="R79" i="3"/>
  <c r="P107" i="3"/>
  <c r="P108" i="3" s="1"/>
  <c r="R103" i="3"/>
  <c r="R125" i="3" s="1"/>
  <c r="U100" i="3"/>
  <c r="U101" i="3" s="1"/>
  <c r="S103" i="3"/>
  <c r="S125" i="3" s="1"/>
  <c r="V100" i="3"/>
  <c r="V101" i="3" s="1"/>
  <c r="K16" i="2"/>
  <c r="F16" i="2"/>
  <c r="U16" i="2" s="1"/>
  <c r="W16" i="2" s="1"/>
  <c r="O16" i="2" s="1"/>
  <c r="P16" i="2" s="1"/>
  <c r="X17" i="2" s="1"/>
  <c r="Z17" i="2" s="1"/>
  <c r="J17" i="2" s="1"/>
  <c r="S67" i="3" l="1"/>
  <c r="S48" i="3"/>
  <c r="S65" i="3"/>
  <c r="S47" i="3"/>
  <c r="S51" i="3" s="1"/>
  <c r="S45" i="3"/>
  <c r="S64" i="3"/>
  <c r="R106" i="3"/>
  <c r="R108" i="3" s="1"/>
  <c r="S106" i="3"/>
  <c r="S110" i="3"/>
  <c r="S112" i="3" s="1"/>
  <c r="R110" i="3"/>
  <c r="R111" i="3" s="1"/>
  <c r="Q16" i="2"/>
  <c r="Y17" i="2" s="1"/>
  <c r="AA17" i="2" s="1"/>
  <c r="K17" i="2" s="1"/>
  <c r="F17" i="2"/>
  <c r="R112" i="3" l="1"/>
  <c r="S111" i="3"/>
  <c r="R71" i="3"/>
  <c r="R73" i="3"/>
  <c r="R72" i="3"/>
  <c r="S68" i="3"/>
  <c r="R74" i="3"/>
  <c r="S126" i="3"/>
  <c r="S127" i="3" s="1"/>
  <c r="S115" i="3"/>
  <c r="R115" i="3"/>
  <c r="R126" i="3"/>
  <c r="R127" i="3" s="1"/>
  <c r="G17" i="2"/>
  <c r="U17" i="2" s="1"/>
  <c r="W17" i="2" s="1"/>
  <c r="O17" i="2" s="1"/>
  <c r="P17" i="2" s="1"/>
  <c r="X18" i="2" s="1"/>
  <c r="Z18" i="2" s="1"/>
  <c r="J18" i="2" s="1"/>
  <c r="S129" i="3" l="1"/>
  <c r="R129" i="3"/>
  <c r="Q17" i="2"/>
  <c r="Y18" i="2" s="1"/>
  <c r="AA18" i="2" s="1"/>
  <c r="G18" i="2" s="1"/>
  <c r="F18" i="2"/>
  <c r="R130" i="3" l="1"/>
  <c r="R131" i="3" s="1"/>
  <c r="K18" i="2"/>
  <c r="U18" i="2"/>
  <c r="W18" i="2" s="1"/>
  <c r="O18" i="2" s="1"/>
  <c r="Q18" i="2" s="1"/>
  <c r="R118" i="3" l="1"/>
  <c r="R119" i="3" s="1"/>
  <c r="R121" i="3" s="1"/>
  <c r="S130" i="3"/>
  <c r="Y19" i="2"/>
  <c r="AA19" i="2" s="1"/>
  <c r="G19" i="2" s="1"/>
  <c r="P18" i="2"/>
  <c r="X19" i="2" s="1"/>
  <c r="Z19" i="2" s="1"/>
  <c r="J19" i="2" s="1"/>
  <c r="S131" i="3" l="1"/>
  <c r="R120" i="3"/>
  <c r="R122" i="3" s="1"/>
  <c r="R135" i="3" s="1"/>
  <c r="U109" i="3" s="1"/>
  <c r="S72" i="3"/>
  <c r="S83" i="3" s="1"/>
  <c r="S71" i="3"/>
  <c r="S82" i="3" s="1"/>
  <c r="S74" i="3"/>
  <c r="S85" i="3" s="1"/>
  <c r="S73" i="3"/>
  <c r="S84" i="3" s="1"/>
  <c r="K19" i="2"/>
  <c r="F19" i="2"/>
  <c r="U19" i="2" s="1"/>
  <c r="W19" i="2" s="1"/>
  <c r="O19" i="2" s="1"/>
  <c r="P19" i="2" s="1"/>
  <c r="X20" i="2" s="1"/>
  <c r="Z20" i="2" s="1"/>
  <c r="S122" i="3" l="1"/>
  <c r="S135" i="3" s="1"/>
  <c r="V109" i="3" s="1"/>
  <c r="S90" i="3"/>
  <c r="S89" i="3"/>
  <c r="S87" i="3"/>
  <c r="S88" i="3"/>
  <c r="V44" i="3"/>
  <c r="V50" i="3" s="1"/>
  <c r="S134" i="3"/>
  <c r="V102" i="3" s="1"/>
  <c r="R134" i="3"/>
  <c r="U102" i="3" s="1"/>
  <c r="Q19" i="2"/>
  <c r="Y20" i="2" s="1"/>
  <c r="AA20" i="2" s="1"/>
  <c r="G20" i="2" s="1"/>
  <c r="J20" i="2"/>
  <c r="F20" i="2"/>
  <c r="V42" i="3" l="1"/>
  <c r="V48" i="3" s="1"/>
  <c r="S93" i="3"/>
  <c r="V41" i="3"/>
  <c r="V47" i="3" s="1"/>
  <c r="S92" i="3"/>
  <c r="S94" i="3"/>
  <c r="S95" i="3"/>
  <c r="V43" i="3"/>
  <c r="V49" i="3" s="1"/>
  <c r="V51" i="3" s="1"/>
  <c r="V66" i="3"/>
  <c r="V65" i="3"/>
  <c r="V67" i="3"/>
  <c r="U80" i="3"/>
  <c r="U78" i="3"/>
  <c r="U79" i="3"/>
  <c r="S107" i="3"/>
  <c r="S108" i="3" s="1"/>
  <c r="U77" i="3"/>
  <c r="V77" i="3" s="1"/>
  <c r="V103" i="3"/>
  <c r="V125" i="3" s="1"/>
  <c r="Y100" i="3"/>
  <c r="Y101" i="3" s="1"/>
  <c r="U103" i="3"/>
  <c r="X100" i="3"/>
  <c r="X101" i="3" s="1"/>
  <c r="K20" i="2"/>
  <c r="U20" i="2"/>
  <c r="W20" i="2" s="1"/>
  <c r="V64" i="3" l="1"/>
  <c r="U71" i="3" s="1"/>
  <c r="V45" i="3"/>
  <c r="V110" i="3"/>
  <c r="V111" i="3" s="1"/>
  <c r="V106" i="3"/>
  <c r="U125" i="3"/>
  <c r="U115" i="3" s="1"/>
  <c r="U106" i="3"/>
  <c r="U108" i="3" s="1"/>
  <c r="U110" i="3"/>
  <c r="O20" i="2"/>
  <c r="P20" i="2" s="1"/>
  <c r="X21" i="2" s="1"/>
  <c r="Z21" i="2" s="1"/>
  <c r="V68" i="3" l="1"/>
  <c r="U72" i="3"/>
  <c r="U73" i="3"/>
  <c r="U74" i="3"/>
  <c r="U126" i="3"/>
  <c r="U127" i="3" s="1"/>
  <c r="V112" i="3"/>
  <c r="U111" i="3"/>
  <c r="U112" i="3"/>
  <c r="U129" i="3"/>
  <c r="V126" i="3"/>
  <c r="V127" i="3" s="1"/>
  <c r="V115" i="3"/>
  <c r="J21" i="2"/>
  <c r="F21" i="2"/>
  <c r="Q20" i="2"/>
  <c r="Y21" i="2" s="1"/>
  <c r="AA21" i="2" s="1"/>
  <c r="G21" i="2" s="1"/>
  <c r="V129" i="3" l="1"/>
  <c r="U130" i="3" s="1"/>
  <c r="U131" i="3" s="1"/>
  <c r="U21" i="2"/>
  <c r="W21" i="2" s="1"/>
  <c r="O21" i="2" s="1"/>
  <c r="Q21" i="2" s="1"/>
  <c r="K21" i="2"/>
  <c r="V130" i="3" l="1"/>
  <c r="U118" i="3"/>
  <c r="U119" i="3" s="1"/>
  <c r="U121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1" i="3" l="1"/>
  <c r="V71" i="3"/>
  <c r="V82" i="3" s="1"/>
  <c r="V72" i="3"/>
  <c r="V83" i="3" s="1"/>
  <c r="U120" i="3"/>
  <c r="U122" i="3" s="1"/>
  <c r="U135" i="3" s="1"/>
  <c r="X109" i="3" s="1"/>
  <c r="V73" i="3"/>
  <c r="V84" i="3" s="1"/>
  <c r="V74" i="3"/>
  <c r="V85" i="3" s="1"/>
  <c r="K22" i="2"/>
  <c r="Y23" i="2" s="1"/>
  <c r="AA23" i="2" s="1"/>
  <c r="P22" i="2"/>
  <c r="X23" i="2" s="1"/>
  <c r="Z23" i="2" s="1"/>
  <c r="J23" i="2" s="1"/>
  <c r="V88" i="3" l="1"/>
  <c r="V89" i="3"/>
  <c r="V90" i="3"/>
  <c r="V87" i="3"/>
  <c r="Y41" i="3" s="1"/>
  <c r="Y47" i="3" s="1"/>
  <c r="Y42" i="3"/>
  <c r="Y48" i="3" s="1"/>
  <c r="Y44" i="3"/>
  <c r="Y50" i="3" s="1"/>
  <c r="U134" i="3"/>
  <c r="X102" i="3" s="1"/>
  <c r="Y67" i="3"/>
  <c r="Y65" i="3"/>
  <c r="V122" i="3"/>
  <c r="V135" i="3" s="1"/>
  <c r="Y109" i="3" s="1"/>
  <c r="G23" i="2"/>
  <c r="K23" i="2"/>
  <c r="F23" i="2"/>
  <c r="U23" i="2" s="1"/>
  <c r="W23" i="2" s="1"/>
  <c r="O23" i="2" s="1"/>
  <c r="Q23" i="2" s="1"/>
  <c r="Y24" i="2" s="1"/>
  <c r="AA24" i="2" s="1"/>
  <c r="V92" i="3" l="1"/>
  <c r="V94" i="3"/>
  <c r="V95" i="3"/>
  <c r="V93" i="3"/>
  <c r="Y43" i="3"/>
  <c r="Y49" i="3" s="1"/>
  <c r="X79" i="3"/>
  <c r="Y51" i="3"/>
  <c r="Y45" i="3"/>
  <c r="X80" i="3"/>
  <c r="X78" i="3"/>
  <c r="V107" i="3"/>
  <c r="V108" i="3" s="1"/>
  <c r="X77" i="3"/>
  <c r="Y77" i="3" s="1"/>
  <c r="Y64" i="3"/>
  <c r="X72" i="3" s="1"/>
  <c r="V134" i="3"/>
  <c r="Y102" i="3" s="1"/>
  <c r="X103" i="3"/>
  <c r="P23" i="2"/>
  <c r="X24" i="2" s="1"/>
  <c r="Z24" i="2" s="1"/>
  <c r="J24" i="2" s="1"/>
  <c r="G24" i="2"/>
  <c r="K24" i="2"/>
  <c r="Y66" i="3" l="1"/>
  <c r="X74" i="3" s="1"/>
  <c r="X71" i="3"/>
  <c r="X125" i="3"/>
  <c r="X106" i="3"/>
  <c r="X108" i="3" s="1"/>
  <c r="X110" i="3"/>
  <c r="Y103" i="3"/>
  <c r="Y106" i="3" s="1"/>
  <c r="X115" i="3"/>
  <c r="X126" i="3"/>
  <c r="X127" i="3" s="1"/>
  <c r="F24" i="2"/>
  <c r="U24" i="2" s="1"/>
  <c r="W24" i="2" s="1"/>
  <c r="O24" i="2" s="1"/>
  <c r="P24" i="2" s="1"/>
  <c r="X25" i="2" s="1"/>
  <c r="Z25" i="2" s="1"/>
  <c r="J25" i="2" s="1"/>
  <c r="X73" i="3" l="1"/>
  <c r="Y68" i="3"/>
  <c r="Y125" i="3"/>
  <c r="Y110" i="3"/>
  <c r="X112" i="3"/>
  <c r="X111" i="3"/>
  <c r="X129" i="3"/>
  <c r="Y126" i="3"/>
  <c r="Y127" i="3" s="1"/>
  <c r="Y115" i="3"/>
  <c r="Q24" i="2"/>
  <c r="Y25" i="2" s="1"/>
  <c r="AA25" i="2" s="1"/>
  <c r="G25" i="2" s="1"/>
  <c r="F25" i="2"/>
  <c r="Y111" i="3" l="1"/>
  <c r="Y112" i="3"/>
  <c r="Y129" i="3"/>
  <c r="X130" i="3" s="1"/>
  <c r="X118" i="3" s="1"/>
  <c r="K25" i="2"/>
  <c r="U25" i="2"/>
  <c r="W25" i="2" s="1"/>
  <c r="O25" i="2" s="1"/>
  <c r="Q25" i="2" s="1"/>
  <c r="Y26" i="2" s="1"/>
  <c r="AA26" i="2" s="1"/>
  <c r="G26" i="2" s="1"/>
  <c r="X131" i="3" l="1"/>
  <c r="Y130" i="3"/>
  <c r="X120" i="3"/>
  <c r="X119" i="3"/>
  <c r="X121" i="3" s="1"/>
  <c r="P25" i="2"/>
  <c r="X26" i="2" s="1"/>
  <c r="Z26" i="2" s="1"/>
  <c r="J26" i="2" s="1"/>
  <c r="K26" i="2"/>
  <c r="Y131" i="3" l="1"/>
  <c r="X122" i="3"/>
  <c r="X135" i="3" s="1"/>
  <c r="Y71" i="3"/>
  <c r="Y82" i="3" s="1"/>
  <c r="Y74" i="3"/>
  <c r="Y85" i="3" s="1"/>
  <c r="Y72" i="3"/>
  <c r="Y83" i="3" s="1"/>
  <c r="Y73" i="3"/>
  <c r="Y84" i="3" s="1"/>
  <c r="Y122" i="3"/>
  <c r="Y135" i="3" s="1"/>
  <c r="F26" i="2"/>
  <c r="U26" i="2" s="1"/>
  <c r="W26" i="2" s="1"/>
  <c r="O26" i="2" s="1"/>
  <c r="Q26" i="2" s="1"/>
  <c r="Y27" i="2" s="1"/>
  <c r="AA27" i="2" s="1"/>
  <c r="Y134" i="3" l="1"/>
  <c r="X134" i="3"/>
  <c r="Y88" i="3"/>
  <c r="Y93" i="3" s="1"/>
  <c r="Y89" i="3"/>
  <c r="Y94" i="3" s="1"/>
  <c r="Y90" i="3"/>
  <c r="Y95" i="3" s="1"/>
  <c r="Y87" i="3"/>
  <c r="Y92" i="3" s="1"/>
  <c r="P26" i="2"/>
  <c r="X27" i="2" s="1"/>
  <c r="Z27" i="2" s="1"/>
  <c r="J27" i="2" s="1"/>
  <c r="G27" i="2"/>
  <c r="K27" i="2"/>
  <c r="Y107" i="3" l="1"/>
  <c r="Y108" i="3" s="1"/>
  <c r="F27" i="2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<sst xmlns="http://schemas.openxmlformats.org/spreadsheetml/2006/main" count="388" uniqueCount="264">
  <si>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</si>
  <si>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</si>
  <si>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</si>
  <si>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</si>
  <si>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</si>
  <si>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</si>
  <si>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</si>
  <si>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</si>
  <si>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</si>
  <si>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</si>
  <si>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</si>
  <si>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</si>
  <si>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</si>
  <si>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</si>
  <si>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</si>
  <si>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</si>
  <si>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</si>
  <si>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</si>
  <si>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</si>
  <si>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</si>
  <si>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</si>
  <si>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</si>
  <si>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</si>
  <si>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</si>
  <si>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</si>
  <si>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</si>
  <si>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</si>
  <si>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</si>
  <si>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</si>
  <si>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</si>
  <si>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</si>
  <si>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</si>
  <si>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</si>
  <si>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</si>
  <si>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</si>
  <si>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</si>
  <si>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</si>
  <si>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</si>
  <si>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</si>
  <si>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</si>
  <si>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</si>
  <si>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</si>
  <si>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</si>
  <si>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</si>
  <si>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</si>
  <si>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</si>
  <si>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</si>
  <si>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</si>
  <si>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</si>
  <si>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</si>
  <si>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</si>
  <si>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</si>
  <si>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</si>
  <si>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</si>
  <si>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</si>
  <si>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</si>
  <si>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</si>
  <si>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</si>
  <si>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</si>
  <si>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</si>
  <si>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</si>
  <si>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</si>
  <si>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</si>
  <si>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</si>
  <si>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</si>
  <si>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</si>
  <si>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</si>
  <si>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</si>
  <si>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</si>
  <si>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</si>
  <si>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</si>
  <si>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</si>
  <si>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</si>
  <si>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</si>
  <si>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</si>
  <si>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</si>
  <si>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</si>
  <si>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</si>
  <si>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</si>
  <si>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</si>
  <si>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</si>
  <si>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</si>
  <si>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</si>
  <si>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</si>
  <si>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</si>
  <si>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</si>
  <si>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</si>
  <si>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</si>
  <si>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</si>
  <si>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</si>
  <si>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</si>
  <si>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</si>
  <si>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</si>
  <si>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</si>
  <si>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</si>
  <si>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</si>
  <si>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</si>
  <si>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</si>
  <si>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</si>
  <si>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</si>
  <si>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</si>
  <si>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</si>
  <si>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</si>
  <si>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</si>
  <si>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</si>
  <si>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</si>
  <si>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</si>
  <si>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</si>
  <si>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</si>
  <si>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</si>
  <si>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</si>
  <si>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</si>
  <si>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</si>
  <si>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</si>
  <si>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</si>
  <si>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</si>
  <si>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</si>
  <si>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</si>
  <si>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</si>
  <si>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</si>
  <si>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</si>
  <si>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</si>
  <si>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</si>
  <si>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</si>
  <si>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</si>
  <si>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</si>
  <si>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</si>
  <si>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</si>
  <si>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</si>
  <si>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</si>
  <si>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</si>
  <si>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</si>
  <si>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</si>
  <si>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</si>
  <si>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</si>
  <si>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</si>
  <si>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</si>
  <si>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</si>
  <si>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</si>
  <si>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</si>
  <si>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</si>
  <si>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</si>
  <si>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</si>
  <si>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</si>
  <si>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</si>
  <si>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</si>
  <si>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</si>
  <si>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</si>
  <si>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</si>
  <si>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</si>
  <si>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</si>
  <si>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</si>
  <si>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</si>
  <si>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</si>
  <si>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</si>
  <si>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</si>
  <si>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</si>
  <si>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</si>
  <si>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</si>
  <si>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</si>
  <si>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</si>
  <si>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</si>
  <si>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</si>
  <si>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</si>
  <si>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</si>
  <si>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</si>
  <si>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</si>
  <si>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</si>
  <si>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</si>
  <si>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c converted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</si>
  <si>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</si>
  <si>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</si>
  <si>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</si>
  <si>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</si>
  <si>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</si>
  <si>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</si>
  <si>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</si>
  <si>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other loss</t>
  </si>
  <si>
    <t>ratio of below ground biomass to above ground</t>
  </si>
  <si>
    <t>arr_c_available_from_conversion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</si>
  <si>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</si>
  <si>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</si>
  <si>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</si>
  <si>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</si>
  <si>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</si>
  <si>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</si>
  <si>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</si>
  <si>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arr_biomass_c_converted_away</t>
  </si>
  <si>
    <t>arr_young_sf_adjusted_by_tp_planted (T x T)   [e.g., col J]
arr_young_sf_adjustment_factor (T x T)   [e.g., col I]</t>
  </si>
  <si>
    <t>(ref to above)</t>
  </si>
  <si>
    <t>arr_orig_sf_adjustment_factor</t>
  </si>
  <si>
    <t>arr_orig_biomass_c_if_untouched</t>
  </si>
  <si>
    <t>arr_orig_sf_nominal</t>
  </si>
  <si>
    <t>arr_orig_sf_adjusted</t>
  </si>
  <si>
    <t>arr_orig_biomass_ag_c_starting</t>
  </si>
  <si>
    <t>arr_orig_biomass_average_per_area</t>
  </si>
  <si>
    <t>arr_young_biomass_ag_c_starting</t>
  </si>
  <si>
    <t>arr_total_biomass_ag_c_starting</t>
  </si>
  <si>
    <t>arr_orig_biomass_c_allocation_excluding_conversion</t>
  </si>
  <si>
    <t>arr_biomass_c_removed_from_original_demanded</t>
  </si>
  <si>
    <t>arr_biomass_c_removed_from_original_unmet</t>
  </si>
  <si>
    <t>arr_biomass_c_removed_from_original_final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</si>
  <si>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</si>
  <si>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</si>
  <si>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</si>
  <si>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</si>
  <si>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</si>
  <si>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</si>
  <si>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</si>
  <si>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</si>
  <si>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</si>
  <si>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</si>
  <si>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</si>
  <si>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</si>
  <si>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</si>
  <si>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</si>
  <si>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</si>
  <si>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</si>
  <si>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</si>
  <si>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</si>
  <si>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</si>
  <si>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</si>
  <si>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</si>
  <si>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</si>
  <si>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</si>
  <si>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</si>
  <si>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</si>
  <si>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</si>
  <si>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</si>
  <si>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</si>
  <si>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</si>
  <si>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</si>
  <si>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</si>
  <si>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arr_biomass_c_ag_loss_decomposition</t>
  </si>
  <si>
    <t>arr_biomass_c_bg_loss_removals</t>
  </si>
  <si>
    <t xml:space="preserve">removals </t>
  </si>
  <si>
    <t>arr_biomass_c_removed_from_original_forest</t>
  </si>
  <si>
    <t>vec_biomass_c_removed_from_young</t>
  </si>
  <si>
    <t>arr_total_biomass_bg_c_starting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</si>
  <si>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</si>
  <si>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</si>
  <si>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</si>
  <si>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</si>
  <si>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</si>
  <si>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</si>
  <si>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</si>
  <si>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</si>
  <si>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</si>
  <si>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</si>
  <si>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</si>
  <si>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</si>
  <si>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</si>
  <si>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arr_biomass_c_min_reqd_per_area</t>
  </si>
  <si>
    <t>vec_biomass_c_ag_init_stst_storage</t>
  </si>
  <si>
    <t>vec_biomass_c_ag_init_healthy_available</t>
  </si>
  <si>
    <t>vec_biomass_c_bg_to_ag_ratio</t>
  </si>
  <si>
    <t>vec_annual_sf_nominal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</si>
  <si>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</si>
  <si>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</si>
  <si>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</si>
  <si>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</si>
  <si>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</si>
  <si>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z</t>
  </si>
  <si>
    <t>arr_young_biomass_c_ag_stock_if_untouched (T x 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</si>
</sst>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0"/>
  <sheetViews>
    <sheetView tabSelected="1" topLeftCell="A67" zoomScaleNormal="95" workbookViewId="0">
      <selection activeCell="A77" sqref="A77:A80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156</v>
      </c>
      <c r="B5" s="36" t="s">
        <v>163</v>
      </c>
      <c r="D5" s="31" t="s">
        <v>154</v>
      </c>
      <c r="E5" s="31" t="s">
        <v>155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136</v>
      </c>
      <c r="Y5" s="29"/>
      <c r="AB5" s="49" t="s">
        <v>258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165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6" t="s">
        <v>157</v>
      </c>
      <c r="B7" s="40" t="s">
        <v>180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6" t="s">
        <v>158</v>
      </c>
      <c r="B8" s="41" t="s">
        <v>164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6" t="s">
        <v>246</v>
      </c>
      <c r="B9" s="41" t="s">
        <v>164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6" t="s">
        <v>245</v>
      </c>
      <c r="B10" s="40" t="s">
        <v>180</v>
      </c>
      <c r="E10" s="10" t="s">
        <v>146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6" t="s">
        <v>243</v>
      </c>
      <c r="B11" s="40" t="s">
        <v>180</v>
      </c>
      <c r="E11" s="10" t="s">
        <v>113</v>
      </c>
      <c r="G11" s="4">
        <f>MAX(G10-G24,0)</f>
        <v>0</v>
      </c>
      <c r="J11" s="4">
        <f>MAX(J10-J24,0)</f>
        <v>0</v>
      </c>
      <c r="M11" s="4">
        <f>MAX(M10-M24,0)</f>
        <v>0</v>
      </c>
      <c r="P11" s="4">
        <f>MAX(P10-P24,0)</f>
        <v>0</v>
      </c>
      <c r="S11" s="4">
        <f>MAX(S10-S24,0)</f>
        <v>0</v>
      </c>
      <c r="V11" s="4">
        <f>MAX(V10-V24,0)</f>
        <v>0</v>
      </c>
      <c r="Y11" s="4">
        <f>MAX(Y10-Y24,0)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6" t="s">
        <v>244</v>
      </c>
      <c r="B12" s="41" t="s">
        <v>164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6" t="s">
        <v>159</v>
      </c>
      <c r="B13" s="40" t="s">
        <v>180</v>
      </c>
      <c r="E13" s="10" t="s">
        <v>144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6" t="s">
        <v>247</v>
      </c>
      <c r="B14" s="41" t="s">
        <v>164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51" x14ac:dyDescent="0.2">
      <c r="A15" s="46" t="s">
        <v>248</v>
      </c>
      <c r="B15" s="41" t="s">
        <v>164</v>
      </c>
      <c r="E15" s="10" t="s">
        <v>251</v>
      </c>
      <c r="F15" s="4">
        <v>1E-3</v>
      </c>
      <c r="I15" s="4">
        <v>0.3</v>
      </c>
      <c r="L15" s="4">
        <v>0.3</v>
      </c>
      <c r="O15" s="4">
        <v>0.3</v>
      </c>
      <c r="R15" s="4">
        <v>0.3</v>
      </c>
      <c r="U15" s="4">
        <v>0.3</v>
      </c>
      <c r="X15" s="4">
        <v>0.3</v>
      </c>
      <c r="AC15" s="19">
        <v>1.8</v>
      </c>
      <c r="AD15" s="19">
        <f>SUM(AC$6:AC15)</f>
        <v>3.34</v>
      </c>
      <c r="AE15" s="19">
        <v>20</v>
      </c>
    </row>
    <row r="16" spans="1:39" ht="34" x14ac:dyDescent="0.2">
      <c r="A16" s="46" t="s">
        <v>249</v>
      </c>
      <c r="B16" s="41" t="s">
        <v>164</v>
      </c>
      <c r="D16" s="28" t="s">
        <v>118</v>
      </c>
      <c r="E16" s="10" t="s">
        <v>117</v>
      </c>
      <c r="F16" s="4">
        <v>0.2</v>
      </c>
      <c r="AC16" s="19">
        <v>3</v>
      </c>
      <c r="AD16" s="19">
        <f>SUM(AC$6:AC16)</f>
        <v>6.34</v>
      </c>
      <c r="AE16" s="19">
        <v>20</v>
      </c>
    </row>
    <row r="17" spans="1:31" ht="51" x14ac:dyDescent="0.2">
      <c r="A17" s="46" t="s">
        <v>250</v>
      </c>
      <c r="B17" s="41" t="s">
        <v>164</v>
      </c>
      <c r="D17" s="28"/>
      <c r="E17" s="10" t="s">
        <v>139</v>
      </c>
      <c r="F17" s="4">
        <v>0.67</v>
      </c>
      <c r="AC17" s="19">
        <v>6</v>
      </c>
      <c r="AD17" s="19">
        <f>SUM(AC$6:AC17)</f>
        <v>12.34</v>
      </c>
      <c r="AE17" s="19">
        <v>20</v>
      </c>
    </row>
    <row r="18" spans="1:31" ht="17" x14ac:dyDescent="0.2">
      <c r="A18" s="46" t="s">
        <v>253</v>
      </c>
      <c r="B18" s="41" t="s">
        <v>164</v>
      </c>
      <c r="E18" s="10" t="s">
        <v>116</v>
      </c>
      <c r="F18" s="4">
        <v>150</v>
      </c>
      <c r="G18" s="4">
        <v>100</v>
      </c>
      <c r="AC18" s="19">
        <v>10</v>
      </c>
      <c r="AD18" s="19">
        <f>SUM(AC$6:AC18)</f>
        <v>22.34</v>
      </c>
      <c r="AE18" s="19">
        <v>20</v>
      </c>
    </row>
    <row r="19" spans="1:31" ht="17" x14ac:dyDescent="0.2">
      <c r="A19" s="46" t="s">
        <v>255</v>
      </c>
      <c r="B19" s="41" t="s">
        <v>164</v>
      </c>
      <c r="E19" s="10" t="s">
        <v>178</v>
      </c>
      <c r="F19" s="4">
        <v>0.3</v>
      </c>
      <c r="G19" s="4">
        <v>0.25</v>
      </c>
      <c r="AC19" s="19"/>
      <c r="AD19" s="19"/>
      <c r="AE19" s="19"/>
    </row>
    <row r="20" spans="1:31" ht="17" x14ac:dyDescent="0.2">
      <c r="A20" s="46" t="s">
        <v>252</v>
      </c>
      <c r="B20" s="42" t="s">
        <v>180</v>
      </c>
      <c r="E20" s="10" t="s">
        <v>115</v>
      </c>
      <c r="F20" s="4">
        <f>F$18*$F$15</f>
        <v>0.15</v>
      </c>
      <c r="G20" s="4">
        <f>G$18*$F$15</f>
        <v>0.1</v>
      </c>
      <c r="AC20" s="19">
        <v>12</v>
      </c>
      <c r="AD20" s="19">
        <f>SUM(AC$6:AC20)</f>
        <v>34.340000000000003</v>
      </c>
      <c r="AE20" s="19">
        <v>20</v>
      </c>
    </row>
    <row r="21" spans="1:31" ht="17" x14ac:dyDescent="0.2">
      <c r="A21" s="46" t="s">
        <v>254</v>
      </c>
      <c r="B21" s="42" t="s">
        <v>180</v>
      </c>
      <c r="E21" s="10" t="s">
        <v>181</v>
      </c>
      <c r="F21" s="4">
        <f>F18-F20</f>
        <v>149.85</v>
      </c>
      <c r="G21" s="4">
        <f>G18-G20</f>
        <v>99.9</v>
      </c>
      <c r="AC21" s="19">
        <v>13.5</v>
      </c>
      <c r="AD21" s="19">
        <f>SUM(AC$6:AC21)</f>
        <v>47.84</v>
      </c>
      <c r="AE21" s="19">
        <v>20</v>
      </c>
    </row>
    <row r="22" spans="1:31" x14ac:dyDescent="0.2">
      <c r="AC22" s="19">
        <v>12</v>
      </c>
      <c r="AD22" s="19">
        <f>SUM(AC$6:AC22)</f>
        <v>59.84</v>
      </c>
      <c r="AE22" s="19">
        <v>20</v>
      </c>
    </row>
    <row r="23" spans="1:31" ht="17" x14ac:dyDescent="0.2">
      <c r="A23" s="46" t="s">
        <v>160</v>
      </c>
      <c r="B23" s="41" t="s">
        <v>164</v>
      </c>
      <c r="E23" s="10" t="s">
        <v>52</v>
      </c>
      <c r="F23" s="4">
        <v>5000</v>
      </c>
      <c r="G23" s="4">
        <v>50000</v>
      </c>
      <c r="I23" s="4">
        <v>5000</v>
      </c>
      <c r="J23" s="4">
        <v>50000</v>
      </c>
      <c r="L23" s="4">
        <v>5500</v>
      </c>
      <c r="M23" s="4">
        <v>50000</v>
      </c>
      <c r="O23" s="4">
        <v>6000</v>
      </c>
      <c r="P23" s="4">
        <v>50000</v>
      </c>
      <c r="R23" s="4">
        <v>6500</v>
      </c>
      <c r="S23" s="4">
        <v>49000</v>
      </c>
      <c r="U23" s="4">
        <v>7200</v>
      </c>
      <c r="V23" s="4">
        <v>49500</v>
      </c>
      <c r="X23" s="4">
        <v>7200</v>
      </c>
      <c r="Y23" s="4">
        <v>49500</v>
      </c>
      <c r="AC23" s="19">
        <v>10</v>
      </c>
      <c r="AD23" s="19">
        <f>SUM(AC$6:AC23)</f>
        <v>69.84</v>
      </c>
      <c r="AE23" s="19">
        <v>20</v>
      </c>
    </row>
    <row r="24" spans="1:31" ht="17" x14ac:dyDescent="0.2">
      <c r="A24" s="46" t="s">
        <v>161</v>
      </c>
      <c r="B24" s="43" t="s">
        <v>166</v>
      </c>
      <c r="E24" s="14" t="s">
        <v>108</v>
      </c>
      <c r="G24" s="4">
        <f>MAX(G$23-G$13, 0)</f>
        <v>0</v>
      </c>
      <c r="J24" s="4">
        <f>MAX(J$23-J$13, 0)</f>
        <v>0</v>
      </c>
      <c r="M24" s="4">
        <f>MAX(M$23-M$13, 0)</f>
        <v>0</v>
      </c>
      <c r="P24" s="4">
        <f>MAX(P$23-P$13, 0)</f>
        <v>0</v>
      </c>
      <c r="S24" s="4">
        <f>MAX(S$23-S$13, 0)</f>
        <v>0</v>
      </c>
      <c r="V24" s="4">
        <f>MAX(V$23-V$13, 0)</f>
        <v>0</v>
      </c>
      <c r="Y24" s="4">
        <f>MAX(Y$23-Y$13, 0)</f>
        <v>0</v>
      </c>
      <c r="AC24" s="19">
        <v>6</v>
      </c>
      <c r="AD24" s="19">
        <f>SUM(AC$6:AC24)</f>
        <v>75.84</v>
      </c>
      <c r="AE24" s="19">
        <v>20</v>
      </c>
    </row>
    <row r="25" spans="1:31" ht="17" x14ac:dyDescent="0.2">
      <c r="A25" s="46" t="s">
        <v>162</v>
      </c>
      <c r="B25" s="43" t="s">
        <v>166</v>
      </c>
      <c r="E25" s="14" t="s">
        <v>145</v>
      </c>
      <c r="F25" s="4">
        <f>MIN(F13,F23)</f>
        <v>5000</v>
      </c>
      <c r="G25" s="4">
        <f>MIN(G13,G23)-G24</f>
        <v>50000</v>
      </c>
      <c r="I25" s="4">
        <f>MIN(I13,I23)</f>
        <v>5000</v>
      </c>
      <c r="J25" s="4">
        <f>MIN(J13,J23)-J24</f>
        <v>50000</v>
      </c>
      <c r="L25" s="4">
        <f>MIN(L13,L23)</f>
        <v>5500</v>
      </c>
      <c r="M25" s="4">
        <f>MIN(M13,M23)-M24</f>
        <v>50000</v>
      </c>
      <c r="O25" s="4">
        <f>MIN(O13,O23)</f>
        <v>6000</v>
      </c>
      <c r="P25" s="4">
        <f>MIN(P13,P23)-P24</f>
        <v>50000</v>
      </c>
      <c r="R25" s="4">
        <f>MIN(R13,R23)</f>
        <v>6500</v>
      </c>
      <c r="S25" s="4">
        <f>MIN(S13,S23)-S24</f>
        <v>49000</v>
      </c>
      <c r="U25" s="4">
        <f>MIN(U13,U23)</f>
        <v>7200</v>
      </c>
      <c r="V25" s="4">
        <f>MIN(V13,V23)-V24</f>
        <v>49500</v>
      </c>
      <c r="X25" s="4">
        <f>MIN(X13,X23)</f>
        <v>7200</v>
      </c>
      <c r="Y25" s="4">
        <f>MIN(Y13,Y23)-Y24</f>
        <v>49500</v>
      </c>
      <c r="AC25" s="19">
        <v>3</v>
      </c>
      <c r="AD25" s="19">
        <f>SUM(AC$6:AC25)</f>
        <v>78.84</v>
      </c>
      <c r="AE25" s="19">
        <v>20</v>
      </c>
    </row>
    <row r="26" spans="1:31" ht="17" x14ac:dyDescent="0.2">
      <c r="E26" s="15" t="s">
        <v>173</v>
      </c>
      <c r="F26" s="8"/>
      <c r="G26" s="8"/>
      <c r="I26" s="8"/>
      <c r="J26" s="8"/>
      <c r="L26" s="8"/>
      <c r="M26" s="8"/>
      <c r="O26" s="8"/>
      <c r="P26" s="8"/>
      <c r="R26" s="8"/>
      <c r="S26" s="8"/>
      <c r="U26" s="8"/>
      <c r="V26" s="8"/>
      <c r="X26" s="8"/>
      <c r="Y26" s="8"/>
      <c r="AC26" s="19">
        <v>1.8</v>
      </c>
      <c r="AD26" s="19">
        <f>SUM(AC$6:AC26)</f>
        <v>80.64</v>
      </c>
      <c r="AE26" s="19">
        <v>20</v>
      </c>
    </row>
    <row r="27" spans="1:31" ht="73" customHeight="1" x14ac:dyDescent="0.2">
      <c r="A27" s="46" t="s">
        <v>256</v>
      </c>
      <c r="B27" s="41" t="s">
        <v>164</v>
      </c>
      <c r="D27" s="28" t="s">
        <v>174</v>
      </c>
      <c r="E27" s="34" t="s">
        <v>68</v>
      </c>
      <c r="F27" s="4">
        <v>0.3</v>
      </c>
      <c r="G27" s="4">
        <v>0.92</v>
      </c>
    </row>
    <row r="28" spans="1:31" ht="73" customHeight="1" x14ac:dyDescent="0.2">
      <c r="A28" s="46" t="s">
        <v>257</v>
      </c>
      <c r="B28" s="42" t="s">
        <v>180</v>
      </c>
      <c r="D28" s="28"/>
      <c r="E28" s="34" t="s">
        <v>175</v>
      </c>
      <c r="F28" s="4">
        <f>F27/F18</f>
        <v>2E-3</v>
      </c>
      <c r="G28" s="4">
        <f>F28</f>
        <v>2E-3</v>
      </c>
    </row>
    <row r="29" spans="1:31" ht="18" customHeight="1" x14ac:dyDescent="0.2">
      <c r="D29" s="35"/>
    </row>
    <row r="30" spans="1:31" ht="17" x14ac:dyDescent="0.2">
      <c r="E30" s="15" t="s">
        <v>56</v>
      </c>
      <c r="F30" s="8"/>
      <c r="G30" s="8"/>
      <c r="I30" s="8"/>
      <c r="J30" s="8"/>
      <c r="L30" s="8"/>
      <c r="M30" s="8"/>
      <c r="O30" s="8"/>
      <c r="P30" s="8"/>
      <c r="R30" s="8"/>
      <c r="S30" s="8"/>
      <c r="U30" s="8"/>
      <c r="V30" s="8"/>
      <c r="X30" s="8"/>
      <c r="Y30" s="8"/>
    </row>
    <row r="31" spans="1:31" ht="17" x14ac:dyDescent="0.2">
      <c r="A31" s="46" t="s">
        <v>172</v>
      </c>
      <c r="B31" s="41" t="s">
        <v>164</v>
      </c>
      <c r="E31" s="10" t="s">
        <v>53</v>
      </c>
      <c r="F31" s="4">
        <v>2000000</v>
      </c>
      <c r="I31" s="4">
        <v>2050000</v>
      </c>
      <c r="L31" s="4">
        <v>2110000</v>
      </c>
      <c r="O31" s="4">
        <v>2210000</v>
      </c>
      <c r="R31" s="4">
        <v>3000000</v>
      </c>
      <c r="U31" s="4">
        <v>25000000</v>
      </c>
      <c r="X31" s="4">
        <v>2520000</v>
      </c>
    </row>
    <row r="33" spans="1:26" ht="17" x14ac:dyDescent="0.2">
      <c r="E33" s="11" t="s">
        <v>57</v>
      </c>
      <c r="F33" s="12"/>
      <c r="G33" s="12"/>
      <c r="I33" s="12"/>
      <c r="J33" s="12"/>
      <c r="L33" s="12"/>
      <c r="M33" s="12"/>
      <c r="O33" s="12"/>
      <c r="P33" s="12"/>
      <c r="R33" s="12"/>
      <c r="S33" s="12"/>
      <c r="U33" s="12"/>
      <c r="V33" s="12"/>
      <c r="X33" s="12"/>
      <c r="Y33" s="12"/>
    </row>
    <row r="34" spans="1:26" ht="17" x14ac:dyDescent="0.2">
      <c r="E34" s="15" t="s">
        <v>140</v>
      </c>
      <c r="F34" s="8" t="s">
        <v>124</v>
      </c>
      <c r="G34" s="8"/>
      <c r="I34" s="4" t="s">
        <v>127</v>
      </c>
      <c r="L34" s="4" t="s">
        <v>127</v>
      </c>
      <c r="N34" s="5" t="s">
        <v>125</v>
      </c>
      <c r="O34" s="4" t="s">
        <v>127</v>
      </c>
    </row>
    <row r="35" spans="1:26" ht="17" x14ac:dyDescent="0.2">
      <c r="A35" s="33" t="s">
        <v>185</v>
      </c>
      <c r="E35" s="14" t="s">
        <v>88</v>
      </c>
      <c r="G35" s="4">
        <v>0</v>
      </c>
      <c r="H35" s="5">
        <f>SUM(J$35:J35)</f>
        <v>0</v>
      </c>
      <c r="J35" s="4">
        <v>0</v>
      </c>
      <c r="K35" s="5">
        <f>SUM(M$35:M35)</f>
        <v>0</v>
      </c>
      <c r="M35" s="4">
        <v>0</v>
      </c>
      <c r="N35" s="5">
        <f>SUM(P$35:P35)</f>
        <v>0</v>
      </c>
      <c r="P35" s="4">
        <v>0</v>
      </c>
      <c r="Q35" s="5">
        <f>SUM(S$35:S35)</f>
        <v>0</v>
      </c>
      <c r="S35" s="4">
        <v>0</v>
      </c>
      <c r="T35" s="5">
        <f>SUM(V$35:V35)</f>
        <v>0</v>
      </c>
      <c r="V35" s="4">
        <v>0</v>
      </c>
      <c r="W35" s="5">
        <f>SUM(Y$35:Y35)</f>
        <v>0</v>
      </c>
      <c r="Y35" s="4">
        <v>0</v>
      </c>
    </row>
    <row r="36" spans="1:26" ht="17" x14ac:dyDescent="0.2">
      <c r="A36" s="47" t="s">
        <v>186</v>
      </c>
      <c r="B36" s="37" t="s">
        <v>180</v>
      </c>
      <c r="E36" s="14" t="s">
        <v>87</v>
      </c>
      <c r="F36" s="4">
        <v>0</v>
      </c>
      <c r="G36" s="4">
        <f>G12</f>
        <v>85</v>
      </c>
      <c r="H36" s="5">
        <f>SUM(G$35:G36)</f>
        <v>85</v>
      </c>
      <c r="I36" s="4">
        <f>IF(H36&gt;=J$11, IF(H35&lt;J$11, J$11-H35, 0),G36)</f>
        <v>0</v>
      </c>
      <c r="J36" s="4">
        <f>G36-I36</f>
        <v>85</v>
      </c>
      <c r="K36" s="5">
        <f>SUM(J$35:J36)</f>
        <v>85</v>
      </c>
      <c r="L36" s="4">
        <f>IF(K36&gt;=M$11, IF(K35&lt;M$11, M$11-K35, 0),J36)</f>
        <v>0</v>
      </c>
      <c r="M36" s="4">
        <f>J36-L36</f>
        <v>85</v>
      </c>
      <c r="N36" s="5">
        <f>SUM(M$35:M36)</f>
        <v>85</v>
      </c>
      <c r="O36" s="4">
        <f>IF(N36&gt;=P$11, IF(N35&lt;P$11, P$11-N35, 0),M36)</f>
        <v>0</v>
      </c>
      <c r="P36" s="4">
        <f>M36-O36</f>
        <v>85</v>
      </c>
      <c r="Q36" s="5">
        <f>SUM(P$35:P36)</f>
        <v>85</v>
      </c>
      <c r="R36" s="4">
        <f>IF(Q36&gt;=S$11, IF(Q35&lt;S$11, S$11-Q35, 0),P36)</f>
        <v>0</v>
      </c>
      <c r="S36" s="4">
        <f>P36-R36</f>
        <v>85</v>
      </c>
      <c r="T36" s="5">
        <f>SUM(S$35:S36)</f>
        <v>85</v>
      </c>
      <c r="U36" s="4">
        <f>IF(T36&gt;=V$11, IF(T35&lt;V$11, V$11-T35, 0),S36)</f>
        <v>0</v>
      </c>
      <c r="V36" s="4">
        <f>S36-U36</f>
        <v>85</v>
      </c>
      <c r="W36" s="5">
        <f>SUM(V$35:V36)</f>
        <v>85</v>
      </c>
      <c r="X36" s="4">
        <f>IF(W36&gt;=Y$11, IF(W35&lt;Y$11, Y$11-W35, 0),V36)</f>
        <v>0</v>
      </c>
      <c r="Y36" s="4">
        <f>V36-X36</f>
        <v>85</v>
      </c>
    </row>
    <row r="37" spans="1:26" ht="17" x14ac:dyDescent="0.2">
      <c r="A37" s="48"/>
      <c r="B37" s="37"/>
      <c r="E37" s="14" t="s">
        <v>69</v>
      </c>
      <c r="F37" s="4">
        <v>0</v>
      </c>
      <c r="G37" s="4">
        <v>0</v>
      </c>
      <c r="H37" s="5">
        <f>SUM(G$35:G37)</f>
        <v>85</v>
      </c>
      <c r="I37" s="4">
        <f>IF(H37&gt;=J$11, IF(H36&lt;J$11, J$11-H36, 0),G37)</f>
        <v>0</v>
      </c>
      <c r="J37" s="4">
        <f>J12</f>
        <v>80</v>
      </c>
      <c r="K37" s="5">
        <f>SUM(J$35:J37)</f>
        <v>165</v>
      </c>
      <c r="L37" s="4">
        <f t="shared" ref="L37:L39" si="0">IF(K37&gt;=M$11, IF(K36&lt;M$11, M$11-K36, 0),J37)</f>
        <v>0</v>
      </c>
      <c r="M37" s="4">
        <f>J37-L37</f>
        <v>80</v>
      </c>
      <c r="N37" s="5">
        <f>SUM(M$35:M37)</f>
        <v>165</v>
      </c>
      <c r="O37" s="4">
        <f t="shared" ref="O37:O39" si="1">IF(N37&gt;=P$11, IF(N36&lt;P$11, P$11-N36, 0),M37)</f>
        <v>0</v>
      </c>
      <c r="P37" s="4">
        <f>M37-O37</f>
        <v>80</v>
      </c>
      <c r="Q37" s="5">
        <f>SUM(P$35:P37)</f>
        <v>165</v>
      </c>
      <c r="R37" s="4">
        <f t="shared" ref="R37:R39" si="2">IF(Q37&gt;=S$11, IF(Q36&lt;S$11, S$11-Q36, 0),P37)</f>
        <v>0</v>
      </c>
      <c r="S37" s="4">
        <f>P37-R37</f>
        <v>80</v>
      </c>
      <c r="T37" s="5">
        <f>SUM(S$35:S37)</f>
        <v>165</v>
      </c>
      <c r="U37" s="4">
        <f t="shared" ref="U37:U39" si="3">IF(T37&gt;=V$11, IF(T36&lt;V$11, V$11-T36, 0),S37)</f>
        <v>0</v>
      </c>
      <c r="V37" s="4">
        <f>S37-U37</f>
        <v>80</v>
      </c>
      <c r="W37" s="5">
        <f>SUM(V$35:V37)</f>
        <v>165</v>
      </c>
      <c r="X37" s="4">
        <f t="shared" ref="X37:X39" si="4">IF(W37&gt;=Y$11, IF(W36&lt;Y$11, Y$11-W36, 0),V37)</f>
        <v>0</v>
      </c>
      <c r="Y37" s="4">
        <f>V37-X37</f>
        <v>80</v>
      </c>
    </row>
    <row r="38" spans="1:26" ht="17" x14ac:dyDescent="0.2">
      <c r="A38" s="48"/>
      <c r="B38" s="37"/>
      <c r="E38" s="14" t="s">
        <v>79</v>
      </c>
      <c r="F38" s="4">
        <v>0</v>
      </c>
      <c r="G38" s="4">
        <v>0</v>
      </c>
      <c r="H38" s="5">
        <f>SUM(G$35:G38)</f>
        <v>85</v>
      </c>
      <c r="I38" s="4">
        <f>IF(H38&gt;=J$11, IF(H37&lt;J$11, J$11-H37, 0),G38)</f>
        <v>0</v>
      </c>
      <c r="J38" s="4">
        <v>0</v>
      </c>
      <c r="K38" s="5">
        <f>SUM(J$35:J38)</f>
        <v>165</v>
      </c>
      <c r="L38" s="4">
        <f t="shared" si="0"/>
        <v>0</v>
      </c>
      <c r="M38" s="4">
        <f>M12</f>
        <v>92</v>
      </c>
      <c r="N38" s="5">
        <f>SUM(M$35:M38)</f>
        <v>257</v>
      </c>
      <c r="O38" s="4">
        <f t="shared" si="1"/>
        <v>0</v>
      </c>
      <c r="P38" s="4">
        <f>M38-O38</f>
        <v>92</v>
      </c>
      <c r="Q38" s="5">
        <f>SUM(P$35:P38)</f>
        <v>257</v>
      </c>
      <c r="R38" s="4">
        <f t="shared" si="2"/>
        <v>0</v>
      </c>
      <c r="S38" s="4">
        <f>P38-R38</f>
        <v>92</v>
      </c>
      <c r="T38" s="5">
        <f>SUM(S$35:S38)</f>
        <v>257</v>
      </c>
      <c r="U38" s="4">
        <f t="shared" si="3"/>
        <v>0</v>
      </c>
      <c r="V38" s="4">
        <f>S38-U38</f>
        <v>92</v>
      </c>
      <c r="W38" s="5">
        <f>SUM(V$35:V38)</f>
        <v>257</v>
      </c>
      <c r="X38" s="4">
        <f t="shared" si="4"/>
        <v>0</v>
      </c>
      <c r="Y38" s="4">
        <f>V38-X38</f>
        <v>92</v>
      </c>
    </row>
    <row r="39" spans="1:26" ht="17" x14ac:dyDescent="0.2">
      <c r="A39" s="48"/>
      <c r="B39" s="37"/>
      <c r="E39" s="14" t="s">
        <v>80</v>
      </c>
      <c r="F39" s="4">
        <v>0</v>
      </c>
      <c r="G39" s="4">
        <v>0</v>
      </c>
      <c r="H39" s="5">
        <f>SUM(G$35:G39)</f>
        <v>85</v>
      </c>
      <c r="I39" s="4">
        <f t="shared" ref="I38:I39" si="5">IF(H39&gt;=J$11, IF(H38&lt;J$11, J$11-H38, 0),G39)</f>
        <v>0</v>
      </c>
      <c r="J39" s="4">
        <v>0</v>
      </c>
      <c r="K39" s="5">
        <f>SUM(J$35:J39)</f>
        <v>165</v>
      </c>
      <c r="L39" s="4">
        <f t="shared" si="0"/>
        <v>0</v>
      </c>
      <c r="M39" s="4">
        <v>0</v>
      </c>
      <c r="N39" s="5">
        <f>SUM(M$35:M39)</f>
        <v>257</v>
      </c>
      <c r="O39" s="4">
        <f t="shared" si="1"/>
        <v>0</v>
      </c>
      <c r="P39" s="4">
        <f>P12</f>
        <v>43</v>
      </c>
      <c r="Q39" s="5">
        <f>SUM(P$35:P39)</f>
        <v>300</v>
      </c>
      <c r="R39" s="4">
        <f t="shared" si="2"/>
        <v>0</v>
      </c>
      <c r="S39" s="4">
        <f>P39-R39</f>
        <v>43</v>
      </c>
      <c r="T39" s="5">
        <f>SUM(S$35:S39)</f>
        <v>300</v>
      </c>
      <c r="U39" s="4">
        <f t="shared" si="3"/>
        <v>0</v>
      </c>
      <c r="V39" s="4">
        <f>S39-U39</f>
        <v>43</v>
      </c>
      <c r="W39" s="5">
        <f>SUM(V$35:V39)</f>
        <v>300</v>
      </c>
      <c r="X39" s="4">
        <f t="shared" si="4"/>
        <v>0</v>
      </c>
      <c r="Y39" s="4">
        <f>V39-X39</f>
        <v>43</v>
      </c>
    </row>
    <row r="40" spans="1:26" ht="17" x14ac:dyDescent="0.2">
      <c r="E40" s="14" t="s">
        <v>82</v>
      </c>
      <c r="Z40" t="s">
        <v>77</v>
      </c>
    </row>
    <row r="41" spans="1:26" ht="17" x14ac:dyDescent="0.2">
      <c r="A41" s="48" t="s">
        <v>208</v>
      </c>
      <c r="B41" s="37" t="s">
        <v>180</v>
      </c>
      <c r="E41" s="14" t="s">
        <v>212</v>
      </c>
      <c r="G41" s="4">
        <v>0</v>
      </c>
      <c r="J41" s="4">
        <f>IF(G36=0, 0, G87*I36/G36)</f>
        <v>0</v>
      </c>
      <c r="M41" s="4">
        <f>IF(J36=0, 0, J87*L36/J36)</f>
        <v>0</v>
      </c>
      <c r="P41" s="4">
        <f>IF(M36=0, 0, M87*O36/M36)</f>
        <v>0</v>
      </c>
      <c r="S41" s="4">
        <f>IF(P36=0, 0, P87*R36/P36)</f>
        <v>0</v>
      </c>
      <c r="V41" s="4">
        <f>IF(S36=0, 0, S87*U36/S36)</f>
        <v>0</v>
      </c>
      <c r="Y41" s="4">
        <f>IF(V36=0, 0, V87*X36/V36)</f>
        <v>0</v>
      </c>
    </row>
    <row r="42" spans="1:26" ht="17" x14ac:dyDescent="0.2">
      <c r="A42" s="48"/>
      <c r="B42" s="37"/>
      <c r="E42" s="14" t="s">
        <v>213</v>
      </c>
      <c r="G42" s="4">
        <v>0</v>
      </c>
      <c r="J42" s="4">
        <f>IF(G37=0, 0, G88*I37/G37)</f>
        <v>0</v>
      </c>
      <c r="M42" s="4">
        <f>IF(J37=0, 0, J88*L37/J37)</f>
        <v>0</v>
      </c>
      <c r="P42" s="4">
        <f>IF(M37=0, 0, M88*O37/M37)</f>
        <v>0</v>
      </c>
      <c r="S42" s="4">
        <f>IF(P37=0, 0, P88*R37/P37)</f>
        <v>0</v>
      </c>
      <c r="V42" s="4">
        <f>IF(S37=0, 0, S88*U37/S37)</f>
        <v>0</v>
      </c>
      <c r="Y42" s="4">
        <f>IF(V37=0, 0, V88*X37/V37)</f>
        <v>0</v>
      </c>
    </row>
    <row r="43" spans="1:26" ht="17" x14ac:dyDescent="0.2">
      <c r="A43" s="48"/>
      <c r="B43" s="37"/>
      <c r="E43" s="14" t="s">
        <v>214</v>
      </c>
      <c r="G43" s="4">
        <v>0</v>
      </c>
      <c r="J43" s="4">
        <f>IF(G38=0, 0, G89*I38/G38)</f>
        <v>0</v>
      </c>
      <c r="M43" s="4">
        <f>IF(J38=0, 0, J89*L38/J38)</f>
        <v>0</v>
      </c>
      <c r="P43" s="4">
        <f>IF(M38=0, 0, M89*O38/M38)</f>
        <v>0</v>
      </c>
      <c r="S43" s="4">
        <f>IF(P38=0, 0, P89*R38/P38)</f>
        <v>0</v>
      </c>
      <c r="V43" s="4">
        <f>IF(S38=0, 0, S89*U38/S38)</f>
        <v>0</v>
      </c>
      <c r="Y43" s="4">
        <f>IF(V38=0, 0, V89*X38/V38)</f>
        <v>0</v>
      </c>
    </row>
    <row r="44" spans="1:26" ht="17" x14ac:dyDescent="0.2">
      <c r="A44" s="48"/>
      <c r="B44" s="37"/>
      <c r="E44" s="14" t="s">
        <v>215</v>
      </c>
      <c r="G44" s="4">
        <v>0</v>
      </c>
      <c r="J44" s="4">
        <f>IF(G39=0, 0, G90*I39/G39)</f>
        <v>0</v>
      </c>
      <c r="M44" s="4">
        <f>IF(J39=0, 0, J90*L39/J39)</f>
        <v>0</v>
      </c>
      <c r="P44" s="4">
        <f>IF(M39=0, 0, M90*O39/M39)</f>
        <v>0</v>
      </c>
      <c r="S44" s="4">
        <f>IF(P39=0, 0, P90*R39/P39)</f>
        <v>0</v>
      </c>
      <c r="V44" s="4">
        <f>IF(S39=0, 0, S90*U39/S39)</f>
        <v>0</v>
      </c>
      <c r="Y44" s="4">
        <f>IF(V39=0, 0, V90*X39/V39)</f>
        <v>0</v>
      </c>
    </row>
    <row r="45" spans="1:26" x14ac:dyDescent="0.2">
      <c r="A45" s="46" t="s">
        <v>209</v>
      </c>
      <c r="B45" s="40" t="s">
        <v>180</v>
      </c>
      <c r="E45" s="14"/>
      <c r="G45" s="4">
        <f>SUM(G41:G44)</f>
        <v>0</v>
      </c>
      <c r="J45" s="4">
        <f>SUM(J41:J44)</f>
        <v>0</v>
      </c>
      <c r="M45" s="4">
        <f>SUM(M41:M44)</f>
        <v>0</v>
      </c>
      <c r="P45" s="4">
        <f>SUM(P41:P44)</f>
        <v>0</v>
      </c>
      <c r="S45" s="4">
        <f>SUM(S41:S44)</f>
        <v>0</v>
      </c>
      <c r="V45" s="4">
        <f>SUM(V41:V44)</f>
        <v>0</v>
      </c>
      <c r="Y45" s="4">
        <f>SUM(Y41:Y44)</f>
        <v>0</v>
      </c>
    </row>
    <row r="46" spans="1:26" x14ac:dyDescent="0.2">
      <c r="E46" s="14"/>
    </row>
    <row r="47" spans="1:26" ht="17" x14ac:dyDescent="0.2">
      <c r="A47" s="48" t="s">
        <v>210</v>
      </c>
      <c r="B47" s="37" t="s">
        <v>180</v>
      </c>
      <c r="E47" s="14" t="s">
        <v>216</v>
      </c>
      <c r="G47" s="4">
        <f>G41*$G$19</f>
        <v>0</v>
      </c>
      <c r="J47" s="4">
        <f>J41*$G$19</f>
        <v>0</v>
      </c>
      <c r="M47" s="4">
        <f>M41*$G$19</f>
        <v>0</v>
      </c>
      <c r="P47" s="4">
        <f>P41*$G$19</f>
        <v>0</v>
      </c>
      <c r="S47" s="4">
        <f>S41*$G$19</f>
        <v>0</v>
      </c>
      <c r="V47" s="4">
        <f>V41*$G$19</f>
        <v>0</v>
      </c>
      <c r="Y47" s="4">
        <f>Y41*$G$19</f>
        <v>0</v>
      </c>
    </row>
    <row r="48" spans="1:26" ht="17" x14ac:dyDescent="0.2">
      <c r="A48" s="48"/>
      <c r="B48" s="37"/>
      <c r="E48" s="14" t="s">
        <v>217</v>
      </c>
      <c r="G48" s="4">
        <f t="shared" ref="G48:G50" si="6">G42*$G$19</f>
        <v>0</v>
      </c>
      <c r="J48" s="4">
        <f t="shared" ref="J48:J50" si="7">J42*$G$19</f>
        <v>0</v>
      </c>
      <c r="M48" s="4">
        <f t="shared" ref="M48:M50" si="8">M42*$G$19</f>
        <v>0</v>
      </c>
      <c r="P48" s="4">
        <f t="shared" ref="P48:P50" si="9">P42*$G$19</f>
        <v>0</v>
      </c>
      <c r="S48" s="4">
        <f t="shared" ref="S48:S50" si="10">S42*$G$19</f>
        <v>0</v>
      </c>
      <c r="V48" s="4">
        <f t="shared" ref="V48:V50" si="11">V42*$G$19</f>
        <v>0</v>
      </c>
      <c r="Y48" s="4">
        <f t="shared" ref="Y48:Y50" si="12">Y42*$G$19</f>
        <v>0</v>
      </c>
    </row>
    <row r="49" spans="1:25" ht="17" x14ac:dyDescent="0.2">
      <c r="A49" s="48"/>
      <c r="B49" s="37"/>
      <c r="E49" s="14" t="s">
        <v>218</v>
      </c>
      <c r="G49" s="4">
        <f t="shared" si="6"/>
        <v>0</v>
      </c>
      <c r="J49" s="4">
        <f t="shared" si="7"/>
        <v>0</v>
      </c>
      <c r="M49" s="4">
        <f t="shared" si="8"/>
        <v>0</v>
      </c>
      <c r="P49" s="4">
        <f t="shared" si="9"/>
        <v>0</v>
      </c>
      <c r="S49" s="4">
        <f t="shared" si="10"/>
        <v>0</v>
      </c>
      <c r="V49" s="4">
        <f t="shared" si="11"/>
        <v>0</v>
      </c>
      <c r="Y49" s="4">
        <f t="shared" si="12"/>
        <v>0</v>
      </c>
    </row>
    <row r="50" spans="1:25" ht="17" x14ac:dyDescent="0.2">
      <c r="A50" s="48"/>
      <c r="B50" s="37"/>
      <c r="E50" s="14" t="s">
        <v>219</v>
      </c>
      <c r="G50" s="4">
        <f t="shared" si="6"/>
        <v>0</v>
      </c>
      <c r="J50" s="4">
        <f t="shared" si="7"/>
        <v>0</v>
      </c>
      <c r="M50" s="4">
        <f t="shared" si="8"/>
        <v>0</v>
      </c>
      <c r="P50" s="4">
        <f t="shared" si="9"/>
        <v>0</v>
      </c>
      <c r="S50" s="4">
        <f t="shared" si="10"/>
        <v>0</v>
      </c>
      <c r="V50" s="4">
        <f t="shared" si="11"/>
        <v>0</v>
      </c>
      <c r="Y50" s="4">
        <f t="shared" si="12"/>
        <v>0</v>
      </c>
    </row>
    <row r="51" spans="1:25" x14ac:dyDescent="0.2">
      <c r="A51" s="46" t="s">
        <v>211</v>
      </c>
      <c r="B51" s="40" t="s">
        <v>180</v>
      </c>
      <c r="E51" s="14"/>
      <c r="G51" s="4">
        <f>SUM(G47:G50)</f>
        <v>0</v>
      </c>
      <c r="J51" s="4">
        <f>SUM(J47:J50)</f>
        <v>0</v>
      </c>
      <c r="M51" s="4">
        <f>SUM(M47:M50)</f>
        <v>0</v>
      </c>
      <c r="P51" s="4">
        <f>SUM(P47:P50)</f>
        <v>0</v>
      </c>
      <c r="S51" s="4">
        <f>SUM(S47:S50)</f>
        <v>0</v>
      </c>
      <c r="V51" s="4">
        <f>SUM(V47:V50)</f>
        <v>0</v>
      </c>
      <c r="Y51" s="4">
        <f>SUM(Y47:Y50)</f>
        <v>0</v>
      </c>
    </row>
    <row r="52" spans="1:25" x14ac:dyDescent="0.2">
      <c r="E52" s="14"/>
    </row>
    <row r="53" spans="1:25" ht="17" x14ac:dyDescent="0.2">
      <c r="A53" s="48" t="s">
        <v>184</v>
      </c>
      <c r="B53" s="37" t="s">
        <v>180</v>
      </c>
      <c r="E53" s="14" t="s">
        <v>90</v>
      </c>
      <c r="G53" s="4">
        <f>AC6</f>
        <v>0</v>
      </c>
      <c r="J53" s="4">
        <f>AC7</f>
        <v>0.01</v>
      </c>
      <c r="M53" s="4">
        <f>AC8</f>
        <v>0.05</v>
      </c>
      <c r="P53" s="4">
        <f>AC9</f>
        <v>0.12</v>
      </c>
      <c r="S53" s="4">
        <f>AC11</f>
        <v>0.2</v>
      </c>
      <c r="V53" s="4">
        <f>AC12</f>
        <v>0.36</v>
      </c>
      <c r="Y53" s="4">
        <f>AC14</f>
        <v>0.6</v>
      </c>
    </row>
    <row r="54" spans="1:25" ht="17" x14ac:dyDescent="0.2">
      <c r="A54" s="48"/>
      <c r="B54" s="37"/>
      <c r="E54" s="14" t="s">
        <v>91</v>
      </c>
      <c r="G54" s="4">
        <v>0</v>
      </c>
      <c r="J54" s="4">
        <v>0</v>
      </c>
      <c r="M54" s="4">
        <f>AC7</f>
        <v>0.01</v>
      </c>
      <c r="P54" s="4">
        <f>AC8</f>
        <v>0.05</v>
      </c>
      <c r="S54" s="4">
        <f>AC9</f>
        <v>0.12</v>
      </c>
      <c r="V54" s="4">
        <f>AC11</f>
        <v>0.2</v>
      </c>
      <c r="Y54" s="4">
        <f>AC12</f>
        <v>0.36</v>
      </c>
    </row>
    <row r="55" spans="1:25" ht="17" x14ac:dyDescent="0.2">
      <c r="A55" s="48"/>
      <c r="B55" s="37"/>
      <c r="E55" s="14" t="s">
        <v>92</v>
      </c>
      <c r="G55" s="4">
        <v>0</v>
      </c>
      <c r="J55" s="4">
        <v>0</v>
      </c>
      <c r="M55" s="4">
        <v>0</v>
      </c>
      <c r="P55" s="4">
        <f>AC7</f>
        <v>0.01</v>
      </c>
      <c r="S55" s="4">
        <f>AC8</f>
        <v>0.05</v>
      </c>
      <c r="V55" s="4">
        <f>AC9</f>
        <v>0.12</v>
      </c>
      <c r="Y55" s="4">
        <f>AC11</f>
        <v>0.2</v>
      </c>
    </row>
    <row r="56" spans="1:25" ht="17" x14ac:dyDescent="0.2">
      <c r="A56" s="48"/>
      <c r="B56" s="37"/>
      <c r="E56" s="14" t="s">
        <v>93</v>
      </c>
      <c r="G56" s="4">
        <v>0</v>
      </c>
      <c r="J56" s="4">
        <v>0</v>
      </c>
      <c r="M56" s="4">
        <v>0</v>
      </c>
      <c r="P56" s="4">
        <v>0</v>
      </c>
      <c r="S56" s="4">
        <f>AC7</f>
        <v>0.01</v>
      </c>
      <c r="V56" s="4">
        <f>AC8</f>
        <v>0.05</v>
      </c>
      <c r="Y56" s="4">
        <f>AC9</f>
        <v>0.12</v>
      </c>
    </row>
    <row r="57" spans="1:25" ht="17" x14ac:dyDescent="0.2">
      <c r="E57" s="14" t="s">
        <v>49</v>
      </c>
    </row>
    <row r="58" spans="1:25" x14ac:dyDescent="0.2">
      <c r="E58" s="14"/>
    </row>
    <row r="59" spans="1:25" ht="17" x14ac:dyDescent="0.2">
      <c r="A59" s="48" t="s">
        <v>263</v>
      </c>
      <c r="B59" s="37" t="s">
        <v>180</v>
      </c>
      <c r="E59" s="14" t="s">
        <v>109</v>
      </c>
      <c r="G59" s="4">
        <f>G36*G53</f>
        <v>0</v>
      </c>
      <c r="J59" s="4">
        <f>J36*J53</f>
        <v>0.85</v>
      </c>
      <c r="M59" s="4">
        <f>J59+M36*M53</f>
        <v>5.0999999999999996</v>
      </c>
      <c r="P59" s="4">
        <f>M59+P36*P53</f>
        <v>15.299999999999999</v>
      </c>
      <c r="S59" s="4">
        <f>P59+S36*S53</f>
        <v>32.299999999999997</v>
      </c>
      <c r="V59" s="4">
        <f>S59+V36*V53</f>
        <v>62.899999999999991</v>
      </c>
      <c r="Y59" s="4">
        <f>V59+Y36*Y53</f>
        <v>113.89999999999999</v>
      </c>
    </row>
    <row r="60" spans="1:25" ht="17" x14ac:dyDescent="0.2">
      <c r="A60" s="48"/>
      <c r="B60" s="37"/>
      <c r="E60" s="14" t="s">
        <v>110</v>
      </c>
      <c r="J60" s="4">
        <f>J37*J54</f>
        <v>0</v>
      </c>
      <c r="M60" s="4">
        <f>J60+M37*M54</f>
        <v>0.8</v>
      </c>
      <c r="P60" s="4">
        <f>M60+P37*P54</f>
        <v>4.8</v>
      </c>
      <c r="S60" s="4">
        <f>P60+S37*S54</f>
        <v>14.399999999999999</v>
      </c>
      <c r="V60" s="4">
        <f>S60+V37*V54</f>
        <v>30.4</v>
      </c>
      <c r="Y60" s="4">
        <f>V60+Y37*Y54</f>
        <v>59.199999999999996</v>
      </c>
    </row>
    <row r="61" spans="1:25" ht="17" x14ac:dyDescent="0.2">
      <c r="A61" s="48"/>
      <c r="B61" s="37"/>
      <c r="D61" s="28"/>
      <c r="E61" s="14" t="s">
        <v>111</v>
      </c>
      <c r="M61" s="4">
        <f>J61+M38*M55</f>
        <v>0</v>
      </c>
      <c r="P61" s="4">
        <f>M61+P38*P55</f>
        <v>0.92</v>
      </c>
      <c r="S61" s="4">
        <f>P61+S38*S55</f>
        <v>5.5200000000000005</v>
      </c>
      <c r="V61" s="4">
        <f>S61+V38*V55</f>
        <v>16.559999999999999</v>
      </c>
      <c r="Y61" s="4">
        <f>V61+Y38*Y55</f>
        <v>34.96</v>
      </c>
    </row>
    <row r="62" spans="1:25" ht="17" x14ac:dyDescent="0.2">
      <c r="A62" s="48"/>
      <c r="B62" s="37"/>
      <c r="D62" s="28"/>
      <c r="E62" s="14" t="s">
        <v>112</v>
      </c>
      <c r="M62" s="4">
        <f>J62+M39*M56</f>
        <v>0</v>
      </c>
      <c r="P62" s="4">
        <f>M62+P39*P56</f>
        <v>0</v>
      </c>
      <c r="S62" s="4">
        <f>P62+S39*S56</f>
        <v>0.43</v>
      </c>
      <c r="V62" s="4">
        <f>S62+V39*V56</f>
        <v>2.58</v>
      </c>
      <c r="Y62" s="4">
        <f>V62+Y39*Y56</f>
        <v>7.74</v>
      </c>
    </row>
    <row r="63" spans="1:25" x14ac:dyDescent="0.2">
      <c r="D63" s="28"/>
      <c r="E63" s="14"/>
    </row>
    <row r="64" spans="1:25" ht="17" x14ac:dyDescent="0.2">
      <c r="A64" s="48" t="s">
        <v>259</v>
      </c>
      <c r="B64" s="37" t="s">
        <v>180</v>
      </c>
      <c r="E64" s="14" t="s">
        <v>128</v>
      </c>
      <c r="G64" s="4">
        <v>0</v>
      </c>
      <c r="J64" s="4">
        <f>INT(I$4-$AE$6 &gt; $D72)*MAX(G87-$G$20*G36-J41,0)</f>
        <v>0</v>
      </c>
      <c r="M64" s="4">
        <f>INT(L$4-$AE$6 &gt; $D72)*MAX(J87-$G$20*J36-M41,0)</f>
        <v>0</v>
      </c>
      <c r="P64" s="4">
        <f>INT(O$4-$AE$6 &gt; $D72)*MAX(M87-$G$20*M36-P41,0)</f>
        <v>0</v>
      </c>
      <c r="S64" s="4">
        <f>INT(R$4-$AE$6 &gt; $D72)*MAX(P87-$G$20*P36-S41,0)</f>
        <v>6.7881033999999989</v>
      </c>
      <c r="V64" s="4">
        <f>INT(U$4-$AE$6 &gt; $D72)*MAX(S87-$G$20*S36-V41,0)</f>
        <v>23.757527193199998</v>
      </c>
      <c r="Y64" s="4">
        <f>INT(X$4-$AE$6 &gt; $D72)*MAX(V87-$G$20*V36-Y41,0)</f>
        <v>30.582999999999998</v>
      </c>
    </row>
    <row r="65" spans="1:30" ht="17" x14ac:dyDescent="0.2">
      <c r="A65" s="48"/>
      <c r="B65" s="37"/>
      <c r="E65" s="14" t="s">
        <v>129</v>
      </c>
      <c r="G65" s="4">
        <v>0</v>
      </c>
      <c r="J65" s="4">
        <f>INT(I$4-$AE$6 &gt; $D73)*MAX(G88-$G$20*G37-J42,0)</f>
        <v>0</v>
      </c>
      <c r="M65" s="4">
        <f>INT(L$4-$AE$6 &gt; $D73)*MAX(J88-$G$20*J37-M42,0)</f>
        <v>0</v>
      </c>
      <c r="P65" s="4">
        <f>INT(O$4-$AE$6 &gt; $D73)*MAX(M88-$G$20*M37-P42,0)</f>
        <v>0</v>
      </c>
      <c r="S65" s="4">
        <f>INT(R$4-$AE$6 &gt; $D73)*MAX(P88-$G$20*P37-S42,0)</f>
        <v>0</v>
      </c>
      <c r="V65" s="4">
        <f>INT(U$4-$AE$6 &gt; $D73)*MAX(S88-$G$20*S37-V42,0)</f>
        <v>6.3888031999999999</v>
      </c>
      <c r="Y65" s="4">
        <f>INT(X$4-$AE$6 &gt; $D73)*MAX(V88-$G$20*V37-Y42,0)</f>
        <v>15.984000000000002</v>
      </c>
    </row>
    <row r="66" spans="1:30" ht="17" x14ac:dyDescent="0.2">
      <c r="A66" s="48"/>
      <c r="B66" s="37"/>
      <c r="D66" s="28" t="s">
        <v>153</v>
      </c>
      <c r="E66" s="14" t="s">
        <v>130</v>
      </c>
      <c r="G66" s="4">
        <v>0</v>
      </c>
      <c r="J66" s="4">
        <f>INT(I$4-$AE$6 &gt; $D74)*MAX(G89-$G$20*G38-J43,0)</f>
        <v>0</v>
      </c>
      <c r="M66" s="4">
        <f>INT(L$4-$AE$6 &gt; $D74)*MAX(J89-$G$20*J38-M43,0)</f>
        <v>0</v>
      </c>
      <c r="P66" s="4">
        <f>INT(O$4-$AE$6 &gt; $D74)*MAX(M89-$G$20*M38-P43,0)</f>
        <v>0</v>
      </c>
      <c r="S66" s="4">
        <f>INT(R$4-$AE$6 &gt; $D74)*MAX(P89-$G$20*P38-S43,0)</f>
        <v>0</v>
      </c>
      <c r="V66" s="4">
        <f>INT(U$4-$AE$6 &gt; $D74)*MAX(S89-$G$20*S38-V43,0)</f>
        <v>0</v>
      </c>
      <c r="Y66" s="4">
        <f>INT(X$4-$AE$6 &gt; $D74)*MAX(V89-$G$20*V38-Y43,0)</f>
        <v>7.3471236799999975</v>
      </c>
    </row>
    <row r="67" spans="1:30" ht="17" x14ac:dyDescent="0.2">
      <c r="A67" s="48"/>
      <c r="B67" s="37"/>
      <c r="D67" s="28"/>
      <c r="E67" s="14" t="s">
        <v>131</v>
      </c>
      <c r="G67" s="4">
        <v>0</v>
      </c>
      <c r="J67" s="4">
        <f>INT(I$4-$AE$6 &gt; $D75)*MAX(G90-$G$20*G39-J44,0)</f>
        <v>0</v>
      </c>
      <c r="M67" s="4">
        <f>INT(L$4-$AE$6 &gt; $D75)*MAX(J90-$G$20*J39-M44,0)</f>
        <v>0</v>
      </c>
      <c r="P67" s="4">
        <f>INT(O$4-$AE$6 &gt; $D75)*MAX(M90-$G$20*M39-P44,0)</f>
        <v>0</v>
      </c>
      <c r="S67" s="4">
        <f>INT(R$4-$AE$6 &gt; $D75)*MAX(P90-$G$20*P39-S44,0)</f>
        <v>0</v>
      </c>
      <c r="V67" s="4">
        <f>INT(U$4-$AE$6 &gt; $D75)*MAX(S90-$G$20*S39-V44,0)</f>
        <v>0</v>
      </c>
      <c r="Y67" s="4">
        <f>INT(X$4-$AE$6 &gt; $D75)*MAX(V90-$G$20*V39-Y44,0)</f>
        <v>0</v>
      </c>
    </row>
    <row r="68" spans="1:30" ht="17" x14ac:dyDescent="0.2">
      <c r="A68" s="46" t="s">
        <v>260</v>
      </c>
      <c r="B68" s="40" t="s">
        <v>180</v>
      </c>
      <c r="D68" s="28"/>
      <c r="E68" s="14" t="s">
        <v>148</v>
      </c>
      <c r="G68" s="4">
        <v>0</v>
      </c>
      <c r="J68" s="4">
        <f>SUM(J64:J67)</f>
        <v>0</v>
      </c>
      <c r="M68" s="4">
        <f>SUM(M64:M67)</f>
        <v>0</v>
      </c>
      <c r="P68" s="4">
        <f>SUM(P64:P67)</f>
        <v>0</v>
      </c>
      <c r="S68" s="4">
        <f>SUM(S64:S67)</f>
        <v>6.7881033999999989</v>
      </c>
      <c r="V68" s="4">
        <f>SUM(V64:V67)</f>
        <v>30.146330393199996</v>
      </c>
      <c r="Y68" s="4">
        <f>SUM(Y64:Y67)</f>
        <v>53.914123679999996</v>
      </c>
      <c r="AD68" t="s">
        <v>106</v>
      </c>
    </row>
    <row r="69" spans="1:30" x14ac:dyDescent="0.2">
      <c r="D69" s="28"/>
      <c r="E69" s="14"/>
      <c r="AB69" t="s">
        <v>85</v>
      </c>
      <c r="AD69" t="s">
        <v>107</v>
      </c>
    </row>
    <row r="70" spans="1:30" ht="17" customHeight="1" x14ac:dyDescent="0.2">
      <c r="A70" s="47" t="s">
        <v>261</v>
      </c>
      <c r="B70" s="37" t="s">
        <v>180</v>
      </c>
      <c r="E70" s="14" t="s">
        <v>88</v>
      </c>
      <c r="F70" s="4">
        <v>0</v>
      </c>
      <c r="I70" s="4">
        <v>0</v>
      </c>
      <c r="L70" s="4">
        <v>0</v>
      </c>
      <c r="O70" s="4">
        <v>0</v>
      </c>
      <c r="R70" s="4">
        <v>0</v>
      </c>
      <c r="U70" s="4">
        <v>0</v>
      </c>
      <c r="X70" s="4">
        <v>0</v>
      </c>
      <c r="AB70" t="s">
        <v>86</v>
      </c>
    </row>
    <row r="71" spans="1:30" ht="17" x14ac:dyDescent="0.2">
      <c r="A71" s="47"/>
      <c r="B71" s="37"/>
      <c r="E71" s="14" t="s">
        <v>149</v>
      </c>
      <c r="F71" s="4">
        <f>SUM(G$64:G64)</f>
        <v>0</v>
      </c>
      <c r="G71" s="4">
        <f>IF(F71&gt;=F$121, IF(F70&lt;F$121, F$121-F70, 0),G64)</f>
        <v>0</v>
      </c>
      <c r="I71" s="4">
        <f>SUM(J$64:J64)</f>
        <v>0</v>
      </c>
      <c r="J71" s="4">
        <f>IF(I71&gt;=I$121, IF(I70&lt;I$121, I$121-I70, 0),J64)</f>
        <v>0</v>
      </c>
      <c r="L71" s="4">
        <f>SUM(M$64:M64)</f>
        <v>0</v>
      </c>
      <c r="M71" s="4">
        <f>IF(L71&gt;=L$121, IF(L70&lt;L$121, L$121-L70, 0),M64)</f>
        <v>0</v>
      </c>
      <c r="O71" s="4">
        <f>SUM(P$64:P64)</f>
        <v>0</v>
      </c>
      <c r="P71" s="4">
        <f>IF(O71&gt;=O$121, IF(O70&lt;O$121, O$121-O70, 0),P64)</f>
        <v>0</v>
      </c>
      <c r="R71" s="4">
        <f>SUM(S$64:S64)</f>
        <v>6.7881033999999989</v>
      </c>
      <c r="S71" s="4">
        <f>IF(R71&gt;=R$121, IF(R70&lt;R$121, R$121-R70, 0),S64)</f>
        <v>0</v>
      </c>
      <c r="U71" s="4">
        <f>SUM(V$64:V64)</f>
        <v>23.757527193199998</v>
      </c>
      <c r="V71" s="4">
        <f>IF(U71&gt;=U$121, IF(U70&lt;U$121, U$121-U70, 0),V64)</f>
        <v>23.757527193199998</v>
      </c>
      <c r="X71" s="4">
        <f>SUM(Y$64:Y64)</f>
        <v>30.582999999999998</v>
      </c>
      <c r="Y71" s="4">
        <f>IF(X71&gt;=X$121, IF(X70&lt;X$121, X$121-X70, 0),Y64)</f>
        <v>30.582999999999998</v>
      </c>
    </row>
    <row r="72" spans="1:30" ht="17" x14ac:dyDescent="0.2">
      <c r="A72" s="47"/>
      <c r="B72" s="37"/>
      <c r="D72" s="22">
        <v>0</v>
      </c>
      <c r="E72" s="14" t="s">
        <v>150</v>
      </c>
      <c r="F72" s="4">
        <f>SUM(G$64:G65)</f>
        <v>0</v>
      </c>
      <c r="G72" s="4">
        <f>IF(F72&gt;=F$121, IF(F71&lt;F$121, F$121-F71, 0),G65)</f>
        <v>0</v>
      </c>
      <c r="I72" s="4">
        <f>SUM(J$64:J65)</f>
        <v>0</v>
      </c>
      <c r="J72" s="4">
        <f>IF(I72&gt;=I$121, IF(I71&lt;I$121, I$121-I71, 0),J65)</f>
        <v>0</v>
      </c>
      <c r="L72" s="4">
        <f>SUM(M$64:M65)</f>
        <v>0</v>
      </c>
      <c r="M72" s="4">
        <f>IF(L72&gt;=L$121, IF(L71&lt;L$121, L$121-L71, 0),M65)</f>
        <v>0</v>
      </c>
      <c r="O72" s="4">
        <f>SUM(P$64:P65)</f>
        <v>0</v>
      </c>
      <c r="P72" s="4">
        <f>IF(O72&gt;=O$121, IF(O71&lt;O$121, O$121-O71, 0),P65)</f>
        <v>0</v>
      </c>
      <c r="R72" s="4">
        <f>SUM(S$64:S65)</f>
        <v>6.7881033999999989</v>
      </c>
      <c r="S72" s="4">
        <f>IF(R72&gt;=R$121, IF(R71&lt;R$121, R$121-R71, 0),S65)</f>
        <v>0</v>
      </c>
      <c r="U72" s="4">
        <f>SUM(V$64:V65)</f>
        <v>30.146330393199996</v>
      </c>
      <c r="V72" s="4">
        <f>IF(U72&gt;=U$121, IF(U71&lt;U$121, U$121-U71, 0),V65)</f>
        <v>6.3888031999999981</v>
      </c>
      <c r="X72" s="4">
        <f>SUM(Y$64:Y65)</f>
        <v>46.567</v>
      </c>
      <c r="Y72" s="4">
        <f>IF(X72&gt;=X$121, IF(X71&lt;X$121, X$121-X71, 0),Y65)</f>
        <v>15.984000000000002</v>
      </c>
    </row>
    <row r="73" spans="1:30" ht="17" x14ac:dyDescent="0.2">
      <c r="A73" s="47"/>
      <c r="B73" s="37"/>
      <c r="D73" s="22">
        <v>1</v>
      </c>
      <c r="E73" s="14" t="s">
        <v>151</v>
      </c>
      <c r="F73" s="4">
        <f>SUM(G$64:G66)</f>
        <v>0</v>
      </c>
      <c r="G73" s="4">
        <f>IF(F73&gt;=F$121, IF(F72&lt;F$121, F$121-F72, 0),G66)</f>
        <v>0</v>
      </c>
      <c r="I73" s="4">
        <f>SUM(J$64:J66)</f>
        <v>0</v>
      </c>
      <c r="J73" s="4">
        <f>IF(I73&gt;=I$121, IF(I72&lt;I$121, I$121-I72, 0),J66)</f>
        <v>0</v>
      </c>
      <c r="L73" s="4">
        <f>SUM(M$64:M66)</f>
        <v>0</v>
      </c>
      <c r="M73" s="4">
        <f>IF(L73&gt;=L$121, IF(L72&lt;L$121, L$121-L72, 0),M66)</f>
        <v>0</v>
      </c>
      <c r="O73" s="4">
        <f>SUM(P$64:P66)</f>
        <v>0</v>
      </c>
      <c r="P73" s="4">
        <f>IF(O73&gt;=O$121, IF(O72&lt;O$121, O$121-O72, 0),P66)</f>
        <v>0</v>
      </c>
      <c r="R73" s="4">
        <f>SUM(S$64:S66)</f>
        <v>6.7881033999999989</v>
      </c>
      <c r="S73" s="4">
        <f>IF(R73&gt;=R$121, IF(R72&lt;R$121, R$121-R72, 0),S66)</f>
        <v>0</v>
      </c>
      <c r="U73" s="4">
        <f>SUM(V$64:V66)</f>
        <v>30.146330393199996</v>
      </c>
      <c r="V73" s="4">
        <f>IF(U73&gt;=U$121, IF(U72&lt;U$121, U$121-U72, 0),V66)</f>
        <v>0</v>
      </c>
      <c r="X73" s="4">
        <f>SUM(Y$64:Y66)</f>
        <v>53.914123679999996</v>
      </c>
      <c r="Y73" s="4">
        <f>IF(X73&gt;=X$121, IF(X72&lt;X$121, X$121-X72, 0),Y66)</f>
        <v>7.3471236799999957</v>
      </c>
    </row>
    <row r="74" spans="1:30" ht="17" x14ac:dyDescent="0.2">
      <c r="D74" s="22">
        <v>2</v>
      </c>
      <c r="E74" s="14" t="s">
        <v>152</v>
      </c>
      <c r="F74" s="4">
        <f>SUM(G$64:G67)</f>
        <v>0</v>
      </c>
      <c r="G74" s="4">
        <f>IF(F74&gt;=F$121, IF(F73&lt;F$121, F$121-F73, 0),G67)</f>
        <v>0</v>
      </c>
      <c r="I74" s="4">
        <f>SUM(J$64:J67)</f>
        <v>0</v>
      </c>
      <c r="J74" s="4">
        <f>IF(I74&gt;=I$121, IF(I73&lt;I$121, I$121-I73, 0),J67)</f>
        <v>0</v>
      </c>
      <c r="L74" s="4">
        <f>SUM(M$64:M67)</f>
        <v>0</v>
      </c>
      <c r="M74" s="4">
        <f>IF(L74&gt;=L$121, IF(L73&lt;L$121, L$121-L73, 0),M67)</f>
        <v>0</v>
      </c>
      <c r="O74" s="4">
        <f>SUM(P$64:P67)</f>
        <v>0</v>
      </c>
      <c r="P74" s="4">
        <f>IF(O74&gt;=O$121, IF(O73&lt;O$121, O$121-O73, 0),P67)</f>
        <v>0</v>
      </c>
      <c r="R74" s="4">
        <f>SUM(S$64:S67)</f>
        <v>6.7881033999999989</v>
      </c>
      <c r="S74" s="4">
        <f>IF(R74&gt;=R$121, IF(R73&lt;R$121, R$121-R73, 0),S67)</f>
        <v>0</v>
      </c>
      <c r="U74" s="4">
        <f>SUM(V$64:V67)</f>
        <v>30.146330393199996</v>
      </c>
      <c r="V74" s="4">
        <f>IF(U74&gt;=U$121, IF(U73&lt;U$121, U$121-U73, 0),V67)</f>
        <v>0</v>
      </c>
      <c r="X74" s="4">
        <f>SUM(Y$64:Y67)</f>
        <v>53.914123679999996</v>
      </c>
      <c r="Y74" s="4">
        <f>IF(X74&gt;=X$121, IF(X73&lt;X$121, X$121-X73, 0),Y67)</f>
        <v>0</v>
      </c>
    </row>
    <row r="75" spans="1:30" ht="17" x14ac:dyDescent="0.2">
      <c r="D75" s="22" t="s">
        <v>262</v>
      </c>
      <c r="E75" s="14"/>
    </row>
    <row r="76" spans="1:30" x14ac:dyDescent="0.2">
      <c r="E76" s="14"/>
      <c r="I76" s="4" t="s">
        <v>137</v>
      </c>
      <c r="L76" s="4" t="s">
        <v>137</v>
      </c>
      <c r="O76" s="4" t="s">
        <v>137</v>
      </c>
      <c r="R76" s="4" t="s">
        <v>137</v>
      </c>
      <c r="U76" s="4" t="s">
        <v>137</v>
      </c>
      <c r="X76" s="4" t="s">
        <v>137</v>
      </c>
    </row>
    <row r="77" spans="1:30" ht="17" x14ac:dyDescent="0.2">
      <c r="A77" s="47" t="s">
        <v>188</v>
      </c>
      <c r="B77" s="37" t="s">
        <v>180</v>
      </c>
      <c r="E77" s="14" t="s">
        <v>132</v>
      </c>
      <c r="G77" s="4">
        <f>G53</f>
        <v>0</v>
      </c>
      <c r="I77" s="4">
        <f>IF(G87=0,1,MIN(MAX((G87/G59-$F$15)/($F$17-$F$15), 0), 1))</f>
        <v>1</v>
      </c>
      <c r="J77" s="4">
        <f>J53*I77</f>
        <v>0.01</v>
      </c>
      <c r="L77" s="4">
        <f>IF(J87=0,1,MIN(MAX((J87/J59-$F$15)/($F$17-$F$15), 0), 1))</f>
        <v>1</v>
      </c>
      <c r="M77" s="4">
        <f>M53*L77</f>
        <v>0.05</v>
      </c>
      <c r="O77" s="4">
        <f>IF(M87=0,1,MIN(MAX((M87/M59-$F$15)/($F$17-$F$15), 0), 1))</f>
        <v>1</v>
      </c>
      <c r="P77" s="4">
        <f>P53*O77</f>
        <v>0.12</v>
      </c>
      <c r="R77" s="4">
        <f>IF(P87=0,1,MIN(MAX((P87/P59-$F$15)/($F$17-$F$15), 0), 1))</f>
        <v>1</v>
      </c>
      <c r="S77" s="4">
        <f>S53*R77</f>
        <v>0.2</v>
      </c>
      <c r="U77" s="4">
        <f>IF(S87=0,1,MIN(MAX((S87/S59-$F$15)/($F$17-$F$15), 0), 1))</f>
        <v>1</v>
      </c>
      <c r="V77" s="4">
        <f>V53*U77</f>
        <v>0.36</v>
      </c>
      <c r="X77" s="4">
        <f>IF(V87=0,1,MIN(MAX((V87/V59-$F$15)/($F$17-$F$15), 0), 1))</f>
        <v>0.92728154163131749</v>
      </c>
      <c r="Y77" s="4">
        <f>Y53*X77</f>
        <v>0.55636892497879042</v>
      </c>
    </row>
    <row r="78" spans="1:30" ht="17" x14ac:dyDescent="0.2">
      <c r="A78" s="47"/>
      <c r="B78" s="37"/>
      <c r="E78" s="14" t="s">
        <v>133</v>
      </c>
      <c r="G78" s="4">
        <f>G54</f>
        <v>0</v>
      </c>
      <c r="I78" s="4">
        <f>IF(G88=0,1,MIN(MAX((G88/G60-$F$15)/($F$17-$F$15), 0), 1))</f>
        <v>1</v>
      </c>
      <c r="J78" s="4">
        <f>J54</f>
        <v>0</v>
      </c>
      <c r="L78" s="4">
        <f>IF(J88=0,1,MIN(MAX((J88/J60-$F$15)/($F$17-$F$15), 0), 1))</f>
        <v>1</v>
      </c>
      <c r="M78" s="4">
        <f>M54</f>
        <v>0.01</v>
      </c>
      <c r="O78" s="4">
        <f>IF(M88=0,1,MIN(MAX((M88/M60-$F$15)/($F$17-$F$15), 0), 1))</f>
        <v>1</v>
      </c>
      <c r="P78" s="4">
        <f>P54</f>
        <v>0.05</v>
      </c>
      <c r="R78" s="4">
        <f>IF(P88=0,1,MIN(MAX((P88/P60-$F$15)/($F$17-$F$15), 0), 1))</f>
        <v>1</v>
      </c>
      <c r="S78" s="4">
        <f>S54</f>
        <v>0.12</v>
      </c>
      <c r="U78" s="4">
        <f>IF(S88=0,1,MIN(MAX((S88/S60-$F$15)/($F$17-$F$15), 0), 1))</f>
        <v>1</v>
      </c>
      <c r="V78" s="4">
        <f>V54</f>
        <v>0.2</v>
      </c>
      <c r="X78" s="4">
        <f>IF(V88=0,1,MIN(MAX((V88/V60-$F$15)/($F$17-$F$15), 0), 1))</f>
        <v>1</v>
      </c>
      <c r="Y78" s="4">
        <f>Y54</f>
        <v>0.36</v>
      </c>
    </row>
    <row r="79" spans="1:30" ht="17" x14ac:dyDescent="0.2">
      <c r="A79" s="47"/>
      <c r="B79" s="37"/>
      <c r="E79" s="14" t="s">
        <v>134</v>
      </c>
      <c r="G79" s="4">
        <f>G55</f>
        <v>0</v>
      </c>
      <c r="I79" s="4">
        <f>IF(G89=0,1,MIN(MAX((G89/G61-$F$15)/($F$17-$F$15), 0), 1))</f>
        <v>1</v>
      </c>
      <c r="J79" s="4">
        <f>J55</f>
        <v>0</v>
      </c>
      <c r="L79" s="4">
        <f>IF(J89=0,1,MIN(MAX((J89/J61-$F$15)/($F$17-$F$15), 0), 1))</f>
        <v>1</v>
      </c>
      <c r="M79" s="4">
        <f>M55</f>
        <v>0</v>
      </c>
      <c r="O79" s="4">
        <f>IF(M89=0,1,MIN(MAX((M89/M61-$F$15)/($F$17-$F$15), 0), 1))</f>
        <v>1</v>
      </c>
      <c r="P79" s="4">
        <f>P55</f>
        <v>0.01</v>
      </c>
      <c r="R79" s="4">
        <f>IF(P89=0,1,MIN(MAX((P89/P61-$F$15)/($F$17-$F$15), 0), 1))</f>
        <v>1</v>
      </c>
      <c r="S79" s="4">
        <f>S55</f>
        <v>0.05</v>
      </c>
      <c r="U79" s="4">
        <f>IF(S89=0,1,MIN(MAX((S89/S61-$F$15)/($F$17-$F$15), 0), 1))</f>
        <v>1</v>
      </c>
      <c r="V79" s="4">
        <f>V55</f>
        <v>0.12</v>
      </c>
      <c r="X79" s="4">
        <f>IF(V89=0,1,MIN(MAX((V89/V61-$F$15)/($F$17-$F$15), 0), 1))</f>
        <v>1</v>
      </c>
      <c r="Y79" s="4">
        <f>Y55</f>
        <v>0.2</v>
      </c>
    </row>
    <row r="80" spans="1:30" ht="17" x14ac:dyDescent="0.2">
      <c r="A80" s="47"/>
      <c r="B80" s="37"/>
      <c r="E80" s="14" t="s">
        <v>135</v>
      </c>
      <c r="G80" s="4">
        <f>G56</f>
        <v>0</v>
      </c>
      <c r="I80" s="4">
        <f>IF(G90=0,1,MIN(MAX((G90/G62-$F$15)/($F$17-$F$15), 0), 1))</f>
        <v>1</v>
      </c>
      <c r="J80" s="4">
        <f>J56</f>
        <v>0</v>
      </c>
      <c r="L80" s="4">
        <f>IF(J90=0,1,MIN(MAX((J90/J62-$F$15)/($F$17-$F$15), 0), 1))</f>
        <v>1</v>
      </c>
      <c r="M80" s="4">
        <f>M56</f>
        <v>0</v>
      </c>
      <c r="O80" s="4">
        <f>IF(M90=0,1,MIN(MAX((M90/M62-$F$15)/($F$17-$F$15), 0), 1))</f>
        <v>1</v>
      </c>
      <c r="P80" s="4">
        <f>P56</f>
        <v>0</v>
      </c>
      <c r="R80" s="4">
        <f>IF(P90=0,1,MIN(MAX((P90/P62-$F$15)/($F$17-$F$15), 0), 1))</f>
        <v>1</v>
      </c>
      <c r="S80" s="4">
        <f>S56</f>
        <v>0.01</v>
      </c>
      <c r="U80" s="4">
        <f>IF(S90=0,1,MIN(MAX((S90/S62-$F$15)/($F$17-$F$15), 0), 1))</f>
        <v>1</v>
      </c>
      <c r="V80" s="4">
        <f>V56</f>
        <v>0.05</v>
      </c>
      <c r="X80" s="4">
        <f>IF(V90=0,1,MIN(MAX((V90/V62-$F$15)/($F$17-$F$15), 0), 1))</f>
        <v>1</v>
      </c>
      <c r="Y80" s="4">
        <f>Y56</f>
        <v>0.12</v>
      </c>
    </row>
    <row r="81" spans="1:25" x14ac:dyDescent="0.2">
      <c r="E81" s="14"/>
    </row>
    <row r="82" spans="1:25" ht="17" x14ac:dyDescent="0.2">
      <c r="A82" s="47" t="s">
        <v>221</v>
      </c>
      <c r="B82" s="37" t="s">
        <v>180</v>
      </c>
      <c r="E82" s="14" t="s">
        <v>222</v>
      </c>
      <c r="G82" s="4">
        <f>G48*G31</f>
        <v>0</v>
      </c>
      <c r="J82" s="4">
        <f>(G87-J71)*$F$28</f>
        <v>0</v>
      </c>
      <c r="M82" s="4">
        <f>(J87-M71)*$F$28</f>
        <v>1.6999999999999999E-3</v>
      </c>
      <c r="P82" s="4">
        <f>(M87-P71)*$F$28</f>
        <v>1.01966E-2</v>
      </c>
      <c r="S82" s="4">
        <f>(P87-S71)*$F$28</f>
        <v>3.0576206799999998E-2</v>
      </c>
      <c r="V82" s="4">
        <f>(S87-V71)*$F$28</f>
        <v>1.7000000000000001E-2</v>
      </c>
      <c r="Y82" s="4">
        <f>(V87-Y71)*$F$28</f>
        <v>1.7000000000000001E-2</v>
      </c>
    </row>
    <row r="83" spans="1:25" ht="17" x14ac:dyDescent="0.2">
      <c r="A83" s="47"/>
      <c r="B83" s="37"/>
      <c r="E83" s="14" t="s">
        <v>223</v>
      </c>
      <c r="G83" s="4">
        <f>G49*G32</f>
        <v>0</v>
      </c>
      <c r="J83" s="4">
        <f t="shared" ref="J83:J85" si="13">(G88-J72)*$F$28</f>
        <v>0</v>
      </c>
      <c r="M83" s="4">
        <f t="shared" ref="M83:M85" si="14">(J88-M72)*$F$28</f>
        <v>0</v>
      </c>
      <c r="P83" s="4">
        <f t="shared" ref="P83:P85" si="15">(M88-P72)*$F$28</f>
        <v>1.6000000000000001E-3</v>
      </c>
      <c r="S83" s="4">
        <f t="shared" ref="S83:S85" si="16">(P88-S72)*$F$28</f>
        <v>9.5968000000000008E-3</v>
      </c>
      <c r="V83" s="4">
        <f t="shared" ref="V83:V85" si="17">(S88-V72)*$F$28</f>
        <v>1.6000000000000004E-2</v>
      </c>
      <c r="Y83" s="4">
        <f t="shared" ref="Y83:Y85" si="18">(V88-Y72)*$F$28</f>
        <v>1.6E-2</v>
      </c>
    </row>
    <row r="84" spans="1:25" ht="17" x14ac:dyDescent="0.2">
      <c r="A84" s="47"/>
      <c r="B84" s="37"/>
      <c r="E84" s="14" t="s">
        <v>224</v>
      </c>
      <c r="G84" s="4">
        <f>G50*G33</f>
        <v>0</v>
      </c>
      <c r="J84" s="4">
        <f t="shared" si="13"/>
        <v>0</v>
      </c>
      <c r="M84" s="4">
        <f t="shared" si="14"/>
        <v>0</v>
      </c>
      <c r="P84" s="4">
        <f t="shared" si="15"/>
        <v>0</v>
      </c>
      <c r="S84" s="4">
        <f t="shared" si="16"/>
        <v>1.8400000000000001E-3</v>
      </c>
      <c r="V84" s="4">
        <f t="shared" si="17"/>
        <v>1.1036320000000002E-2</v>
      </c>
      <c r="Y84" s="4">
        <f t="shared" si="18"/>
        <v>1.8400000000000007E-2</v>
      </c>
    </row>
    <row r="85" spans="1:25" ht="17" x14ac:dyDescent="0.2">
      <c r="A85" s="47"/>
      <c r="B85" s="37"/>
      <c r="E85" s="14" t="s">
        <v>225</v>
      </c>
      <c r="G85" s="4">
        <f>G51*G34</f>
        <v>0</v>
      </c>
      <c r="J85" s="4">
        <f t="shared" si="13"/>
        <v>0</v>
      </c>
      <c r="M85" s="4">
        <f t="shared" si="14"/>
        <v>0</v>
      </c>
      <c r="P85" s="4">
        <f t="shared" si="15"/>
        <v>0</v>
      </c>
      <c r="S85" s="4">
        <f t="shared" si="16"/>
        <v>0</v>
      </c>
      <c r="V85" s="4">
        <f t="shared" si="17"/>
        <v>8.5999999999999998E-4</v>
      </c>
      <c r="Y85" s="4">
        <f t="shared" si="18"/>
        <v>5.1582799999999995E-3</v>
      </c>
    </row>
    <row r="86" spans="1:25" x14ac:dyDescent="0.2">
      <c r="E86" s="14"/>
    </row>
    <row r="87" spans="1:25" ht="17" x14ac:dyDescent="0.2">
      <c r="A87" s="47" t="s">
        <v>226</v>
      </c>
      <c r="B87" s="37" t="s">
        <v>180</v>
      </c>
      <c r="E87" s="14" t="s">
        <v>70</v>
      </c>
      <c r="G87" s="4">
        <f>G53*G36</f>
        <v>0</v>
      </c>
      <c r="J87" s="4">
        <f>G87 - J71 - J82 + J36*J77</f>
        <v>0.85</v>
      </c>
      <c r="M87" s="4">
        <f>J87 - M71 - M82 + M36*M77</f>
        <v>5.0983000000000001</v>
      </c>
      <c r="P87" s="4">
        <f>M87 - P71 - P82 + P36*P77</f>
        <v>15.288103399999999</v>
      </c>
      <c r="S87" s="4">
        <f>P87 - S71 - S82 + S36*S77</f>
        <v>32.257527193199998</v>
      </c>
      <c r="V87" s="4">
        <f>S87 - V71 - V82 + V36*V77</f>
        <v>39.082999999999998</v>
      </c>
      <c r="Y87" s="4">
        <f>V87 - Y71 - Y82 + Y36*Y77</f>
        <v>55.774358623197188</v>
      </c>
    </row>
    <row r="88" spans="1:25" ht="17" x14ac:dyDescent="0.2">
      <c r="A88" s="47"/>
      <c r="B88" s="37"/>
      <c r="E88" s="14" t="s">
        <v>71</v>
      </c>
      <c r="G88" s="4">
        <f>G54*G37</f>
        <v>0</v>
      </c>
      <c r="J88" s="4">
        <f>G88 - J72 - J83 + J37*J78</f>
        <v>0</v>
      </c>
      <c r="M88" s="4">
        <f>J88 - M72 - M83 + M37*M78</f>
        <v>0.8</v>
      </c>
      <c r="P88" s="4">
        <f>M88 - P72 - P83 + P37*P78</f>
        <v>4.7984</v>
      </c>
      <c r="S88" s="4">
        <f>P88 - S72 - S83 + S37*S78</f>
        <v>14.3888032</v>
      </c>
      <c r="V88" s="4">
        <f>S88 - V72 - V83 + V37*V78</f>
        <v>23.984000000000002</v>
      </c>
      <c r="Y88" s="4">
        <f>V88 - Y72 - Y83 + Y37*Y78</f>
        <v>36.783999999999999</v>
      </c>
    </row>
    <row r="89" spans="1:25" ht="17" x14ac:dyDescent="0.2">
      <c r="A89" s="47"/>
      <c r="B89" s="37"/>
      <c r="E89" s="14" t="s">
        <v>72</v>
      </c>
      <c r="G89" s="4">
        <f>G55*G38</f>
        <v>0</v>
      </c>
      <c r="J89" s="4">
        <f>G89 - J73 - J84 + J38*J79</f>
        <v>0</v>
      </c>
      <c r="M89" s="4">
        <f>J89 - M73 - M84 + M38*M79</f>
        <v>0</v>
      </c>
      <c r="P89" s="4">
        <f>M89 - P73 - P84 + P38*P79</f>
        <v>0.92</v>
      </c>
      <c r="S89" s="4">
        <f>P89 - S73 - S84 + S38*S79</f>
        <v>5.5181600000000008</v>
      </c>
      <c r="V89" s="4">
        <f>S89 - V73 - V84 + V38*V79</f>
        <v>16.547123679999999</v>
      </c>
      <c r="Y89" s="4">
        <f>V89 - Y73 - Y84 + Y38*Y79</f>
        <v>27.581600000000005</v>
      </c>
    </row>
    <row r="90" spans="1:25" ht="17" customHeight="1" x14ac:dyDescent="0.2">
      <c r="A90" s="47"/>
      <c r="B90" s="37"/>
      <c r="E90" s="14" t="s">
        <v>81</v>
      </c>
      <c r="G90" s="4">
        <f>G56*G39</f>
        <v>0</v>
      </c>
      <c r="J90" s="4">
        <f>G90 - J74 - J85 + J39*J80</f>
        <v>0</v>
      </c>
      <c r="M90" s="4">
        <f>J90 - M74 - M85 + M39*M80</f>
        <v>0</v>
      </c>
      <c r="P90" s="4">
        <f>M90 - P74 - P85 + P39*P80</f>
        <v>0</v>
      </c>
      <c r="S90" s="4">
        <f>P90 - S74 - S85 + S39*S80</f>
        <v>0.43</v>
      </c>
      <c r="V90" s="4">
        <f>S90 - V74 - V85 + V39*V80</f>
        <v>2.5791399999999998</v>
      </c>
      <c r="Y90" s="4">
        <f>V90 - Y74 - Y85 + Y39*Y80</f>
        <v>7.7339817200000001</v>
      </c>
    </row>
    <row r="91" spans="1:25" x14ac:dyDescent="0.2">
      <c r="D91" s="35"/>
      <c r="E91" s="14"/>
    </row>
    <row r="92" spans="1:25" ht="17" x14ac:dyDescent="0.2">
      <c r="A92" s="47" t="s">
        <v>227</v>
      </c>
      <c r="B92" s="37" t="s">
        <v>180</v>
      </c>
      <c r="D92" s="35"/>
      <c r="E92" s="14" t="s">
        <v>228</v>
      </c>
      <c r="G92" s="4">
        <f>G58*G41</f>
        <v>0</v>
      </c>
      <c r="J92" s="4">
        <f>G92 - J76 - J87 + J41*J82</f>
        <v>-0.85</v>
      </c>
      <c r="M92" s="4">
        <f>J92 - M76 - M87 + M41*M82</f>
        <v>-5.9482999999999997</v>
      </c>
      <c r="P92" s="4">
        <f>M92 - P76 - P87 + P41*P82</f>
        <v>-21.2364034</v>
      </c>
      <c r="S92" s="4">
        <f>P92 - S76 - S87 + S41*S82</f>
        <v>-53.493930593199998</v>
      </c>
      <c r="V92" s="4">
        <f>S92 - V76 - V87 + V41*V82</f>
        <v>-92.57693059319999</v>
      </c>
      <c r="Y92" s="4">
        <f>V92 - Y76 - Y87 + Y41*Y82</f>
        <v>-148.35128921639716</v>
      </c>
    </row>
    <row r="93" spans="1:25" ht="17" x14ac:dyDescent="0.2">
      <c r="A93" s="47"/>
      <c r="B93" s="37"/>
      <c r="D93" s="35"/>
      <c r="E93" s="14" t="s">
        <v>229</v>
      </c>
      <c r="G93" s="4">
        <f>G59*G42</f>
        <v>0</v>
      </c>
      <c r="J93" s="4">
        <f>G93 - J77 - J88 + J42*J83</f>
        <v>-0.01</v>
      </c>
      <c r="M93" s="4">
        <f>J93 - M77 - M88 + M42*M83</f>
        <v>-0.8600000000000001</v>
      </c>
      <c r="P93" s="4">
        <f>M93 - P77 - P88 + P42*P83</f>
        <v>-5.7784000000000004</v>
      </c>
      <c r="S93" s="4">
        <f>P93 - S77 - S88 + S42*S83</f>
        <v>-20.367203199999999</v>
      </c>
      <c r="V93" s="4">
        <f>S93 - V77 - V88 + V42*V83</f>
        <v>-44.7112032</v>
      </c>
      <c r="Y93" s="4">
        <f>V93 - Y77 - Y88 + Y42*Y83</f>
        <v>-82.05157212497879</v>
      </c>
    </row>
    <row r="94" spans="1:25" ht="17" x14ac:dyDescent="0.2">
      <c r="A94" s="47"/>
      <c r="B94" s="37"/>
      <c r="D94" s="35"/>
      <c r="E94" s="14" t="s">
        <v>230</v>
      </c>
      <c r="G94" s="4">
        <f>G60*G43</f>
        <v>0</v>
      </c>
      <c r="J94" s="4">
        <f>G94 - J78 - J89 + J43*J84</f>
        <v>0</v>
      </c>
      <c r="M94" s="4">
        <f>J94 - M78 - M89 + M43*M84</f>
        <v>-0.01</v>
      </c>
      <c r="P94" s="4">
        <f>M94 - P78 - P89 + P43*P84</f>
        <v>-0.98000000000000009</v>
      </c>
      <c r="S94" s="4">
        <f>P94 - S78 - S89 + S43*S84</f>
        <v>-6.6181600000000014</v>
      </c>
      <c r="V94" s="4">
        <f>S94 - V78 - V89 + V43*V84</f>
        <v>-23.365283680000001</v>
      </c>
      <c r="Y94" s="4">
        <f>V94 - Y78 - Y89 + Y43*Y84</f>
        <v>-51.306883680000006</v>
      </c>
    </row>
    <row r="95" spans="1:25" ht="17" x14ac:dyDescent="0.2">
      <c r="A95" s="47"/>
      <c r="B95" s="37"/>
      <c r="D95" s="35"/>
      <c r="E95" s="14" t="s">
        <v>231</v>
      </c>
      <c r="G95" s="4">
        <f>G61*G44</f>
        <v>0</v>
      </c>
      <c r="J95" s="4">
        <f>G95 - J79 - J90 + J44*J85</f>
        <v>0</v>
      </c>
      <c r="M95" s="4">
        <f>J95 - M79 - M90 + M44*M85</f>
        <v>0</v>
      </c>
      <c r="P95" s="4">
        <f>M95 - P79 - P90 + P44*P85</f>
        <v>-0.01</v>
      </c>
      <c r="S95" s="4">
        <f>P95 - S79 - S90 + S44*S85</f>
        <v>-0.49</v>
      </c>
      <c r="V95" s="4">
        <f>S95 - V79 - V90 + V44*V85</f>
        <v>-3.1891399999999996</v>
      </c>
      <c r="Y95" s="4">
        <f>V95 - Y79 - Y90 + Y44*Y85</f>
        <v>-11.12312172</v>
      </c>
    </row>
    <row r="96" spans="1:25" x14ac:dyDescent="0.2">
      <c r="A96" s="38"/>
      <c r="B96" s="45"/>
      <c r="D96" s="35"/>
      <c r="E96" s="14"/>
    </row>
    <row r="97" spans="1:25" ht="17" x14ac:dyDescent="0.2">
      <c r="D97" s="35"/>
      <c r="E97" s="15" t="s">
        <v>141</v>
      </c>
      <c r="F97" s="8" t="s">
        <v>124</v>
      </c>
      <c r="G97" s="8"/>
    </row>
    <row r="98" spans="1:25" ht="17" x14ac:dyDescent="0.2">
      <c r="A98" s="33" t="s">
        <v>192</v>
      </c>
      <c r="B98" s="44" t="s">
        <v>189</v>
      </c>
      <c r="D98" s="35"/>
      <c r="E98" s="14" t="s">
        <v>90</v>
      </c>
      <c r="F98" s="4">
        <f>$F$27</f>
        <v>0.3</v>
      </c>
      <c r="G98" s="4">
        <f>$G$27</f>
        <v>0.92</v>
      </c>
      <c r="I98" s="4">
        <f>$F$27</f>
        <v>0.3</v>
      </c>
      <c r="J98" s="4">
        <f>$G$27</f>
        <v>0.92</v>
      </c>
      <c r="L98" s="4">
        <f>$F$27</f>
        <v>0.3</v>
      </c>
      <c r="M98" s="4">
        <f>$G$27</f>
        <v>0.92</v>
      </c>
      <c r="O98" s="4">
        <f>$F$27</f>
        <v>0.3</v>
      </c>
      <c r="P98" s="4">
        <f>$G$27</f>
        <v>0.92</v>
      </c>
      <c r="R98" s="4">
        <f>$F$27</f>
        <v>0.3</v>
      </c>
      <c r="S98" s="4">
        <f>$G$27</f>
        <v>0.92</v>
      </c>
      <c r="U98" s="4">
        <f>$F$27</f>
        <v>0.3</v>
      </c>
      <c r="V98" s="4">
        <f>$G$27</f>
        <v>0.92</v>
      </c>
      <c r="X98" s="4">
        <f>$F$27</f>
        <v>0.3</v>
      </c>
      <c r="Y98" s="4">
        <f>$G$27</f>
        <v>0.92</v>
      </c>
    </row>
    <row r="99" spans="1:25" ht="17" x14ac:dyDescent="0.2">
      <c r="A99" s="33" t="s">
        <v>191</v>
      </c>
      <c r="B99" s="40" t="s">
        <v>180</v>
      </c>
      <c r="E99" s="14" t="s">
        <v>142</v>
      </c>
      <c r="F99" s="4">
        <f>F7*$F$18</f>
        <v>1500000</v>
      </c>
      <c r="G99" s="4">
        <f>G7*$G$18</f>
        <v>25000000</v>
      </c>
      <c r="I99" s="4">
        <f>I7*$F$18</f>
        <v>1492500</v>
      </c>
      <c r="J99" s="4">
        <f>J7*$G$18</f>
        <v>24990000</v>
      </c>
      <c r="L99" s="4">
        <f>L7*$F$18</f>
        <v>1483200</v>
      </c>
      <c r="M99" s="4">
        <f>M7*$G$18</f>
        <v>24979000</v>
      </c>
      <c r="O99" s="4">
        <f>O7*$F$18</f>
        <v>1474500</v>
      </c>
      <c r="P99" s="4">
        <f>P7*$G$18</f>
        <v>24969600</v>
      </c>
      <c r="R99" s="4">
        <f>R7*$F$18</f>
        <v>1464000</v>
      </c>
      <c r="S99" s="4">
        <f>S7*$G$18</f>
        <v>24950400</v>
      </c>
      <c r="U99" s="4">
        <f>U7*$F$18</f>
        <v>1449000</v>
      </c>
      <c r="V99" s="4">
        <f>V7*$G$18</f>
        <v>24946500</v>
      </c>
      <c r="X99" s="4">
        <f>X7*$F$18</f>
        <v>1434300</v>
      </c>
      <c r="Y99" s="4">
        <f>Y7*$G$18</f>
        <v>24936000</v>
      </c>
    </row>
    <row r="100" spans="1:25" ht="17" x14ac:dyDescent="0.2">
      <c r="A100" s="33" t="s">
        <v>190</v>
      </c>
      <c r="B100" s="40" t="s">
        <v>180</v>
      </c>
      <c r="E100" s="14" t="s">
        <v>167</v>
      </c>
      <c r="F100" s="4">
        <v>1</v>
      </c>
      <c r="G100" s="4">
        <v>1</v>
      </c>
      <c r="I100" s="4">
        <f>IF(F102=0,0,MIN(MAX((F102/F99-$F$15)/($F$17-$F$15), 0), 1))</f>
        <v>1</v>
      </c>
      <c r="J100" s="4">
        <f>IF(G102=0,0,MIN(MAX((G102/G99-$F$15)/($F$17-$F$15), 0), 1))</f>
        <v>1</v>
      </c>
      <c r="L100" s="4">
        <f>IF(I102=0,0,MIN(MAX((I102/I99-$F$15)/($F$17-$F$15), 0), 1))</f>
        <v>1</v>
      </c>
      <c r="M100" s="4">
        <f>IF(J102=0,0,MIN(MAX((J102/J99-$F$15)/($F$17-$F$15), 0), 1))</f>
        <v>1</v>
      </c>
      <c r="O100" s="4">
        <f>IF(L102=0,0,MIN(MAX((L102/L99-$F$15)/($F$17-$F$15), 0), 1))</f>
        <v>1</v>
      </c>
      <c r="P100" s="4">
        <f>IF(M102=0,0,MIN(MAX((M102/M99-$F$15)/($F$17-$F$15), 0), 1))</f>
        <v>1</v>
      </c>
      <c r="R100" s="4">
        <f>IF(O102=0,0,MIN(MAX((O102/O99-$F$15)/($F$17-$F$15), 0), 1))</f>
        <v>1</v>
      </c>
      <c r="S100" s="4">
        <f>IF(P102=0,0,MIN(MAX((P102/P99-$F$15)/($F$17-$F$15), 0), 1))</f>
        <v>1</v>
      </c>
      <c r="U100" s="4">
        <f>IF(R102=0,0,MIN(MAX((R102/R99-$F$15)/($F$17-$F$15), 0), 1))</f>
        <v>1</v>
      </c>
      <c r="V100" s="4">
        <f>IF(S102=0,0,MIN(MAX((S102/S99-$F$15)/($F$17-$F$15), 0), 1))</f>
        <v>1</v>
      </c>
      <c r="X100" s="4">
        <f>IF(U102=0,0,MIN(MAX((U102/U99-$F$15)/($F$17-$F$15), 0), 1))</f>
        <v>1</v>
      </c>
      <c r="Y100" s="4">
        <f>IF(V102=0,0,MIN(MAX((V102/V99-$F$15)/($F$17-$F$15), 0), 1))</f>
        <v>0.89139235505764625</v>
      </c>
    </row>
    <row r="101" spans="1:25" ht="17" x14ac:dyDescent="0.2">
      <c r="A101" s="33" t="s">
        <v>193</v>
      </c>
      <c r="B101" s="43" t="s">
        <v>166</v>
      </c>
      <c r="E101" s="14" t="s">
        <v>132</v>
      </c>
      <c r="F101" s="4">
        <f>F98</f>
        <v>0.3</v>
      </c>
      <c r="G101" s="4">
        <f>G98</f>
        <v>0.92</v>
      </c>
      <c r="I101" s="4">
        <f xml:space="preserve"> I98*I100</f>
        <v>0.3</v>
      </c>
      <c r="J101" s="4">
        <f>J98*J100</f>
        <v>0.92</v>
      </c>
      <c r="L101" s="4">
        <f xml:space="preserve"> L98*L100</f>
        <v>0.3</v>
      </c>
      <c r="M101" s="4">
        <f>M98*M100</f>
        <v>0.92</v>
      </c>
      <c r="O101" s="4">
        <f xml:space="preserve"> O98*O100</f>
        <v>0.3</v>
      </c>
      <c r="P101" s="4">
        <f>P98*P100</f>
        <v>0.92</v>
      </c>
      <c r="R101" s="4">
        <f xml:space="preserve"> R98*R100</f>
        <v>0.3</v>
      </c>
      <c r="S101" s="4">
        <f>S98*S100</f>
        <v>0.92</v>
      </c>
      <c r="U101" s="4">
        <f xml:space="preserve"> U98*U100</f>
        <v>0.3</v>
      </c>
      <c r="V101" s="4">
        <f>V98*V100</f>
        <v>0.92</v>
      </c>
      <c r="X101" s="4">
        <f xml:space="preserve"> X98*X100</f>
        <v>0.3</v>
      </c>
      <c r="Y101" s="4">
        <f>Y98*Y100</f>
        <v>0.82008096665303454</v>
      </c>
    </row>
    <row r="102" spans="1:25" ht="17" x14ac:dyDescent="0.2">
      <c r="A102" s="33" t="s">
        <v>194</v>
      </c>
      <c r="B102" s="43" t="s">
        <v>166</v>
      </c>
      <c r="E102" s="14" t="s">
        <v>176</v>
      </c>
      <c r="F102" s="4">
        <f>F7*F18</f>
        <v>1500000</v>
      </c>
      <c r="G102" s="4">
        <f>G7*G18</f>
        <v>25000000</v>
      </c>
      <c r="I102" s="4">
        <f>F102 - F122 - F110 - F134+I101*I7</f>
        <v>1421016.5802484024</v>
      </c>
      <c r="J102" s="4">
        <f>G102 - G122 - G110 - G134 + J101*J7</f>
        <v>23245411.419751596</v>
      </c>
      <c r="L102" s="4">
        <f>I102 - I122 - I110 - I134+L101*L7</f>
        <v>1338234.0119069479</v>
      </c>
      <c r="M102" s="4">
        <f>J102 - J122 - J110 - J134 + M101*M7</f>
        <v>21446685.855861954</v>
      </c>
      <c r="O102" s="4">
        <f>L102 - L122 - L110 - L134+O101*O7</f>
        <v>1261074.3620328093</v>
      </c>
      <c r="P102" s="4">
        <f>M102 - M122 - M110 - M134 + P101*P7</f>
        <v>19589276.419903073</v>
      </c>
      <c r="R102" s="4">
        <f>O102 - O122 - O110 - O134+R101*R7</f>
        <v>1186570.0048549746</v>
      </c>
      <c r="S102" s="4">
        <f>P102 - P122 - P110 - P134 + S101*S7</f>
        <v>17624976.777235985</v>
      </c>
      <c r="U102" s="4">
        <f>R102 - R122 - R110 - R134+U101*U7</f>
        <v>1095867.5027670111</v>
      </c>
      <c r="V102" s="4">
        <f>S102 - S122 - S110 - S134 + V101*V7</f>
        <v>14901579.368863089</v>
      </c>
      <c r="X102" s="4">
        <f>U102 - U122 - U110 - U134+X101*X7</f>
        <v>818384.25432780897</v>
      </c>
      <c r="Y102" s="4">
        <f>V102 - V122 - V110 - V134 + Y101*Y7</f>
        <v>3175368.0905289678</v>
      </c>
    </row>
    <row r="103" spans="1:25" ht="17" x14ac:dyDescent="0.2">
      <c r="A103" s="33" t="s">
        <v>195</v>
      </c>
      <c r="B103" s="43" t="s">
        <v>166</v>
      </c>
      <c r="E103" s="14" t="s">
        <v>143</v>
      </c>
      <c r="F103" s="4">
        <f>F102/F7</f>
        <v>150</v>
      </c>
      <c r="G103" s="4">
        <f>G102/G7</f>
        <v>100</v>
      </c>
      <c r="I103" s="4">
        <f>I102/I7</f>
        <v>142.81573670838216</v>
      </c>
      <c r="J103" s="4">
        <f>J102/J7</f>
        <v>93.018853220294503</v>
      </c>
      <c r="L103" s="4">
        <f>L102/L7</f>
        <v>135.33920023330785</v>
      </c>
      <c r="M103" s="4">
        <f>M102/M7</f>
        <v>85.858864869938571</v>
      </c>
      <c r="O103" s="4">
        <f>O102/O7</f>
        <v>128.28833794840381</v>
      </c>
      <c r="P103" s="4">
        <f>P102/P7</f>
        <v>78.452503924384345</v>
      </c>
      <c r="R103" s="4">
        <f>R102/R7</f>
        <v>121.57479557940313</v>
      </c>
      <c r="S103" s="4">
        <f>S102/S7</f>
        <v>70.640056981996224</v>
      </c>
      <c r="U103" s="4">
        <f>U102/U7</f>
        <v>113.44384086615021</v>
      </c>
      <c r="V103" s="4">
        <f>V102/V7</f>
        <v>59.73414855335654</v>
      </c>
      <c r="X103" s="4">
        <f>X102/X7</f>
        <v>85.58714226394153</v>
      </c>
      <c r="Y103" s="4">
        <f>Y102/Y7</f>
        <v>12.73407158537443</v>
      </c>
    </row>
    <row r="104" spans="1:25" x14ac:dyDescent="0.2">
      <c r="E104" s="13"/>
    </row>
    <row r="105" spans="1:25" ht="17" x14ac:dyDescent="0.2">
      <c r="E105" s="11" t="s">
        <v>58</v>
      </c>
      <c r="F105" s="12"/>
      <c r="G105" s="12"/>
      <c r="I105" s="12"/>
      <c r="J105" s="12"/>
      <c r="L105" s="12"/>
      <c r="M105" s="12"/>
      <c r="O105" s="12"/>
      <c r="P105" s="12"/>
      <c r="R105" s="12"/>
      <c r="S105" s="12"/>
      <c r="U105" s="12"/>
      <c r="V105" s="12"/>
      <c r="X105" s="12"/>
      <c r="Y105" s="12"/>
    </row>
    <row r="106" spans="1:25" ht="17" x14ac:dyDescent="0.2">
      <c r="A106" s="33" t="s">
        <v>194</v>
      </c>
      <c r="B106" s="44" t="s">
        <v>189</v>
      </c>
      <c r="E106" s="10" t="s">
        <v>241</v>
      </c>
      <c r="F106" s="4">
        <f>F103*F7</f>
        <v>1500000</v>
      </c>
      <c r="G106" s="4">
        <f>G103*G7</f>
        <v>25000000</v>
      </c>
      <c r="I106" s="4">
        <f>I103*I7</f>
        <v>1421016.5802484024</v>
      </c>
      <c r="J106" s="4">
        <f>J103*J7</f>
        <v>23245411.419751596</v>
      </c>
      <c r="L106" s="4">
        <f>L103*L7</f>
        <v>1338234.0119069479</v>
      </c>
      <c r="M106" s="4">
        <f>M103*M7</f>
        <v>21446685.855861954</v>
      </c>
      <c r="O106" s="4">
        <f>O103*O7</f>
        <v>1261074.3620328095</v>
      </c>
      <c r="P106" s="4">
        <f>P103*P7</f>
        <v>19589276.419903073</v>
      </c>
      <c r="R106" s="4">
        <f>R103*R7</f>
        <v>1186570.0048549746</v>
      </c>
      <c r="S106" s="4">
        <f>S103*S7</f>
        <v>17624976.777235985</v>
      </c>
      <c r="U106" s="4">
        <f>U103*U7</f>
        <v>1095867.5027670111</v>
      </c>
      <c r="V106" s="4">
        <f>V103*V7</f>
        <v>14901579.368863089</v>
      </c>
      <c r="X106" s="4">
        <f>X103*X7</f>
        <v>818384.25432780886</v>
      </c>
      <c r="Y106" s="4">
        <f>Y103*Y7</f>
        <v>3175368.0905289678</v>
      </c>
    </row>
    <row r="107" spans="1:25" ht="17" x14ac:dyDescent="0.2">
      <c r="A107" s="33" t="s">
        <v>196</v>
      </c>
      <c r="B107" s="43" t="s">
        <v>166</v>
      </c>
      <c r="E107" s="10" t="s">
        <v>240</v>
      </c>
      <c r="G107" s="4">
        <f>SUM(G87:G90)</f>
        <v>0</v>
      </c>
      <c r="J107" s="4">
        <f>SUM(J87:J90)</f>
        <v>0.85</v>
      </c>
      <c r="M107" s="4">
        <f>SUM(M87:M90)</f>
        <v>5.8982999999999999</v>
      </c>
      <c r="P107" s="4">
        <f>SUM(P87:P90)</f>
        <v>21.0065034</v>
      </c>
      <c r="S107" s="4">
        <f>SUM(S87:S90)</f>
        <v>52.594490393199997</v>
      </c>
      <c r="V107" s="4">
        <f>SUM(V87:V90)</f>
        <v>82.193263680000001</v>
      </c>
      <c r="Y107" s="4">
        <f>SUM(Y87:Y90)</f>
        <v>127.87394034319721</v>
      </c>
    </row>
    <row r="108" spans="1:25" ht="17" x14ac:dyDescent="0.2">
      <c r="A108" s="33" t="s">
        <v>197</v>
      </c>
      <c r="B108" s="43" t="s">
        <v>166</v>
      </c>
      <c r="E108" s="10" t="s">
        <v>239</v>
      </c>
      <c r="F108" s="4">
        <f>F106+F107</f>
        <v>1500000</v>
      </c>
      <c r="G108" s="4">
        <f>G106+G107</f>
        <v>25000000</v>
      </c>
      <c r="I108" s="4">
        <f>I106+I107</f>
        <v>1421016.5802484024</v>
      </c>
      <c r="J108" s="4">
        <f>J106+J107</f>
        <v>23245412.269751597</v>
      </c>
      <c r="L108" s="4">
        <f>L106+L107</f>
        <v>1338234.0119069479</v>
      </c>
      <c r="M108" s="4">
        <f>M106+M107</f>
        <v>21446691.754161954</v>
      </c>
      <c r="O108" s="4">
        <f>O106+O107</f>
        <v>1261074.3620328095</v>
      </c>
      <c r="P108" s="4">
        <f>P106+P107</f>
        <v>19589297.426406473</v>
      </c>
      <c r="R108" s="4">
        <f>R106+R107</f>
        <v>1186570.0048549746</v>
      </c>
      <c r="S108" s="4">
        <f>S106+S107</f>
        <v>17625029.371726379</v>
      </c>
      <c r="U108" s="4">
        <f>U106+U107</f>
        <v>1095867.5027670111</v>
      </c>
      <c r="V108" s="4">
        <f>V106+V107</f>
        <v>14901661.562126769</v>
      </c>
      <c r="X108" s="4">
        <f>X106+X107</f>
        <v>818384.25432780886</v>
      </c>
      <c r="Y108" s="4">
        <f>Y106+Y107</f>
        <v>3175495.9644693108</v>
      </c>
    </row>
    <row r="109" spans="1:25" ht="17" x14ac:dyDescent="0.2">
      <c r="A109" s="33" t="s">
        <v>238</v>
      </c>
      <c r="B109" s="43" t="s">
        <v>166</v>
      </c>
      <c r="E109" s="10" t="s">
        <v>242</v>
      </c>
      <c r="F109" s="4">
        <f>F102*$F$19</f>
        <v>450000</v>
      </c>
      <c r="G109" s="4">
        <f>G102*$G$19</f>
        <v>6250000</v>
      </c>
      <c r="I109" s="4">
        <f>F109-F113-F135+I101*I7*$F$19</f>
        <v>427157.49807066203</v>
      </c>
      <c r="J109" s="4">
        <f>G109-G113-G135+J101*J7*$G$19</f>
        <v>5822883.6682744483</v>
      </c>
      <c r="L109" s="4">
        <f>I109-I113-I135+L101*L7*$F$19</f>
        <v>405781.86637034442</v>
      </c>
      <c r="M109" s="4">
        <f>J109-J113-J135+M101*M7*$G$19</f>
        <v>5386389.9946913794</v>
      </c>
      <c r="O109" s="4">
        <f>L109-L113-L135+O101*O7*$F$19</f>
        <v>385745.26148536842</v>
      </c>
      <c r="P109" s="4">
        <f>M109-M113-M135+P101*P7*$G$19</f>
        <v>4933754.4954288593</v>
      </c>
      <c r="R109" s="4">
        <f>O109-O113-O135+R101*R7*$F$19</f>
        <v>366799.61784868693</v>
      </c>
      <c r="S109" s="4">
        <f>P109-P113-P135+S101*S7*$G$19</f>
        <v>4455160.4517927608</v>
      </c>
      <c r="U109" s="4">
        <f>R109-R113-R135+U101*U7*$F$19</f>
        <v>343893.20698312705</v>
      </c>
      <c r="V109" s="4">
        <f>S109-S113-S135+V101*V7*$G$19</f>
        <v>3782350.5775140608</v>
      </c>
      <c r="X109" s="4">
        <f>U109-U113-U135+X101*X7*$F$19</f>
        <v>264473.77134537301</v>
      </c>
      <c r="Y109" s="4">
        <f>V109-V113-V135+Y101*Y7*$G$19</f>
        <v>853846.65592415316</v>
      </c>
    </row>
    <row r="110" spans="1:25" ht="17" x14ac:dyDescent="0.2">
      <c r="A110" s="33" t="s">
        <v>187</v>
      </c>
      <c r="B110" s="40" t="s">
        <v>180</v>
      </c>
      <c r="E110" s="10" t="s">
        <v>169</v>
      </c>
      <c r="F110" s="4">
        <f>F9*F103</f>
        <v>7500</v>
      </c>
      <c r="G110" s="4">
        <f>G9*G103</f>
        <v>10000</v>
      </c>
      <c r="I110" s="4">
        <f>I9*I103</f>
        <v>8854.5756759196938</v>
      </c>
      <c r="J110" s="4">
        <f>J9*J103</f>
        <v>10232.073854232396</v>
      </c>
      <c r="L110" s="4">
        <f>L9*L103</f>
        <v>7849.6736135318552</v>
      </c>
      <c r="M110" s="4">
        <f>M9*M103</f>
        <v>8070.7332977742253</v>
      </c>
      <c r="O110" s="4">
        <f>O9*O103</f>
        <v>8980.1836563882662</v>
      </c>
      <c r="P110" s="4">
        <f>P9*P103</f>
        <v>15062.880753481793</v>
      </c>
      <c r="R110" s="4">
        <f>R9*R103</f>
        <v>12157.479557940313</v>
      </c>
      <c r="S110" s="4">
        <f>S9*S103</f>
        <v>2754.9622222978528</v>
      </c>
      <c r="U110" s="4">
        <f>U9*U103</f>
        <v>11117.496404882721</v>
      </c>
      <c r="V110" s="4">
        <f>V9*V103</f>
        <v>6272.085598102437</v>
      </c>
      <c r="X110" s="4">
        <f>X9*X103</f>
        <v>8387.5399418662691</v>
      </c>
      <c r="Y110" s="4">
        <f>Y9*Y103</f>
        <v>1337.0775164643151</v>
      </c>
    </row>
    <row r="111" spans="1:25" ht="17" x14ac:dyDescent="0.2">
      <c r="A111" s="33" t="s">
        <v>179</v>
      </c>
      <c r="B111" s="43" t="s">
        <v>166</v>
      </c>
      <c r="E111" s="10" t="s">
        <v>126</v>
      </c>
      <c r="F111" s="4">
        <f>F110*$F$14</f>
        <v>5250</v>
      </c>
      <c r="G111" s="4">
        <f>G110*$F$14</f>
        <v>7000</v>
      </c>
      <c r="I111" s="4">
        <f>I110*$F$14</f>
        <v>6198.2029731437851</v>
      </c>
      <c r="J111" s="4">
        <f>J110*$F$14</f>
        <v>7162.4516979626769</v>
      </c>
      <c r="L111" s="4">
        <f>L110*$F$14</f>
        <v>5494.7715294722984</v>
      </c>
      <c r="M111" s="4">
        <f>M110*$F$14</f>
        <v>5649.5133084419576</v>
      </c>
      <c r="O111" s="4">
        <f>O110*$F$14</f>
        <v>6286.1285594717856</v>
      </c>
      <c r="P111" s="4">
        <f>P110*$F$14</f>
        <v>10544.016527437254</v>
      </c>
      <c r="R111" s="4">
        <f>R110*$F$14</f>
        <v>8510.2356905582183</v>
      </c>
      <c r="S111" s="4">
        <f>S110*$F$14</f>
        <v>1928.4735556084968</v>
      </c>
      <c r="U111" s="4">
        <f>U110*$F$14</f>
        <v>7782.2474834179038</v>
      </c>
      <c r="V111" s="4">
        <f>V110*$F$14</f>
        <v>4390.459918671706</v>
      </c>
      <c r="X111" s="4">
        <f>X110*$F$14</f>
        <v>5871.2779593063879</v>
      </c>
      <c r="Y111" s="4">
        <f>Y110*$F$14</f>
        <v>935.95426152502046</v>
      </c>
    </row>
    <row r="112" spans="1:25" ht="17" x14ac:dyDescent="0.2">
      <c r="A112" s="33" t="s">
        <v>182</v>
      </c>
      <c r="B112" s="43" t="s">
        <v>166</v>
      </c>
      <c r="E112" s="10" t="s">
        <v>170</v>
      </c>
      <c r="F112" s="4">
        <f>F110*(1-$F$14)</f>
        <v>2250.0000000000005</v>
      </c>
      <c r="G112" s="4">
        <f>G110*(1-$F$14)</f>
        <v>3000.0000000000005</v>
      </c>
      <c r="I112" s="4">
        <f>I110*(1-$F$14)</f>
        <v>2656.3727027759087</v>
      </c>
      <c r="J112" s="4">
        <f>J110*(1-$F$14)</f>
        <v>3069.6221562697192</v>
      </c>
      <c r="L112" s="4">
        <f>L110*(1-$F$14)</f>
        <v>2354.9020840595567</v>
      </c>
      <c r="M112" s="4">
        <f>M110*(1-$F$14)</f>
        <v>2421.2199893322681</v>
      </c>
      <c r="O112" s="4">
        <f>O110*(1-$F$14)</f>
        <v>2694.0550969164801</v>
      </c>
      <c r="P112" s="4">
        <f>P110*(1-$F$14)</f>
        <v>4518.8642260445386</v>
      </c>
      <c r="R112" s="4">
        <f>R110*(1-$F$14)</f>
        <v>3647.2438673820943</v>
      </c>
      <c r="S112" s="4">
        <f>S110*(1-$F$14)</f>
        <v>826.48866668935591</v>
      </c>
      <c r="U112" s="4">
        <f>U110*(1-$F$14)</f>
        <v>3335.2489214648167</v>
      </c>
      <c r="V112" s="4">
        <f>V110*(1-$F$14)</f>
        <v>1881.6256794307315</v>
      </c>
      <c r="X112" s="4">
        <f>X110*(1-$F$14)</f>
        <v>2516.2619825598813</v>
      </c>
      <c r="Y112" s="4">
        <f>Y110*(1-$F$14)</f>
        <v>401.12325493929455</v>
      </c>
    </row>
    <row r="113" spans="1:28" ht="17" x14ac:dyDescent="0.2">
      <c r="A113" s="33" t="s">
        <v>183</v>
      </c>
      <c r="B113" s="43" t="s">
        <v>166</v>
      </c>
      <c r="E113" s="10" t="s">
        <v>171</v>
      </c>
      <c r="F113" s="4">
        <f>F110*$F19</f>
        <v>2250</v>
      </c>
      <c r="G113" s="4">
        <f>G110*$G19</f>
        <v>2500</v>
      </c>
    </row>
    <row r="114" spans="1:28" x14ac:dyDescent="0.2">
      <c r="Z114">
        <v>1.1000000000000001</v>
      </c>
      <c r="AA114">
        <f>SUM(Z$6:Z114)</f>
        <v>1.1000000000000001</v>
      </c>
      <c r="AB114">
        <v>20</v>
      </c>
    </row>
    <row r="115" spans="1:28" ht="34" x14ac:dyDescent="0.2">
      <c r="A115" s="33" t="s">
        <v>198</v>
      </c>
      <c r="B115" s="40" t="s">
        <v>180</v>
      </c>
      <c r="E115" s="10" t="s">
        <v>121</v>
      </c>
      <c r="F115" s="4">
        <f>MAX(F13-F25, 0)*F125</f>
        <v>741757.5</v>
      </c>
      <c r="G115" s="4">
        <f>MAX(G13-G25, 0)*G125</f>
        <v>19970010</v>
      </c>
      <c r="I115" s="4">
        <f>MAX(I13-I25, 0)*I125</f>
        <v>697350.12103057199</v>
      </c>
      <c r="J115" s="4">
        <f>MAX(J13-J25, 0)*J125</f>
        <v>18564257.684882641</v>
      </c>
      <c r="L115" s="4">
        <f>MAX(L13-L25, 0)*L125</f>
        <v>585369.23701022298</v>
      </c>
      <c r="M115" s="4">
        <f>MAX(M13-M25, 0)*M125</f>
        <v>17125702.279067256</v>
      </c>
      <c r="O115" s="4">
        <f>MAX(O13-O25, 0)*O125</f>
        <v>481800.15068599832</v>
      </c>
      <c r="P115" s="4">
        <f>MAX(P13-P25, 0)*P125</f>
        <v>15631637.942930376</v>
      </c>
      <c r="R115" s="4">
        <f>MAX(R13-R25, 0)*R125</f>
        <v>383702.35403091385</v>
      </c>
      <c r="S115" s="4">
        <f>MAX(S13-S25, 0)*S125</f>
        <v>14140812.522895874</v>
      </c>
      <c r="U115" s="4">
        <f>MAX(U13-U25, 0)*U125</f>
        <v>267600.05212584679</v>
      </c>
      <c r="V115" s="4">
        <f>MAX(V13-V25, 0)*V125</f>
        <v>11918480.929873837</v>
      </c>
      <c r="X115" s="4">
        <f>MAX(X13-X25, 0)*X125</f>
        <v>193429.6900855636</v>
      </c>
      <c r="Y115" s="4">
        <f>MAX(Y13-Y25, 0)*Y125</f>
        <v>2523718.9695364693</v>
      </c>
    </row>
    <row r="117" spans="1:28" ht="17" x14ac:dyDescent="0.2">
      <c r="E117" s="15" t="s">
        <v>73</v>
      </c>
      <c r="F117" s="8"/>
      <c r="G117" s="8"/>
      <c r="I117" s="8"/>
      <c r="J117" s="8"/>
      <c r="L117" s="8"/>
      <c r="M117" s="8"/>
      <c r="O117" s="8"/>
      <c r="P117" s="8"/>
      <c r="R117" s="8"/>
      <c r="S117" s="8"/>
      <c r="U117" s="8"/>
      <c r="V117" s="8"/>
      <c r="X117" s="8"/>
      <c r="Y117" s="8"/>
    </row>
    <row r="118" spans="1:28" ht="17" x14ac:dyDescent="0.2">
      <c r="A118" s="33" t="s">
        <v>199</v>
      </c>
      <c r="B118" s="40" t="s">
        <v>180</v>
      </c>
      <c r="E118" s="10" t="s">
        <v>120</v>
      </c>
      <c r="F118" s="4">
        <f>MIN(F130,F31)</f>
        <v>2000000</v>
      </c>
      <c r="I118" s="4">
        <f>MIN(I130,I31)</f>
        <v>2050000</v>
      </c>
      <c r="L118" s="4">
        <f>MIN(L130,L31)</f>
        <v>2110000</v>
      </c>
      <c r="O118" s="4">
        <f>MIN(O130,O31)</f>
        <v>2210000</v>
      </c>
      <c r="R118" s="4">
        <f>MIN(R130,R31)</f>
        <v>3000000</v>
      </c>
      <c r="U118" s="4">
        <f>MIN(U130,U31)</f>
        <v>12186080.981999684</v>
      </c>
      <c r="X118" s="4">
        <f>MIN(X130,X31)</f>
        <v>1776649.2395067073</v>
      </c>
    </row>
    <row r="119" spans="1:28" ht="17" x14ac:dyDescent="0.2">
      <c r="A119" s="33" t="s">
        <v>200</v>
      </c>
      <c r="B119" s="40" t="s">
        <v>180</v>
      </c>
      <c r="E119" s="10" t="s">
        <v>123</v>
      </c>
      <c r="F119" s="4">
        <f>F31-F118</f>
        <v>0</v>
      </c>
      <c r="I119" s="4">
        <f>I31-I118</f>
        <v>0</v>
      </c>
      <c r="L119" s="4">
        <f>L31-L118</f>
        <v>0</v>
      </c>
      <c r="O119" s="4">
        <f>O31-O118</f>
        <v>0</v>
      </c>
      <c r="R119" s="4">
        <f>R31-R118</f>
        <v>0</v>
      </c>
      <c r="U119" s="4">
        <f>U31-U118</f>
        <v>12813919.018000316</v>
      </c>
      <c r="X119" s="4">
        <f>X31-X118</f>
        <v>743350.76049329271</v>
      </c>
    </row>
    <row r="120" spans="1:28" ht="17" x14ac:dyDescent="0.2">
      <c r="A120" s="33" t="s">
        <v>201</v>
      </c>
      <c r="B120" s="43" t="s">
        <v>166</v>
      </c>
      <c r="E120" s="10" t="s">
        <v>168</v>
      </c>
      <c r="F120" s="4">
        <f>MIN(F31,F118)</f>
        <v>2000000</v>
      </c>
      <c r="I120" s="4">
        <f>MIN(I31,I118)</f>
        <v>2050000</v>
      </c>
      <c r="L120" s="4">
        <f>MIN(L31,L118)</f>
        <v>2110000</v>
      </c>
      <c r="O120" s="4">
        <f>MIN(O31,O118)</f>
        <v>2210000</v>
      </c>
      <c r="R120" s="4">
        <f>MIN(R31,R118)</f>
        <v>3000000</v>
      </c>
      <c r="U120" s="4">
        <f>MIN(U31,U118)</f>
        <v>12186080.981999684</v>
      </c>
      <c r="X120" s="4">
        <f>MIN(X31,X118)</f>
        <v>1776649.2395067073</v>
      </c>
    </row>
    <row r="121" spans="1:28" ht="17" x14ac:dyDescent="0.2">
      <c r="A121" s="33" t="s">
        <v>237</v>
      </c>
      <c r="B121" s="43" t="s">
        <v>166</v>
      </c>
      <c r="E121" s="10" t="s">
        <v>147</v>
      </c>
      <c r="F121" s="4">
        <f>MIN(F119,G68)</f>
        <v>0</v>
      </c>
      <c r="I121" s="4">
        <f>MIN(I119,J68)</f>
        <v>0</v>
      </c>
      <c r="L121" s="4">
        <f>MIN(L119,M68)</f>
        <v>0</v>
      </c>
      <c r="O121" s="4">
        <f>MIN(O119,P68)</f>
        <v>0</v>
      </c>
      <c r="R121" s="4">
        <f>MIN(R119,S68)</f>
        <v>0</v>
      </c>
      <c r="U121" s="4">
        <f>MIN(U119,V68)</f>
        <v>30.146330393199996</v>
      </c>
      <c r="X121" s="4">
        <f>MIN(X119,Y68)</f>
        <v>53.914123679999996</v>
      </c>
    </row>
    <row r="122" spans="1:28" ht="17" x14ac:dyDescent="0.2">
      <c r="A122" s="33" t="s">
        <v>236</v>
      </c>
      <c r="B122" s="43" t="s">
        <v>166</v>
      </c>
      <c r="E122" s="10" t="s">
        <v>235</v>
      </c>
      <c r="F122" s="4">
        <f>F131*F120</f>
        <v>71626.673097793318</v>
      </c>
      <c r="G122" s="4">
        <f>G131*F120</f>
        <v>1928373.3269022068</v>
      </c>
      <c r="I122" s="4">
        <f>I131*I120</f>
        <v>74218.505667725345</v>
      </c>
      <c r="J122" s="4">
        <f>J131*I120</f>
        <v>1975781.4943322747</v>
      </c>
      <c r="L122" s="4">
        <f>L131*L120</f>
        <v>69737.682949920025</v>
      </c>
      <c r="M122" s="4">
        <f>M131*L120</f>
        <v>2040262.31705008</v>
      </c>
      <c r="O122" s="4">
        <f>O131*O120</f>
        <v>66080.145455604987</v>
      </c>
      <c r="P122" s="4">
        <f>P131*O120</f>
        <v>2143919.8545443951</v>
      </c>
      <c r="R122" s="4">
        <f>R131*R120</f>
        <v>79252.702885199687</v>
      </c>
      <c r="S122" s="4">
        <f>S131*R120</f>
        <v>2920747.2971148002</v>
      </c>
      <c r="U122" s="4">
        <f>U131*U120</f>
        <v>267600.05212584679</v>
      </c>
      <c r="V122" s="4">
        <f>V131*U120</f>
        <v>11918480.929873837</v>
      </c>
      <c r="X122" s="4">
        <f>X131*X120</f>
        <v>193429.6900855636</v>
      </c>
      <c r="Y122" s="4">
        <f>Y131*X120</f>
        <v>1583219.5494211437</v>
      </c>
    </row>
    <row r="123" spans="1:28" x14ac:dyDescent="0.2">
      <c r="B123" s="45"/>
    </row>
    <row r="124" spans="1:28" ht="17" x14ac:dyDescent="0.2">
      <c r="E124" s="15" t="s">
        <v>74</v>
      </c>
      <c r="F124" s="8"/>
      <c r="G124" s="8"/>
      <c r="I124" s="8"/>
      <c r="J124" s="8"/>
      <c r="L124" s="8"/>
      <c r="M124" s="8"/>
      <c r="O124" s="8"/>
      <c r="P124" s="8"/>
      <c r="R124" s="8"/>
      <c r="S124" s="8"/>
      <c r="U124" s="8"/>
      <c r="V124" s="8"/>
      <c r="X124" s="8"/>
      <c r="Y124" s="8"/>
    </row>
    <row r="125" spans="1:28" ht="34" x14ac:dyDescent="0.2">
      <c r="A125" s="33" t="s">
        <v>195</v>
      </c>
      <c r="B125" s="40" t="s">
        <v>180</v>
      </c>
      <c r="E125" s="10" t="s">
        <v>75</v>
      </c>
      <c r="F125" s="4">
        <f>MAX(F103-$F20,0)</f>
        <v>149.85</v>
      </c>
      <c r="G125" s="4">
        <f>MAX(G103-$G20,0)</f>
        <v>99.9</v>
      </c>
      <c r="I125" s="4">
        <f>MAX(I103-$F20,0)</f>
        <v>142.66573670838216</v>
      </c>
      <c r="J125" s="4">
        <f>MAX(J103-$G20,0)</f>
        <v>92.918853220294508</v>
      </c>
      <c r="L125" s="4">
        <f>MAX(L103-$F20,0)</f>
        <v>135.18920023330784</v>
      </c>
      <c r="M125" s="4">
        <f>MAX(M103-$G20,0)</f>
        <v>85.758864869938577</v>
      </c>
      <c r="O125" s="4">
        <f>MAX(O103-$F20,0)</f>
        <v>128.1383379484038</v>
      </c>
      <c r="P125" s="4">
        <f>MAX(P103-$G20,0)</f>
        <v>78.352503924384351</v>
      </c>
      <c r="R125" s="4">
        <f>MAX(R103-$F20,0)</f>
        <v>121.42479557940312</v>
      </c>
      <c r="S125" s="4">
        <f>MAX(S103-$G20,0)</f>
        <v>70.54005698199623</v>
      </c>
      <c r="U125" s="4">
        <f>MAX(U103-$F20,0)</f>
        <v>113.29384086615021</v>
      </c>
      <c r="V125" s="4">
        <f>MAX(V103-$G20,0)</f>
        <v>59.634148553356539</v>
      </c>
      <c r="X125" s="4">
        <f>MAX(X103-$F20,0)</f>
        <v>85.437142263941524</v>
      </c>
      <c r="Y125" s="4">
        <f>MAX(Y103-$G20,0)</f>
        <v>12.63407158537443</v>
      </c>
    </row>
    <row r="126" spans="1:28" ht="34" x14ac:dyDescent="0.2">
      <c r="A126" s="33" t="s">
        <v>202</v>
      </c>
      <c r="B126" s="40" t="s">
        <v>180</v>
      </c>
      <c r="E126" s="10" t="s">
        <v>138</v>
      </c>
      <c r="F126" s="4">
        <f>F125/$F$21</f>
        <v>1</v>
      </c>
      <c r="G126" s="4">
        <f>G125/$G$21</f>
        <v>1</v>
      </c>
      <c r="I126" s="4">
        <f>I125/$F$21</f>
        <v>0.95205696835757203</v>
      </c>
      <c r="J126" s="4">
        <f>J125/$G$21</f>
        <v>0.93011865085379886</v>
      </c>
      <c r="L126" s="4">
        <f>L125/$F$21</f>
        <v>0.90216349838710608</v>
      </c>
      <c r="M126" s="4">
        <f>M125/$G$21</f>
        <v>0.85844709579518086</v>
      </c>
      <c r="O126" s="4">
        <f>O125/$F$21</f>
        <v>0.85511069701971176</v>
      </c>
      <c r="P126" s="4">
        <f>P125/$G$21</f>
        <v>0.78430934859243595</v>
      </c>
      <c r="R126" s="4">
        <f>R125/$F$21</f>
        <v>0.81030894614216298</v>
      </c>
      <c r="S126" s="4">
        <f>S125/$G$21</f>
        <v>0.70610667649645875</v>
      </c>
      <c r="U126" s="4">
        <f>U125/$F$21</f>
        <v>0.7560483207617632</v>
      </c>
      <c r="V126" s="4">
        <f>V125/$G$21</f>
        <v>0.59693842395752283</v>
      </c>
      <c r="X126" s="4">
        <f>X125/$F$21</f>
        <v>0.57015109952580267</v>
      </c>
      <c r="Y126" s="4">
        <f>Y125/$G$21</f>
        <v>0.12646718303678109</v>
      </c>
      <c r="Z126">
        <v>0.5</v>
      </c>
      <c r="AA126">
        <f>SUM(Z$6:Z126)</f>
        <v>1.6</v>
      </c>
      <c r="AB126">
        <v>20</v>
      </c>
    </row>
    <row r="127" spans="1:28" ht="17" x14ac:dyDescent="0.2">
      <c r="A127" s="33" t="s">
        <v>203</v>
      </c>
      <c r="B127" s="40" t="s">
        <v>180</v>
      </c>
      <c r="E127" s="10" t="s">
        <v>204</v>
      </c>
      <c r="F127" s="4">
        <f>MAX(MIN(F126/$F$16, 1), 0)</f>
        <v>1</v>
      </c>
      <c r="G127" s="4">
        <f>MAX(MIN((G126-$F$15)/$F$16, 1), 0)</f>
        <v>1</v>
      </c>
      <c r="I127" s="4">
        <f>MAX(MIN(I126/$F$16, 1), 0)</f>
        <v>1</v>
      </c>
      <c r="J127" s="4">
        <f>MAX(MIN((J126-$F$15)/$F$16, 1), 0)</f>
        <v>1</v>
      </c>
      <c r="L127" s="4">
        <f>MAX(MIN(L126/$F$16, 1), 0)</f>
        <v>1</v>
      </c>
      <c r="M127" s="4">
        <f>MAX(MIN((M126-$F$15)/$F$16, 1), 0)</f>
        <v>1</v>
      </c>
      <c r="O127" s="4">
        <f>MAX(MIN(O126/$F$16, 1), 0)</f>
        <v>1</v>
      </c>
      <c r="P127" s="4">
        <f>MAX(MIN((P126-$F$15)/$F$16, 1), 0)</f>
        <v>1</v>
      </c>
      <c r="R127" s="4">
        <f>MAX(MIN(R126/$F$16, 1), 0)</f>
        <v>1</v>
      </c>
      <c r="S127" s="4">
        <f>MAX(MIN((S126-$F$15)/$F$16, 1), 0)</f>
        <v>1</v>
      </c>
      <c r="U127" s="4">
        <f>MAX(MIN(U126/$F$16, 1), 0)</f>
        <v>1</v>
      </c>
      <c r="V127" s="4">
        <f>MAX(MIN((V126-$F$15)/$F$16, 1), 0)</f>
        <v>1</v>
      </c>
      <c r="X127" s="4">
        <f>MAX(MIN(X126/$F$16, 1), 0)</f>
        <v>1</v>
      </c>
      <c r="Y127" s="4">
        <f>MAX(MIN((Y126-$F$15)/$F$16, 1), 0)</f>
        <v>0.62733591518390541</v>
      </c>
      <c r="Z127">
        <v>0.3</v>
      </c>
      <c r="AA127">
        <f>SUM(Z$6:Z127)</f>
        <v>1.9000000000000001</v>
      </c>
      <c r="AB127">
        <v>20</v>
      </c>
    </row>
    <row r="128" spans="1:28" x14ac:dyDescent="0.2">
      <c r="Z128">
        <v>0.2</v>
      </c>
      <c r="AA128">
        <f>SUM(Z$6:Z128)</f>
        <v>2.1</v>
      </c>
      <c r="AB128">
        <v>20</v>
      </c>
    </row>
    <row r="129" spans="1:28" ht="17" x14ac:dyDescent="0.2">
      <c r="A129" s="33" t="s">
        <v>205</v>
      </c>
      <c r="B129" s="40" t="s">
        <v>180</v>
      </c>
      <c r="E129" s="10" t="s">
        <v>76</v>
      </c>
      <c r="F129" s="4">
        <f>F115*F127</f>
        <v>741757.5</v>
      </c>
      <c r="G129" s="4">
        <f>G115*G127</f>
        <v>19970010</v>
      </c>
      <c r="I129" s="4">
        <f>I115*I127</f>
        <v>697350.12103057199</v>
      </c>
      <c r="J129" s="4">
        <f>J115*J127</f>
        <v>18564257.684882641</v>
      </c>
      <c r="L129" s="4">
        <f>L115*L127</f>
        <v>585369.23701022298</v>
      </c>
      <c r="M129" s="4">
        <f>M115*M127</f>
        <v>17125702.279067256</v>
      </c>
      <c r="O129" s="4">
        <f>O115*O127</f>
        <v>481800.15068599832</v>
      </c>
      <c r="P129" s="4">
        <f>P115*P127</f>
        <v>15631637.942930376</v>
      </c>
      <c r="R129" s="4">
        <f>R115*R127</f>
        <v>383702.35403091385</v>
      </c>
      <c r="S129" s="4">
        <f>S115*S127</f>
        <v>14140812.522895874</v>
      </c>
      <c r="U129" s="4">
        <f>U115*U127</f>
        <v>267600.05212584679</v>
      </c>
      <c r="V129" s="4">
        <f>V115*V127</f>
        <v>11918480.929873837</v>
      </c>
      <c r="X129" s="4">
        <f>X115*X127</f>
        <v>193429.6900855636</v>
      </c>
      <c r="Y129" s="4">
        <f>Y115*Y127</f>
        <v>1583219.5494211437</v>
      </c>
      <c r="Z129">
        <v>0.125</v>
      </c>
      <c r="AA129">
        <f>SUM(Z$6:Z147)</f>
        <v>2.2250000000000001</v>
      </c>
      <c r="AB129">
        <v>20</v>
      </c>
    </row>
    <row r="130" spans="1:28" ht="17" x14ac:dyDescent="0.2">
      <c r="A130" s="33" t="s">
        <v>206</v>
      </c>
      <c r="B130" s="40" t="s">
        <v>180</v>
      </c>
      <c r="E130" s="10" t="s">
        <v>122</v>
      </c>
      <c r="F130" s="4">
        <f>F129+G129</f>
        <v>20711767.5</v>
      </c>
      <c r="G130" s="4">
        <f>F130</f>
        <v>20711767.5</v>
      </c>
      <c r="I130" s="4">
        <f>I129+J129</f>
        <v>19261607.805913214</v>
      </c>
      <c r="J130" s="4">
        <f>I130</f>
        <v>19261607.805913214</v>
      </c>
      <c r="L130" s="4">
        <f>L129+M129</f>
        <v>17711071.516077477</v>
      </c>
      <c r="M130" s="4">
        <f>L130</f>
        <v>17711071.516077477</v>
      </c>
      <c r="O130" s="4">
        <f>O129+P129</f>
        <v>16113438.093616374</v>
      </c>
      <c r="P130" s="4">
        <f>O130</f>
        <v>16113438.093616374</v>
      </c>
      <c r="R130" s="4">
        <f>R129+S129</f>
        <v>14524514.876926789</v>
      </c>
      <c r="S130" s="4">
        <f>R130</f>
        <v>14524514.876926789</v>
      </c>
      <c r="U130" s="4">
        <f>U129+V129</f>
        <v>12186080.981999684</v>
      </c>
      <c r="V130" s="4">
        <f>U130</f>
        <v>12186080.981999684</v>
      </c>
      <c r="X130" s="4">
        <f>X129+Y129</f>
        <v>1776649.2395067073</v>
      </c>
      <c r="Y130" s="4">
        <f>X130</f>
        <v>1776649.2395067073</v>
      </c>
    </row>
    <row r="131" spans="1:28" ht="17" x14ac:dyDescent="0.2">
      <c r="A131" s="33" t="s">
        <v>207</v>
      </c>
      <c r="B131" s="40" t="s">
        <v>180</v>
      </c>
      <c r="E131" s="10" t="s">
        <v>119</v>
      </c>
      <c r="F131" s="4">
        <f>F129/F130</f>
        <v>3.5813336548896658E-2</v>
      </c>
      <c r="G131" s="4">
        <f>G129/G130</f>
        <v>0.96418666345110338</v>
      </c>
      <c r="I131" s="4">
        <f>I129/I130</f>
        <v>3.6204149106207485E-2</v>
      </c>
      <c r="J131" s="4">
        <f>J129/J130</f>
        <v>0.96379585089379249</v>
      </c>
      <c r="L131" s="4">
        <f>L129/L130</f>
        <v>3.305103457342181E-2</v>
      </c>
      <c r="M131" s="4">
        <f>M129/M130</f>
        <v>0.96694896542657827</v>
      </c>
      <c r="O131" s="4">
        <f>O129/O130</f>
        <v>2.9900518305703613E-2</v>
      </c>
      <c r="P131" s="4">
        <f>P129/P130</f>
        <v>0.97009948169429638</v>
      </c>
      <c r="R131" s="4">
        <f>R129/R130</f>
        <v>2.6417567628399898E-2</v>
      </c>
      <c r="S131" s="4">
        <f>S129/S130</f>
        <v>0.97358243237160003</v>
      </c>
      <c r="U131" s="4">
        <f>U129/U130</f>
        <v>2.1959484145979698E-2</v>
      </c>
      <c r="V131" s="4">
        <f>V129/V130</f>
        <v>0.9780405158540203</v>
      </c>
      <c r="X131" s="4">
        <f>X129/X130</f>
        <v>0.1088733137550944</v>
      </c>
      <c r="Y131" s="4">
        <f>Y129/Y130</f>
        <v>0.89112668624490565</v>
      </c>
    </row>
    <row r="133" spans="1:28" ht="17" x14ac:dyDescent="0.2">
      <c r="E133" s="15" t="s">
        <v>177</v>
      </c>
      <c r="F133" s="8"/>
      <c r="G133" s="8"/>
    </row>
    <row r="134" spans="1:28" ht="17" x14ac:dyDescent="0.2">
      <c r="A134" s="33" t="s">
        <v>233</v>
      </c>
      <c r="B134" s="43" t="s">
        <v>166</v>
      </c>
      <c r="E134" s="10" t="s">
        <v>220</v>
      </c>
      <c r="F134" s="4">
        <f>(F102 - F122 - F110)*$F$28</f>
        <v>2841.7466538044137</v>
      </c>
      <c r="G134" s="4">
        <f>(G102 - G122 - G110)*$G$28</f>
        <v>46123.25334619559</v>
      </c>
      <c r="I134" s="4">
        <f>(I102 - I122 - I110)*$F$28</f>
        <v>2675.8869978095149</v>
      </c>
      <c r="J134" s="4">
        <f>(J102 - J122 - J110)*$G$28</f>
        <v>42518.79570313017</v>
      </c>
      <c r="L134" s="4">
        <f>(L102 - L122 - L110)*$F$28</f>
        <v>2521.2933106869928</v>
      </c>
      <c r="M134" s="4">
        <f>(M102 - M122 - M110)*$G$28</f>
        <v>38796.705611028199</v>
      </c>
      <c r="O134" s="4">
        <f>(O102 - O122 - O110)*$F$28</f>
        <v>2372.0280658416323</v>
      </c>
      <c r="P134" s="4">
        <f>(P102 - P122 - P110)*$G$28</f>
        <v>34860.587369210392</v>
      </c>
      <c r="R134" s="4">
        <f>(R102 - R122 - R110)*$F$28</f>
        <v>2190.3196448236695</v>
      </c>
      <c r="S134" s="4">
        <f>(S102 - S122 - S110)*$G$28</f>
        <v>29402.94903579777</v>
      </c>
      <c r="U134" s="4">
        <f>(U102 - U122 - U110)*$F$28</f>
        <v>1634.2999084725632</v>
      </c>
      <c r="V134" s="4">
        <f>(V102 - V122 - V110)*$G$28</f>
        <v>5953.652706782299</v>
      </c>
      <c r="X134" s="4">
        <f>(X102 - X122 - X110)*$F$28</f>
        <v>1233.1340486007582</v>
      </c>
      <c r="Y134" s="4">
        <f>(Y102 - Y122 - Y110)*$G$28</f>
        <v>3181.6229271827196</v>
      </c>
    </row>
    <row r="135" spans="1:28" ht="17" x14ac:dyDescent="0.2">
      <c r="A135" s="33" t="s">
        <v>234</v>
      </c>
      <c r="B135" s="43" t="s">
        <v>166</v>
      </c>
      <c r="E135" s="14" t="s">
        <v>232</v>
      </c>
      <c r="F135" s="4">
        <f>F122*$F19</f>
        <v>21488.001929337996</v>
      </c>
      <c r="G135" s="4">
        <f>(G122+F121)*$G19</f>
        <v>482093.33172555169</v>
      </c>
      <c r="I135" s="4">
        <f>I122*$F19</f>
        <v>22265.551700317603</v>
      </c>
      <c r="J135" s="4">
        <f>(J122+I121)*$G19</f>
        <v>493945.37358306866</v>
      </c>
      <c r="L135" s="4">
        <f>L122*$F19</f>
        <v>20921.304884976005</v>
      </c>
      <c r="M135" s="4">
        <f>(M122+L121)*$G19</f>
        <v>510065.57926252001</v>
      </c>
      <c r="O135" s="4">
        <f>O122*$F19</f>
        <v>19824.043636681494</v>
      </c>
      <c r="P135" s="4">
        <f>(P122+O121)*$G19</f>
        <v>535979.96363609878</v>
      </c>
      <c r="R135" s="4">
        <f>R122*$F19</f>
        <v>23775.810865559906</v>
      </c>
      <c r="S135" s="4">
        <f>(S122+R121)*$G19</f>
        <v>730186.82427870005</v>
      </c>
      <c r="U135" s="4">
        <f>U122*$F19</f>
        <v>80280.015637754041</v>
      </c>
      <c r="V135" s="4">
        <f>(V122+U121)*$G19</f>
        <v>2979627.7690510578</v>
      </c>
      <c r="X135" s="4">
        <f>X122*$F19</f>
        <v>58028.907025669083</v>
      </c>
      <c r="Y135" s="4">
        <f>(Y122+X121)*$G19</f>
        <v>395818.36588620592</v>
      </c>
    </row>
    <row r="148" spans="26:28" x14ac:dyDescent="0.2">
      <c r="Z148">
        <v>0.1225</v>
      </c>
      <c r="AA148">
        <f>SUM(Z$6:Z148)</f>
        <v>2.3475000000000001</v>
      </c>
      <c r="AB148">
        <v>20</v>
      </c>
    </row>
    <row r="149" spans="26:28" x14ac:dyDescent="0.2">
      <c r="Z149">
        <v>0.12239999999999999</v>
      </c>
      <c r="AA149">
        <f>SUM(Z$6:Z149)</f>
        <v>2.4699</v>
      </c>
      <c r="AB149">
        <v>20</v>
      </c>
    </row>
    <row r="150" spans="26:28" x14ac:dyDescent="0.2">
      <c r="Z150">
        <v>0.12230000000000001</v>
      </c>
      <c r="AA150">
        <f>SUM(Z$6:Z150)</f>
        <v>2.5922000000000001</v>
      </c>
      <c r="AB150">
        <v>20</v>
      </c>
    </row>
  </sheetData>
  <mergeCells count="36">
    <mergeCell ref="A92:A95"/>
    <mergeCell ref="B92:B95"/>
    <mergeCell ref="B41:B44"/>
    <mergeCell ref="A41:A44"/>
    <mergeCell ref="A53:A56"/>
    <mergeCell ref="A47:A50"/>
    <mergeCell ref="B47:B50"/>
    <mergeCell ref="B77:B80"/>
    <mergeCell ref="A87:A90"/>
    <mergeCell ref="B87:B90"/>
    <mergeCell ref="A82:A85"/>
    <mergeCell ref="B82:B85"/>
    <mergeCell ref="D27:D28"/>
    <mergeCell ref="B36:B39"/>
    <mergeCell ref="A36:A39"/>
    <mergeCell ref="B53:B56"/>
    <mergeCell ref="A59:A62"/>
    <mergeCell ref="B59:B62"/>
    <mergeCell ref="A64:A67"/>
    <mergeCell ref="B64:B67"/>
    <mergeCell ref="A70:A73"/>
    <mergeCell ref="B70:B73"/>
    <mergeCell ref="A77:A80"/>
    <mergeCell ref="AC4:AE4"/>
    <mergeCell ref="H2:I2"/>
    <mergeCell ref="H3:I3"/>
    <mergeCell ref="I5:J5"/>
    <mergeCell ref="L5:M5"/>
    <mergeCell ref="D16:D17"/>
    <mergeCell ref="D61:D63"/>
    <mergeCell ref="D66:D69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2026-01-11T17:59:13Z</dcterms:modified>
</cp:coreProperties>
</file>