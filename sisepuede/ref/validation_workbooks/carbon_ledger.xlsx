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8D2868BA-3FEB-C140-9630-268A0A3EB0D8}" xr6:coauthVersionLast="47" xr6:coauthVersionMax="47" xr10:uidLastSave="{00000000-0000-0000-0000-000000000000}"/>
  <bookViews>
    <workbookView xWindow="9040" yWindow="760" windowWidth="33780" windowHeight="1940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9" i="3" l="1"/>
  <c r="X120" i="3"/>
  <c r="Y120" i="3"/>
  <c r="V120" i="3"/>
  <c r="U120" i="3"/>
  <c r="S120" i="3"/>
  <c r="R120" i="3"/>
  <c r="P120" i="3"/>
  <c r="O120" i="3"/>
  <c r="M120" i="3"/>
  <c r="L120" i="3"/>
  <c r="J120" i="3"/>
  <c r="I120" i="3"/>
  <c r="G120" i="3"/>
  <c r="F120" i="3"/>
  <c r="G123" i="3"/>
  <c r="M119" i="3"/>
  <c r="J119" i="3"/>
  <c r="J121" i="3"/>
  <c r="G149" i="3"/>
  <c r="Y145" i="3"/>
  <c r="X145" i="3"/>
  <c r="V145" i="3"/>
  <c r="U145" i="3"/>
  <c r="S145" i="3"/>
  <c r="R145" i="3"/>
  <c r="P145" i="3"/>
  <c r="O145" i="3"/>
  <c r="M145" i="3"/>
  <c r="L145" i="3"/>
  <c r="J145" i="3"/>
  <c r="I145" i="3"/>
  <c r="F145" i="3"/>
  <c r="G145" i="3"/>
  <c r="F30" i="3"/>
  <c r="X149" i="3"/>
  <c r="I30" i="3"/>
  <c r="Y16" i="3"/>
  <c r="X16" i="3"/>
  <c r="V16" i="3"/>
  <c r="U16" i="3"/>
  <c r="S16" i="3"/>
  <c r="R16" i="3"/>
  <c r="P16" i="3"/>
  <c r="O16" i="3"/>
  <c r="M16" i="3"/>
  <c r="L16" i="3"/>
  <c r="J16" i="3"/>
  <c r="I16" i="3"/>
  <c r="G16" i="3"/>
  <c r="F16" i="3"/>
  <c r="F112" i="3"/>
  <c r="F113" i="3" s="1"/>
  <c r="F117" i="3" s="1"/>
  <c r="F119" i="3" s="1"/>
  <c r="G22" i="3"/>
  <c r="F22" i="3"/>
  <c r="F121" i="3" l="1"/>
  <c r="G47" i="3"/>
  <c r="G51" i="3"/>
  <c r="G57" i="3"/>
  <c r="G91" i="3" s="1"/>
  <c r="J44" i="3"/>
  <c r="G56" i="3"/>
  <c r="G112" i="3"/>
  <c r="I108" i="3"/>
  <c r="F109" i="3"/>
  <c r="I110" i="3" s="1"/>
  <c r="G109" i="3"/>
  <c r="J88" i="3"/>
  <c r="J87" i="3"/>
  <c r="F81" i="3"/>
  <c r="F80" i="3"/>
  <c r="F82" i="3"/>
  <c r="G49" i="3"/>
  <c r="G50" i="3"/>
  <c r="J45" i="3"/>
  <c r="M40" i="3"/>
  <c r="J39" i="3"/>
  <c r="J69" i="3" s="1"/>
  <c r="G38" i="3"/>
  <c r="H39" i="3"/>
  <c r="G10" i="3"/>
  <c r="F23" i="3"/>
  <c r="M46" i="3"/>
  <c r="M59" i="3" s="1"/>
  <c r="M88" i="3"/>
  <c r="G13" i="3"/>
  <c r="G27" i="3" s="1"/>
  <c r="G52" i="3"/>
  <c r="J62" i="3"/>
  <c r="J46" i="3"/>
  <c r="J59" i="3" s="1"/>
  <c r="M45" i="3"/>
  <c r="M58" i="3" s="1"/>
  <c r="G58" i="3"/>
  <c r="G92" i="3" s="1"/>
  <c r="G59" i="3"/>
  <c r="G93" i="3" s="1"/>
  <c r="P46" i="3"/>
  <c r="P59" i="3" s="1"/>
  <c r="H37" i="3"/>
  <c r="K37" i="3"/>
  <c r="G30" i="3"/>
  <c r="F108" i="3"/>
  <c r="F111" i="3" s="1"/>
  <c r="F83" i="3"/>
  <c r="AE10" i="3"/>
  <c r="F13" i="3"/>
  <c r="Y108" i="3"/>
  <c r="X108" i="3"/>
  <c r="V108" i="3"/>
  <c r="U108" i="3"/>
  <c r="S108" i="3"/>
  <c r="R108" i="3"/>
  <c r="P108" i="3"/>
  <c r="O108" i="3"/>
  <c r="M108" i="3"/>
  <c r="L108" i="3"/>
  <c r="J108" i="3"/>
  <c r="G108" i="3"/>
  <c r="G111" i="3" s="1"/>
  <c r="G62" i="3"/>
  <c r="G86" i="3" s="1"/>
  <c r="P89" i="3"/>
  <c r="M89" i="3"/>
  <c r="Y65" i="3"/>
  <c r="Y89" i="3" s="1"/>
  <c r="Y64" i="3"/>
  <c r="Y88" i="3" s="1"/>
  <c r="Y63" i="3"/>
  <c r="Y87" i="3" s="1"/>
  <c r="Y62" i="3"/>
  <c r="V62" i="3"/>
  <c r="W37" i="3"/>
  <c r="J89" i="3"/>
  <c r="G88" i="3"/>
  <c r="G87" i="3"/>
  <c r="G89" i="3"/>
  <c r="G97" i="3"/>
  <c r="I87" i="3" s="1"/>
  <c r="G98" i="3"/>
  <c r="G99" i="3"/>
  <c r="I89" i="3" s="1"/>
  <c r="P41" i="3"/>
  <c r="T37" i="3"/>
  <c r="Q37" i="3"/>
  <c r="N37" i="3"/>
  <c r="P64" i="3"/>
  <c r="P88" i="3" s="1"/>
  <c r="M63" i="3"/>
  <c r="M87" i="3" s="1"/>
  <c r="S62" i="3"/>
  <c r="P62" i="3"/>
  <c r="G8" i="3"/>
  <c r="J8" i="3" s="1"/>
  <c r="F8" i="3"/>
  <c r="H38" i="3" l="1"/>
  <c r="F27" i="3"/>
  <c r="I7" i="3"/>
  <c r="J110" i="3"/>
  <c r="J111" i="3" s="1"/>
  <c r="G53" i="3"/>
  <c r="G54" i="3" s="1"/>
  <c r="H40" i="3"/>
  <c r="G60" i="3"/>
  <c r="G94" i="3" s="1"/>
  <c r="M71" i="3"/>
  <c r="P71" i="3" s="1"/>
  <c r="J75" i="3"/>
  <c r="F114" i="3"/>
  <c r="F136" i="3" s="1"/>
  <c r="F137" i="3" s="1"/>
  <c r="F126" i="3"/>
  <c r="I111" i="3"/>
  <c r="G96" i="3"/>
  <c r="J74" i="3"/>
  <c r="M70" i="3"/>
  <c r="J57" i="3"/>
  <c r="G68" i="3"/>
  <c r="G103" i="3"/>
  <c r="J76" i="3"/>
  <c r="G26" i="3"/>
  <c r="G11" i="3" s="1"/>
  <c r="I88" i="3"/>
  <c r="I13" i="3"/>
  <c r="J58" i="3"/>
  <c r="G104" i="3"/>
  <c r="G102" i="3"/>
  <c r="G113" i="3"/>
  <c r="G121" i="3" s="1"/>
  <c r="J7" i="3"/>
  <c r="H41" i="3"/>
  <c r="G23" i="3"/>
  <c r="F149" i="3" l="1"/>
  <c r="I109" i="3"/>
  <c r="F139" i="3"/>
  <c r="G122" i="3"/>
  <c r="G148" i="3" s="1"/>
  <c r="F122" i="3"/>
  <c r="F123" i="3" s="1"/>
  <c r="G118" i="3"/>
  <c r="J109" i="3"/>
  <c r="J13" i="3"/>
  <c r="G101" i="3"/>
  <c r="L7" i="3"/>
  <c r="L13" i="3" s="1"/>
  <c r="O7" i="3" s="1"/>
  <c r="O13" i="3" s="1"/>
  <c r="R7" i="3" s="1"/>
  <c r="R13" i="3" s="1"/>
  <c r="U7" i="3" s="1"/>
  <c r="U13" i="3" s="1"/>
  <c r="U27" i="3" s="1"/>
  <c r="I27" i="3"/>
  <c r="G114" i="3"/>
  <c r="I86" i="3"/>
  <c r="J86" i="3" s="1"/>
  <c r="I8" i="3"/>
  <c r="G117" i="3"/>
  <c r="J10" i="3"/>
  <c r="M8" i="3"/>
  <c r="F148" i="3" l="1"/>
  <c r="F124" i="3"/>
  <c r="U109" i="3"/>
  <c r="R109" i="3"/>
  <c r="L27" i="3"/>
  <c r="O27" i="3"/>
  <c r="R27" i="3"/>
  <c r="L109" i="3"/>
  <c r="O109" i="3"/>
  <c r="G126" i="3"/>
  <c r="G136" i="3"/>
  <c r="G137" i="3" s="1"/>
  <c r="J27" i="3"/>
  <c r="J26" i="3"/>
  <c r="J11" i="3" s="1"/>
  <c r="M7" i="3"/>
  <c r="P8" i="3"/>
  <c r="M109" i="3" l="1"/>
  <c r="M13" i="3"/>
  <c r="M27" i="3" s="1"/>
  <c r="G139" i="3"/>
  <c r="F140" i="3" s="1"/>
  <c r="G125" i="3"/>
  <c r="G147" i="3" s="1"/>
  <c r="F125" i="3"/>
  <c r="F147" i="3" s="1"/>
  <c r="I40" i="3"/>
  <c r="J51" i="3" s="1"/>
  <c r="I38" i="3"/>
  <c r="J38" i="3" s="1"/>
  <c r="I39" i="3"/>
  <c r="J50" i="3" s="1"/>
  <c r="I41" i="3"/>
  <c r="J52" i="3" s="1"/>
  <c r="M10" i="3"/>
  <c r="S8" i="3"/>
  <c r="V63" i="3"/>
  <c r="V87" i="3" s="1"/>
  <c r="V64" i="3"/>
  <c r="V88" i="3" s="1"/>
  <c r="S63" i="3"/>
  <c r="S87" i="3" s="1"/>
  <c r="M62" i="3"/>
  <c r="S65" i="3"/>
  <c r="S89" i="3" s="1"/>
  <c r="V65" i="3"/>
  <c r="V89" i="3" s="1"/>
  <c r="S64" i="3"/>
  <c r="S88" i="3" s="1"/>
  <c r="P63" i="3"/>
  <c r="P87" i="3" s="1"/>
  <c r="AE14" i="3"/>
  <c r="AE17" i="3"/>
  <c r="AE18" i="3"/>
  <c r="AE19" i="3"/>
  <c r="AE20" i="3"/>
  <c r="AE22" i="3"/>
  <c r="AE23" i="3"/>
  <c r="AE24" i="3"/>
  <c r="AE25" i="3"/>
  <c r="AE26" i="3"/>
  <c r="AE27" i="3"/>
  <c r="AE28" i="3"/>
  <c r="AE12" i="3"/>
  <c r="AE9" i="3"/>
  <c r="AE11" i="3"/>
  <c r="AE8" i="3"/>
  <c r="AB162" i="3"/>
  <c r="AB161" i="3"/>
  <c r="AB160" i="3"/>
  <c r="AB139" i="3"/>
  <c r="AB138" i="3"/>
  <c r="AB137" i="3"/>
  <c r="AB136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9" i="3" l="1"/>
  <c r="F141" i="3"/>
  <c r="J43" i="3"/>
  <c r="M26" i="3"/>
  <c r="F152" i="3"/>
  <c r="J47" i="3"/>
  <c r="P7" i="3"/>
  <c r="P109" i="3" s="1"/>
  <c r="P13" i="3"/>
  <c r="P27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6" i="3" l="1"/>
  <c r="J73" i="3"/>
  <c r="F130" i="3"/>
  <c r="F131" i="3" s="1"/>
  <c r="F132" i="3" s="1"/>
  <c r="G140" i="3"/>
  <c r="G141" i="3" s="1"/>
  <c r="J68" i="3"/>
  <c r="K39" i="3"/>
  <c r="K40" i="3"/>
  <c r="J49" i="3"/>
  <c r="J53" i="3" s="1"/>
  <c r="J54" i="3" s="1"/>
  <c r="J60" i="3"/>
  <c r="M11" i="3"/>
  <c r="P26" i="3"/>
  <c r="S7" i="3"/>
  <c r="S13" i="3" s="1"/>
  <c r="S27" i="3" s="1"/>
  <c r="Y8" i="3"/>
  <c r="K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4" i="3" s="1"/>
  <c r="G146" i="3"/>
  <c r="S109" i="3"/>
  <c r="G82" i="3"/>
  <c r="G152" i="3"/>
  <c r="F133" i="3"/>
  <c r="I80" i="3"/>
  <c r="I83" i="3"/>
  <c r="J77" i="3"/>
  <c r="I81" i="3"/>
  <c r="I82" i="3"/>
  <c r="S10" i="3"/>
  <c r="L38" i="3"/>
  <c r="L39" i="3"/>
  <c r="M39" i="3" s="1"/>
  <c r="M69" i="3" s="1"/>
  <c r="S26" i="3"/>
  <c r="V7" i="3"/>
  <c r="Y7" i="3" s="1"/>
  <c r="Y13" i="3" s="1"/>
  <c r="Y27" i="3" s="1"/>
  <c r="P11" i="3"/>
  <c r="K41" i="3"/>
  <c r="O8" i="3"/>
  <c r="Q3" i="2"/>
  <c r="AA4" i="2" s="1"/>
  <c r="M38" i="3" l="1"/>
  <c r="M68" i="3" s="1"/>
  <c r="F144" i="3"/>
  <c r="I112" i="3" s="1"/>
  <c r="F146" i="3"/>
  <c r="F134" i="3"/>
  <c r="F154" i="3"/>
  <c r="G134" i="3"/>
  <c r="V10" i="3"/>
  <c r="V109" i="3"/>
  <c r="V13" i="3"/>
  <c r="V27" i="3" s="1"/>
  <c r="Y26" i="3"/>
  <c r="S11" i="3"/>
  <c r="Y10" i="3"/>
  <c r="Y11" i="3" s="1"/>
  <c r="Y109" i="3"/>
  <c r="G80" i="3"/>
  <c r="N38" i="3"/>
  <c r="O38" i="3" s="1"/>
  <c r="P38" i="3" s="1"/>
  <c r="L40" i="3"/>
  <c r="M51" i="3" s="1"/>
  <c r="L41" i="3"/>
  <c r="M52" i="3" s="1"/>
  <c r="R8" i="3"/>
  <c r="F4" i="2"/>
  <c r="R7" i="2"/>
  <c r="G4" i="2"/>
  <c r="K4" i="2"/>
  <c r="J4" i="2"/>
  <c r="P68" i="3" l="1"/>
  <c r="V26" i="3"/>
  <c r="V11" i="3" s="1"/>
  <c r="N39" i="3"/>
  <c r="O39" i="3" s="1"/>
  <c r="P39" i="3" s="1"/>
  <c r="P69" i="3" s="1"/>
  <c r="F155" i="3"/>
  <c r="G81" i="3"/>
  <c r="G83" i="3"/>
  <c r="U8" i="3"/>
  <c r="X7" i="3"/>
  <c r="X109" i="3" s="1"/>
  <c r="Q38" i="3"/>
  <c r="R38" i="3" s="1"/>
  <c r="S38" i="3" s="1"/>
  <c r="S68" i="3" s="1"/>
  <c r="U4" i="2"/>
  <c r="R8" i="2"/>
  <c r="L110" i="3" l="1"/>
  <c r="N40" i="3"/>
  <c r="N41" i="3"/>
  <c r="O40" i="3"/>
  <c r="P40" i="3" s="1"/>
  <c r="J112" i="3"/>
  <c r="M110" i="3" s="1"/>
  <c r="Q39" i="3"/>
  <c r="R39" i="3" s="1"/>
  <c r="S39" i="3" s="1"/>
  <c r="S69" i="3" s="1"/>
  <c r="O41" i="3"/>
  <c r="P52" i="3" s="1"/>
  <c r="X8" i="3"/>
  <c r="X13" i="3"/>
  <c r="T38" i="3"/>
  <c r="U38" i="3" s="1"/>
  <c r="V38" i="3" s="1"/>
  <c r="V68" i="3" s="1"/>
  <c r="O4" i="2"/>
  <c r="P4" i="2" s="1"/>
  <c r="X5" i="2" s="1"/>
  <c r="Z5" i="2" s="1"/>
  <c r="J5" i="2" s="1"/>
  <c r="R9" i="2"/>
  <c r="Q41" i="3" l="1"/>
  <c r="P70" i="3"/>
  <c r="Q40" i="3"/>
  <c r="X27" i="3"/>
  <c r="M111" i="3"/>
  <c r="J149" i="3" s="1"/>
  <c r="J113" i="3"/>
  <c r="I113" i="3"/>
  <c r="I117" i="3" s="1"/>
  <c r="L111" i="3"/>
  <c r="I149" i="3" s="1"/>
  <c r="R41" i="3"/>
  <c r="S41" i="3" s="1"/>
  <c r="S71" i="3" s="1"/>
  <c r="R40" i="3"/>
  <c r="S40" i="3" s="1"/>
  <c r="T39" i="3"/>
  <c r="U39" i="3" s="1"/>
  <c r="V39" i="3" s="1"/>
  <c r="V69" i="3" s="1"/>
  <c r="W38" i="3"/>
  <c r="X38" i="3" s="1"/>
  <c r="Y38" i="3" s="1"/>
  <c r="Y68" i="3" s="1"/>
  <c r="Q4" i="2"/>
  <c r="Y5" i="2" s="1"/>
  <c r="AA5" i="2" s="1"/>
  <c r="F5" i="2"/>
  <c r="R10" i="2"/>
  <c r="I114" i="3" l="1"/>
  <c r="I126" i="3" s="1"/>
  <c r="J114" i="3"/>
  <c r="J126" i="3" s="1"/>
  <c r="I121" i="3"/>
  <c r="I119" i="3"/>
  <c r="S70" i="3"/>
  <c r="J117" i="3"/>
  <c r="T41" i="3"/>
  <c r="T40" i="3"/>
  <c r="U40" i="3" s="1"/>
  <c r="V40" i="3" s="1"/>
  <c r="W39" i="3"/>
  <c r="X39" i="3" s="1"/>
  <c r="Y39" i="3" s="1"/>
  <c r="Y69" i="3" s="1"/>
  <c r="R11" i="2"/>
  <c r="G5" i="2"/>
  <c r="U5" i="2" s="1"/>
  <c r="O5" i="2" s="1"/>
  <c r="Q5" i="2" s="1"/>
  <c r="K5" i="2"/>
  <c r="V70" i="3" l="1"/>
  <c r="J136" i="3"/>
  <c r="J137" i="3" s="1"/>
  <c r="I122" i="3"/>
  <c r="I123" i="3" s="1"/>
  <c r="J122" i="3"/>
  <c r="J123" i="3" s="1"/>
  <c r="I136" i="3"/>
  <c r="I137" i="3" s="1"/>
  <c r="U41" i="3"/>
  <c r="V41" i="3" s="1"/>
  <c r="W40" i="3"/>
  <c r="X40" i="3" s="1"/>
  <c r="Y40" i="3" s="1"/>
  <c r="Y6" i="2"/>
  <c r="AA6" i="2" s="1"/>
  <c r="K6" i="2" s="1"/>
  <c r="R12" i="2"/>
  <c r="P5" i="2"/>
  <c r="X6" i="2" s="1"/>
  <c r="Z6" i="2" s="1"/>
  <c r="J6" i="2" s="1"/>
  <c r="J148" i="3" l="1"/>
  <c r="I148" i="3"/>
  <c r="I139" i="3"/>
  <c r="W41" i="3"/>
  <c r="V71" i="3"/>
  <c r="Y70" i="3"/>
  <c r="J125" i="3"/>
  <c r="I125" i="3"/>
  <c r="I124" i="3"/>
  <c r="J139" i="3"/>
  <c r="X41" i="3"/>
  <c r="Y41" i="3" s="1"/>
  <c r="G6" i="2"/>
  <c r="R13" i="2"/>
  <c r="F6" i="2"/>
  <c r="U6" i="2" s="1"/>
  <c r="W6" i="2" s="1"/>
  <c r="O6" i="2" s="1"/>
  <c r="J147" i="3" l="1"/>
  <c r="I147" i="3"/>
  <c r="I152" i="3" s="1"/>
  <c r="I140" i="3"/>
  <c r="I141" i="3" s="1"/>
  <c r="Y71" i="3"/>
  <c r="I129" i="3"/>
  <c r="R14" i="2"/>
  <c r="Y7" i="2"/>
  <c r="AA7" i="2" s="1"/>
  <c r="J140" i="3" l="1"/>
  <c r="J141" i="3" s="1"/>
  <c r="I130" i="3"/>
  <c r="I133" i="3" s="1"/>
  <c r="X7" i="2"/>
  <c r="Z7" i="2" s="1"/>
  <c r="R15" i="2"/>
  <c r="G7" i="2"/>
  <c r="K7" i="2"/>
  <c r="I134" i="3" l="1"/>
  <c r="I131" i="3"/>
  <c r="I132" i="3" s="1"/>
  <c r="J152" i="3" s="1"/>
  <c r="I146" i="3"/>
  <c r="I144" i="3"/>
  <c r="L112" i="3" s="1"/>
  <c r="J133" i="3"/>
  <c r="J134" i="3" s="1"/>
  <c r="J7" i="2"/>
  <c r="F7" i="2"/>
  <c r="U7" i="2" s="1"/>
  <c r="O7" i="2" s="1"/>
  <c r="R16" i="2"/>
  <c r="I154" i="3" l="1"/>
  <c r="J81" i="3"/>
  <c r="J92" i="3" s="1"/>
  <c r="J80" i="3"/>
  <c r="J82" i="3"/>
  <c r="J93" i="3" s="1"/>
  <c r="J146" i="3"/>
  <c r="I155" i="3"/>
  <c r="J83" i="3"/>
  <c r="J94" i="3" s="1"/>
  <c r="P7" i="2"/>
  <c r="X8" i="2" s="1"/>
  <c r="Z8" i="2" s="1"/>
  <c r="Q7" i="2"/>
  <c r="Y8" i="2" s="1"/>
  <c r="AA8" i="2" s="1"/>
  <c r="G8" i="2" s="1"/>
  <c r="J8" i="2"/>
  <c r="R17" i="2"/>
  <c r="F8" i="2"/>
  <c r="J91" i="3" l="1"/>
  <c r="J97" i="3"/>
  <c r="J98" i="3"/>
  <c r="J103" i="3" s="1"/>
  <c r="J99" i="3"/>
  <c r="O110" i="3"/>
  <c r="K8" i="2"/>
  <c r="W8" i="2"/>
  <c r="R18" i="2"/>
  <c r="J96" i="3" l="1"/>
  <c r="J144" i="3"/>
  <c r="M112" i="3" s="1"/>
  <c r="P110" i="3" s="1"/>
  <c r="J118" i="3"/>
  <c r="M75" i="3"/>
  <c r="L86" i="3"/>
  <c r="M86" i="3" s="1"/>
  <c r="M43" i="3"/>
  <c r="M56" i="3" s="1"/>
  <c r="M76" i="3"/>
  <c r="J104" i="3"/>
  <c r="L89" i="3"/>
  <c r="M44" i="3"/>
  <c r="L88" i="3"/>
  <c r="L113" i="3"/>
  <c r="O111" i="3"/>
  <c r="L149" i="3" s="1"/>
  <c r="O8" i="2"/>
  <c r="Q8" i="2" s="1"/>
  <c r="Y9" i="2" s="1"/>
  <c r="AA9" i="2" s="1"/>
  <c r="R19" i="2"/>
  <c r="J101" i="3" l="1"/>
  <c r="M113" i="3"/>
  <c r="P111" i="3"/>
  <c r="M149" i="3" s="1"/>
  <c r="M50" i="3"/>
  <c r="M57" i="3"/>
  <c r="M49" i="3"/>
  <c r="M73" i="3"/>
  <c r="L80" i="3" s="1"/>
  <c r="L87" i="3"/>
  <c r="L121" i="3"/>
  <c r="L117" i="3"/>
  <c r="L119" i="3" s="1"/>
  <c r="J102" i="3"/>
  <c r="L114" i="3"/>
  <c r="L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4" i="3" l="1"/>
  <c r="M126" i="3" s="1"/>
  <c r="M117" i="3"/>
  <c r="M121" i="3"/>
  <c r="M53" i="3"/>
  <c r="M60" i="3"/>
  <c r="M74" i="3"/>
  <c r="L82" i="3" s="1"/>
  <c r="L122" i="3"/>
  <c r="L123" i="3" s="1"/>
  <c r="L136" i="3"/>
  <c r="L137" i="3" s="1"/>
  <c r="M47" i="3"/>
  <c r="M54" i="3" s="1"/>
  <c r="Q9" i="2"/>
  <c r="Y10" i="2" s="1"/>
  <c r="AA10" i="2" s="1"/>
  <c r="G10" i="2" s="1"/>
  <c r="R21" i="2"/>
  <c r="F10" i="2"/>
  <c r="L148" i="3" l="1"/>
  <c r="M122" i="3"/>
  <c r="M148" i="3" s="1"/>
  <c r="M136" i="3"/>
  <c r="M137" i="3" s="1"/>
  <c r="L139" i="3"/>
  <c r="L81" i="3"/>
  <c r="L83" i="3"/>
  <c r="M77" i="3"/>
  <c r="U10" i="2"/>
  <c r="W10" i="2" s="1"/>
  <c r="O10" i="2" s="1"/>
  <c r="Q10" i="2" s="1"/>
  <c r="K10" i="2"/>
  <c r="R22" i="2"/>
  <c r="M139" i="3" l="1"/>
  <c r="L140" i="3" s="1"/>
  <c r="M123" i="3"/>
  <c r="M125" i="3" s="1"/>
  <c r="Y11" i="2"/>
  <c r="P10" i="2"/>
  <c r="X11" i="2" s="1"/>
  <c r="Z11" i="2" s="1"/>
  <c r="J11" i="2" s="1"/>
  <c r="R23" i="2"/>
  <c r="L124" i="3" l="1"/>
  <c r="M147" i="3" s="1"/>
  <c r="L125" i="3"/>
  <c r="L141" i="3"/>
  <c r="M140" i="3"/>
  <c r="M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L133" i="3" s="1"/>
  <c r="L134" i="3" s="1"/>
  <c r="L147" i="3"/>
  <c r="L152" i="3" s="1"/>
  <c r="K11" i="2"/>
  <c r="Q11" i="2"/>
  <c r="R25" i="2"/>
  <c r="F12" i="2"/>
  <c r="M133" i="3" l="1"/>
  <c r="L144" i="3"/>
  <c r="O112" i="3" s="1"/>
  <c r="R110" i="3" s="1"/>
  <c r="R111" i="3" s="1"/>
  <c r="O149" i="3" s="1"/>
  <c r="L146" i="3"/>
  <c r="L131" i="3"/>
  <c r="L132" i="3" s="1"/>
  <c r="M152" i="3" s="1"/>
  <c r="L154" i="3"/>
  <c r="L155" i="3" s="1"/>
  <c r="Y12" i="2"/>
  <c r="AA12" i="2" s="1"/>
  <c r="R26" i="2"/>
  <c r="O113" i="3" l="1"/>
  <c r="M134" i="3"/>
  <c r="M146" i="3"/>
  <c r="M83" i="3"/>
  <c r="M94" i="3" s="1"/>
  <c r="M82" i="3"/>
  <c r="M93" i="3" s="1"/>
  <c r="M81" i="3"/>
  <c r="M92" i="3" s="1"/>
  <c r="M97" i="3" s="1"/>
  <c r="P44" i="3" s="1"/>
  <c r="P50" i="3" s="1"/>
  <c r="M80" i="3"/>
  <c r="M99" i="3"/>
  <c r="O89" i="3" s="1"/>
  <c r="M98" i="3"/>
  <c r="O88" i="3" s="1"/>
  <c r="O121" i="3"/>
  <c r="O117" i="3"/>
  <c r="O119" i="3" s="1"/>
  <c r="O114" i="3"/>
  <c r="O126" i="3" s="1"/>
  <c r="G12" i="2"/>
  <c r="U12" i="2" s="1"/>
  <c r="W12" i="2" s="1"/>
  <c r="O12" i="2" s="1"/>
  <c r="Q12" i="2" s="1"/>
  <c r="K12" i="2"/>
  <c r="R27" i="2"/>
  <c r="M91" i="3" l="1"/>
  <c r="M96" i="3" s="1"/>
  <c r="M144" i="3"/>
  <c r="P112" i="3" s="1"/>
  <c r="M102" i="3"/>
  <c r="P45" i="3"/>
  <c r="P51" i="3" s="1"/>
  <c r="P76" i="3"/>
  <c r="P57" i="3"/>
  <c r="M103" i="3"/>
  <c r="P74" i="3"/>
  <c r="O87" i="3"/>
  <c r="M104" i="3"/>
  <c r="O122" i="3"/>
  <c r="O123" i="3" s="1"/>
  <c r="O136" i="3"/>
  <c r="O137" i="3" s="1"/>
  <c r="Y13" i="2"/>
  <c r="AA13" i="2" s="1"/>
  <c r="G13" i="2" s="1"/>
  <c r="P12" i="2"/>
  <c r="X13" i="2" s="1"/>
  <c r="Z13" i="2" s="1"/>
  <c r="J13" i="2" s="1"/>
  <c r="R28" i="2"/>
  <c r="M101" i="3" l="1"/>
  <c r="M118" i="3"/>
  <c r="P43" i="3"/>
  <c r="P56" i="3" s="1"/>
  <c r="O86" i="3"/>
  <c r="P86" i="3" s="1"/>
  <c r="O148" i="3"/>
  <c r="S110" i="3"/>
  <c r="S111" i="3" s="1"/>
  <c r="P149" i="3" s="1"/>
  <c r="P113" i="3"/>
  <c r="P117" i="3" s="1"/>
  <c r="P75" i="3"/>
  <c r="P58" i="3"/>
  <c r="O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121" i="3" l="1"/>
  <c r="P114" i="3"/>
  <c r="P136" i="3" s="1"/>
  <c r="P137" i="3" s="1"/>
  <c r="P60" i="3"/>
  <c r="P73" i="3"/>
  <c r="O80" i="3" s="1"/>
  <c r="P49" i="3"/>
  <c r="P53" i="3" s="1"/>
  <c r="P47" i="3"/>
  <c r="P122" i="3"/>
  <c r="P126" i="3"/>
  <c r="O82" i="3"/>
  <c r="K14" i="2"/>
  <c r="P13" i="2"/>
  <c r="X14" i="2" s="1"/>
  <c r="Z14" i="2" s="1"/>
  <c r="J14" i="2" s="1"/>
  <c r="P77" i="3" l="1"/>
  <c r="P54" i="3"/>
  <c r="O83" i="3"/>
  <c r="O81" i="3"/>
  <c r="P148" i="3"/>
  <c r="P123" i="3"/>
  <c r="P125" i="3" s="1"/>
  <c r="P139" i="3"/>
  <c r="O140" i="3" s="1"/>
  <c r="O141" i="3" s="1"/>
  <c r="F14" i="2"/>
  <c r="U14" i="2" s="1"/>
  <c r="W14" i="2" s="1"/>
  <c r="O14" i="2" s="1"/>
  <c r="P14" i="2" s="1"/>
  <c r="X15" i="2" s="1"/>
  <c r="Z15" i="2" s="1"/>
  <c r="J15" i="2" s="1"/>
  <c r="O125" i="3" l="1"/>
  <c r="P140" i="3"/>
  <c r="P141" i="3" s="1"/>
  <c r="O124" i="3"/>
  <c r="O129" i="3" s="1"/>
  <c r="O130" i="3" s="1"/>
  <c r="O133" i="3" s="1"/>
  <c r="O134" i="3" s="1"/>
  <c r="F15" i="2"/>
  <c r="Q14" i="2"/>
  <c r="Y15" i="2" s="1"/>
  <c r="AA15" i="2" s="1"/>
  <c r="G15" i="2" s="1"/>
  <c r="U15" i="2" s="1"/>
  <c r="W15" i="2" s="1"/>
  <c r="O15" i="2" s="1"/>
  <c r="Q15" i="2" s="1"/>
  <c r="O147" i="3" l="1"/>
  <c r="O152" i="3" s="1"/>
  <c r="P147" i="3"/>
  <c r="O146" i="3"/>
  <c r="P133" i="3"/>
  <c r="O154" i="3" s="1"/>
  <c r="O155" i="3" s="1"/>
  <c r="O144" i="3"/>
  <c r="O131" i="3"/>
  <c r="O132" i="3" s="1"/>
  <c r="P81" i="3" s="1"/>
  <c r="R112" i="3"/>
  <c r="U110" i="3" s="1"/>
  <c r="K15" i="2"/>
  <c r="Y16" i="2" s="1"/>
  <c r="AA16" i="2" s="1"/>
  <c r="G16" i="2" s="1"/>
  <c r="P15" i="2"/>
  <c r="X16" i="2" s="1"/>
  <c r="Z16" i="2" s="1"/>
  <c r="J16" i="2" s="1"/>
  <c r="P83" i="3" l="1"/>
  <c r="P94" i="3" s="1"/>
  <c r="P146" i="3"/>
  <c r="P82" i="3"/>
  <c r="P93" i="3" s="1"/>
  <c r="P92" i="3"/>
  <c r="P97" i="3" s="1"/>
  <c r="P134" i="3"/>
  <c r="P80" i="3"/>
  <c r="P91" i="3" s="1"/>
  <c r="P152" i="3"/>
  <c r="P99" i="3"/>
  <c r="R113" i="3"/>
  <c r="U111" i="3"/>
  <c r="R149" i="3" s="1"/>
  <c r="K16" i="2"/>
  <c r="F16" i="2"/>
  <c r="U16" i="2" s="1"/>
  <c r="W16" i="2" s="1"/>
  <c r="O16" i="2" s="1"/>
  <c r="P16" i="2" s="1"/>
  <c r="X17" i="2" s="1"/>
  <c r="Z17" i="2" s="1"/>
  <c r="J17" i="2" s="1"/>
  <c r="P98" i="3" l="1"/>
  <c r="P144" i="3"/>
  <c r="S112" i="3" s="1"/>
  <c r="P96" i="3"/>
  <c r="P102" i="3"/>
  <c r="R87" i="3"/>
  <c r="S44" i="3"/>
  <c r="S50" i="3" s="1"/>
  <c r="S43" i="3"/>
  <c r="S49" i="3" s="1"/>
  <c r="R86" i="3"/>
  <c r="S86" i="3" s="1"/>
  <c r="R88" i="3"/>
  <c r="P104" i="3"/>
  <c r="S46" i="3"/>
  <c r="S52" i="3" s="1"/>
  <c r="S45" i="3"/>
  <c r="S51" i="3" s="1"/>
  <c r="P103" i="3"/>
  <c r="R89" i="3"/>
  <c r="R121" i="3"/>
  <c r="R117" i="3"/>
  <c r="R119" i="3" s="1"/>
  <c r="R114" i="3"/>
  <c r="R126" i="3" s="1"/>
  <c r="Q16" i="2"/>
  <c r="Y17" i="2" s="1"/>
  <c r="AA17" i="2" s="1"/>
  <c r="K17" i="2" s="1"/>
  <c r="F17" i="2"/>
  <c r="P118" i="3" l="1"/>
  <c r="P119" i="3" s="1"/>
  <c r="P101" i="3"/>
  <c r="S113" i="3"/>
  <c r="S121" i="3" s="1"/>
  <c r="V110" i="3"/>
  <c r="V111" i="3" s="1"/>
  <c r="S149" i="3" s="1"/>
  <c r="S74" i="3"/>
  <c r="S73" i="3"/>
  <c r="S57" i="3"/>
  <c r="S75" i="3"/>
  <c r="S114" i="3"/>
  <c r="S126" i="3" s="1"/>
  <c r="S117" i="3"/>
  <c r="S56" i="3"/>
  <c r="S53" i="3"/>
  <c r="S76" i="3"/>
  <c r="S59" i="3"/>
  <c r="S47" i="3"/>
  <c r="S58" i="3"/>
  <c r="R122" i="3"/>
  <c r="R123" i="3" s="1"/>
  <c r="R136" i="3"/>
  <c r="R137" i="3" s="1"/>
  <c r="G17" i="2"/>
  <c r="U17" i="2" s="1"/>
  <c r="W17" i="2" s="1"/>
  <c r="O17" i="2" s="1"/>
  <c r="P17" i="2" s="1"/>
  <c r="X18" i="2" s="1"/>
  <c r="Z18" i="2" s="1"/>
  <c r="J18" i="2" s="1"/>
  <c r="S122" i="3" l="1"/>
  <c r="R148" i="3"/>
  <c r="R81" i="3"/>
  <c r="S54" i="3"/>
  <c r="R80" i="3"/>
  <c r="R83" i="3"/>
  <c r="S136" i="3"/>
  <c r="S60" i="3"/>
  <c r="S77" i="3"/>
  <c r="R82" i="3"/>
  <c r="R139" i="3"/>
  <c r="Q17" i="2"/>
  <c r="Y18" i="2" s="1"/>
  <c r="AA18" i="2" s="1"/>
  <c r="G18" i="2" s="1"/>
  <c r="F18" i="2"/>
  <c r="S148" i="3" l="1"/>
  <c r="S137" i="3"/>
  <c r="S139" i="3" s="1"/>
  <c r="R140" i="3" s="1"/>
  <c r="S140" i="3" s="1"/>
  <c r="S141" i="3" s="1"/>
  <c r="S123" i="3"/>
  <c r="K18" i="2"/>
  <c r="U18" i="2"/>
  <c r="W18" i="2" s="1"/>
  <c r="O18" i="2" s="1"/>
  <c r="Q18" i="2" s="1"/>
  <c r="R125" i="3" l="1"/>
  <c r="R124" i="3"/>
  <c r="S125" i="3"/>
  <c r="R141" i="3"/>
  <c r="Y19" i="2"/>
  <c r="AA19" i="2" s="1"/>
  <c r="G19" i="2" s="1"/>
  <c r="P18" i="2"/>
  <c r="X19" i="2" s="1"/>
  <c r="Z19" i="2" s="1"/>
  <c r="J19" i="2" s="1"/>
  <c r="S147" i="3" l="1"/>
  <c r="R129" i="3"/>
  <c r="R130" i="3" s="1"/>
  <c r="S133" i="3" s="1"/>
  <c r="R147" i="3"/>
  <c r="R152" i="3" s="1"/>
  <c r="K19" i="2"/>
  <c r="F19" i="2"/>
  <c r="U19" i="2" s="1"/>
  <c r="W19" i="2" s="1"/>
  <c r="O19" i="2" s="1"/>
  <c r="P19" i="2" s="1"/>
  <c r="X20" i="2" s="1"/>
  <c r="Z20" i="2" s="1"/>
  <c r="R131" i="3" l="1"/>
  <c r="R132" i="3" s="1"/>
  <c r="S134" i="3" s="1"/>
  <c r="R133" i="3"/>
  <c r="R134" i="3" s="1"/>
  <c r="S152" i="3"/>
  <c r="Q19" i="2"/>
  <c r="Y20" i="2" s="1"/>
  <c r="AA20" i="2" s="1"/>
  <c r="G20" i="2" s="1"/>
  <c r="J20" i="2"/>
  <c r="F20" i="2"/>
  <c r="R154" i="3" l="1"/>
  <c r="R155" i="3" s="1"/>
  <c r="R146" i="3"/>
  <c r="S80" i="3"/>
  <c r="S91" i="3" s="1"/>
  <c r="S82" i="3"/>
  <c r="S93" i="3" s="1"/>
  <c r="S83" i="3"/>
  <c r="S94" i="3" s="1"/>
  <c r="S146" i="3"/>
  <c r="R144" i="3"/>
  <c r="U112" i="3" s="1"/>
  <c r="X110" i="3" s="1"/>
  <c r="X111" i="3" s="1"/>
  <c r="U149" i="3" s="1"/>
  <c r="S81" i="3"/>
  <c r="S92" i="3" s="1"/>
  <c r="S97" i="3" s="1"/>
  <c r="S102" i="3" s="1"/>
  <c r="S98" i="3"/>
  <c r="S96" i="3"/>
  <c r="S99" i="3"/>
  <c r="V44" i="3"/>
  <c r="V50" i="3" s="1"/>
  <c r="U87" i="3"/>
  <c r="K20" i="2"/>
  <c r="U20" i="2"/>
  <c r="W20" i="2" s="1"/>
  <c r="U113" i="3" l="1"/>
  <c r="S144" i="3"/>
  <c r="V112" i="3" s="1"/>
  <c r="S101" i="3"/>
  <c r="V43" i="3"/>
  <c r="V49" i="3" s="1"/>
  <c r="U89" i="3"/>
  <c r="U88" i="3"/>
  <c r="V45" i="3"/>
  <c r="V51" i="3" s="1"/>
  <c r="U86" i="3"/>
  <c r="V86" i="3" s="1"/>
  <c r="S103" i="3"/>
  <c r="S118" i="3"/>
  <c r="S119" i="3" s="1"/>
  <c r="V75" i="3"/>
  <c r="S104" i="3"/>
  <c r="V46" i="3"/>
  <c r="V74" i="3"/>
  <c r="U117" i="3"/>
  <c r="U119" i="3" s="1"/>
  <c r="U121" i="3"/>
  <c r="U114" i="3"/>
  <c r="U126" i="3" s="1"/>
  <c r="V57" i="3"/>
  <c r="V73" i="3"/>
  <c r="U80" i="3" s="1"/>
  <c r="O20" i="2"/>
  <c r="P20" i="2" s="1"/>
  <c r="X21" i="2" s="1"/>
  <c r="Z21" i="2" s="1"/>
  <c r="Y110" i="3" l="1"/>
  <c r="Y111" i="3" s="1"/>
  <c r="V149" i="3" s="1"/>
  <c r="V113" i="3"/>
  <c r="V56" i="3"/>
  <c r="V58" i="3"/>
  <c r="V52" i="3"/>
  <c r="V53" i="3" s="1"/>
  <c r="V76" i="3"/>
  <c r="U83" i="3" s="1"/>
  <c r="V59" i="3"/>
  <c r="V47" i="3"/>
  <c r="U122" i="3"/>
  <c r="U123" i="3" s="1"/>
  <c r="U136" i="3"/>
  <c r="U137" i="3" s="1"/>
  <c r="V60" i="3"/>
  <c r="U81" i="3"/>
  <c r="U82" i="3"/>
  <c r="J21" i="2"/>
  <c r="F21" i="2"/>
  <c r="Q20" i="2"/>
  <c r="Y21" i="2" s="1"/>
  <c r="AA21" i="2" s="1"/>
  <c r="G21" i="2" s="1"/>
  <c r="U148" i="3" l="1"/>
  <c r="V117" i="3"/>
  <c r="V121" i="3"/>
  <c r="V114" i="3"/>
  <c r="V77" i="3"/>
  <c r="V54" i="3"/>
  <c r="U139" i="3"/>
  <c r="U21" i="2"/>
  <c r="W21" i="2" s="1"/>
  <c r="O21" i="2" s="1"/>
  <c r="Q21" i="2" s="1"/>
  <c r="K21" i="2"/>
  <c r="V122" i="3" l="1"/>
  <c r="V148" i="3" s="1"/>
  <c r="V126" i="3"/>
  <c r="V136" i="3"/>
  <c r="V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3" i="3" l="1"/>
  <c r="U124" i="3" s="1"/>
  <c r="V139" i="3"/>
  <c r="U140" i="3" s="1"/>
  <c r="U141" i="3" s="1"/>
  <c r="K22" i="2"/>
  <c r="Y23" i="2" s="1"/>
  <c r="AA23" i="2" s="1"/>
  <c r="P22" i="2"/>
  <c r="X23" i="2" s="1"/>
  <c r="Z23" i="2" s="1"/>
  <c r="J23" i="2" s="1"/>
  <c r="V125" i="3" l="1"/>
  <c r="V147" i="3" s="1"/>
  <c r="U125" i="3"/>
  <c r="U147" i="3" s="1"/>
  <c r="U152" i="3" s="1"/>
  <c r="U129" i="3"/>
  <c r="U130" i="3" s="1"/>
  <c r="U133" i="3" s="1"/>
  <c r="U134" i="3" s="1"/>
  <c r="V140" i="3"/>
  <c r="V141" i="3" s="1"/>
  <c r="G23" i="2"/>
  <c r="K23" i="2"/>
  <c r="F23" i="2"/>
  <c r="U23" i="2" s="1"/>
  <c r="W23" i="2" s="1"/>
  <c r="O23" i="2" s="1"/>
  <c r="Q23" i="2" s="1"/>
  <c r="Y24" i="2" s="1"/>
  <c r="AA24" i="2" s="1"/>
  <c r="U131" i="3" l="1"/>
  <c r="U132" i="3" s="1"/>
  <c r="V80" i="3" s="1"/>
  <c r="V133" i="3"/>
  <c r="U144" i="3"/>
  <c r="X112" i="3" s="1"/>
  <c r="U146" i="3"/>
  <c r="V152" i="3"/>
  <c r="V146" i="3"/>
  <c r="U154" i="3"/>
  <c r="U155" i="3" s="1"/>
  <c r="V81" i="3"/>
  <c r="V82" i="3"/>
  <c r="V93" i="3" s="1"/>
  <c r="V83" i="3"/>
  <c r="V94" i="3" s="1"/>
  <c r="X113" i="3"/>
  <c r="P23" i="2"/>
  <c r="X24" i="2" s="1"/>
  <c r="Z24" i="2" s="1"/>
  <c r="J24" i="2" s="1"/>
  <c r="G24" i="2"/>
  <c r="K24" i="2"/>
  <c r="V134" i="3" l="1"/>
  <c r="V92" i="3"/>
  <c r="V97" i="3" s="1"/>
  <c r="Y44" i="3" s="1"/>
  <c r="V91" i="3"/>
  <c r="V96" i="3" s="1"/>
  <c r="V99" i="3"/>
  <c r="V98" i="3"/>
  <c r="X117" i="3"/>
  <c r="X119" i="3" s="1"/>
  <c r="X121" i="3"/>
  <c r="X114" i="3"/>
  <c r="X126" i="3" s="1"/>
  <c r="F24" i="2"/>
  <c r="U24" i="2" s="1"/>
  <c r="W24" i="2" s="1"/>
  <c r="O24" i="2" s="1"/>
  <c r="P24" i="2" s="1"/>
  <c r="X25" i="2" s="1"/>
  <c r="Z25" i="2" s="1"/>
  <c r="J25" i="2" s="1"/>
  <c r="V144" i="3" l="1"/>
  <c r="Y112" i="3" s="1"/>
  <c r="Y43" i="3"/>
  <c r="X86" i="3"/>
  <c r="Y86" i="3" s="1"/>
  <c r="Y149" i="3" s="1"/>
  <c r="V101" i="3"/>
  <c r="V102" i="3"/>
  <c r="Y74" i="3"/>
  <c r="X88" i="3"/>
  <c r="Y45" i="3"/>
  <c r="Y51" i="3" s="1"/>
  <c r="V103" i="3"/>
  <c r="Y46" i="3"/>
  <c r="Y52" i="3" s="1"/>
  <c r="X89" i="3"/>
  <c r="V104" i="3"/>
  <c r="V118" i="3"/>
  <c r="V119" i="3" s="1"/>
  <c r="X87" i="3"/>
  <c r="X122" i="3"/>
  <c r="X123" i="3" s="1"/>
  <c r="X136" i="3"/>
  <c r="X137" i="3" s="1"/>
  <c r="Y50" i="3"/>
  <c r="Y57" i="3"/>
  <c r="Q24" i="2"/>
  <c r="Y25" i="2" s="1"/>
  <c r="AA25" i="2" s="1"/>
  <c r="G25" i="2" s="1"/>
  <c r="F25" i="2"/>
  <c r="X148" i="3" l="1"/>
  <c r="Y113" i="3"/>
  <c r="Y117" i="3" s="1"/>
  <c r="Y75" i="3"/>
  <c r="Y49" i="3"/>
  <c r="Y53" i="3" s="1"/>
  <c r="Y56" i="3"/>
  <c r="Y73" i="3"/>
  <c r="X80" i="3" s="1"/>
  <c r="Y47" i="3"/>
  <c r="Y76" i="3"/>
  <c r="Y59" i="3"/>
  <c r="Y58" i="3"/>
  <c r="X139" i="3"/>
  <c r="K25" i="2"/>
  <c r="U25" i="2"/>
  <c r="W25" i="2" s="1"/>
  <c r="O25" i="2" s="1"/>
  <c r="Q25" i="2" s="1"/>
  <c r="Y26" i="2" s="1"/>
  <c r="AA26" i="2" s="1"/>
  <c r="G26" i="2" s="1"/>
  <c r="Y121" i="3" l="1"/>
  <c r="Y122" i="3"/>
  <c r="Y60" i="3"/>
  <c r="Y114" i="3"/>
  <c r="X83" i="3"/>
  <c r="X82" i="3"/>
  <c r="X81" i="3"/>
  <c r="Y77" i="3"/>
  <c r="Y54" i="3"/>
  <c r="P25" i="2"/>
  <c r="X26" i="2" s="1"/>
  <c r="Z26" i="2" s="1"/>
  <c r="J26" i="2" s="1"/>
  <c r="K26" i="2"/>
  <c r="Y148" i="3" l="1"/>
  <c r="Y126" i="3"/>
  <c r="Y136" i="3"/>
  <c r="Y137" i="3" s="1"/>
  <c r="Y123" i="3"/>
  <c r="Y125" i="3" s="1"/>
  <c r="F26" i="2"/>
  <c r="U26" i="2" s="1"/>
  <c r="W26" i="2" s="1"/>
  <c r="O26" i="2" s="1"/>
  <c r="Q26" i="2" s="1"/>
  <c r="Y27" i="2" s="1"/>
  <c r="AA27" i="2" s="1"/>
  <c r="Y139" i="3" l="1"/>
  <c r="X140" i="3" s="1"/>
  <c r="X124" i="3"/>
  <c r="X125" i="3"/>
  <c r="P26" i="2"/>
  <c r="X27" i="2" s="1"/>
  <c r="Z27" i="2" s="1"/>
  <c r="J27" i="2" s="1"/>
  <c r="G27" i="2"/>
  <c r="K27" i="2"/>
  <c r="X129" i="3" l="1"/>
  <c r="Y140" i="3"/>
  <c r="Y141" i="3" s="1"/>
  <c r="X141" i="3"/>
  <c r="X130" i="3"/>
  <c r="Y147" i="3"/>
  <c r="X147" i="3"/>
  <c r="X152" i="3" s="1"/>
  <c r="F27" i="2"/>
  <c r="U27" i="2" s="1"/>
  <c r="W27" i="2" s="1"/>
  <c r="O27" i="2" s="1"/>
  <c r="P27" i="2" s="1"/>
  <c r="X28" i="2" s="1"/>
  <c r="Z28" i="2" s="1"/>
  <c r="J28" i="2" s="1"/>
  <c r="Y133" i="3" l="1"/>
  <c r="X131" i="3"/>
  <c r="X132" i="3" s="1"/>
  <c r="Y152" i="3" s="1"/>
  <c r="X133" i="3"/>
  <c r="Q27" i="2"/>
  <c r="Y28" i="2" s="1"/>
  <c r="AA28" i="2" s="1"/>
  <c r="G28" i="2" s="1"/>
  <c r="F28" i="2"/>
  <c r="X134" i="3" l="1"/>
  <c r="X154" i="3"/>
  <c r="X155" i="3" s="1"/>
  <c r="X144" i="3"/>
  <c r="X146" i="3"/>
  <c r="Y146" i="3"/>
  <c r="Y82" i="3"/>
  <c r="Y93" i="3" s="1"/>
  <c r="Y98" i="3" s="1"/>
  <c r="Y80" i="3"/>
  <c r="Y91" i="3" s="1"/>
  <c r="Y81" i="3"/>
  <c r="Y92" i="3" s="1"/>
  <c r="Y97" i="3" s="1"/>
  <c r="Y83" i="3"/>
  <c r="Y94" i="3" s="1"/>
  <c r="Y99" i="3" s="1"/>
  <c r="Y134" i="3"/>
  <c r="Y96" i="3"/>
  <c r="U28" i="2"/>
  <c r="W28" i="2" s="1"/>
  <c r="O28" i="2" s="1"/>
  <c r="Q28" i="2" s="1"/>
  <c r="K28" i="2"/>
  <c r="Y144" i="3" l="1"/>
  <c r="Y118" i="3"/>
  <c r="Y119" i="3" s="1"/>
  <c r="Y101" i="3"/>
  <c r="Y103" i="3"/>
  <c r="Y104" i="3"/>
  <c r="Y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<sst xmlns="http://schemas.openxmlformats.org/spreadsheetml/2006/main" count="439" uniqueCount="304">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</sst>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62"/>
  <sheetViews>
    <sheetView tabSelected="1" topLeftCell="A11" zoomScale="93" zoomScaleNormal="93" workbookViewId="0">
      <selection activeCell="B20" sqref="B20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MAX(G10-G26,0)</f>
        <v>0</v>
      </c>
      <c r="J11" s="4">
        <f>MAX(J10-J26,0)</f>
        <v>0</v>
      </c>
      <c r="M11" s="4">
        <f>MAX(M10-M26,0)</f>
        <v>0</v>
      </c>
      <c r="P11" s="4">
        <f>MAX(P10-P26,0)</f>
        <v>0</v>
      </c>
      <c r="S11" s="4">
        <f>MAX(S10-S26,0)</f>
        <v>0</v>
      </c>
      <c r="V11" s="4">
        <f>MAX(V10-V26,0)</f>
        <v>0</v>
      </c>
      <c r="Y11" s="4">
        <f>MAX(Y10-Y26,0)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32" customHeight="1" x14ac:dyDescent="0.2">
      <c r="A16" s="38" t="s">
        <v>301</v>
      </c>
      <c r="B16" s="31"/>
      <c r="F16" s="4">
        <f>F15*0.187</f>
        <v>0.93500000000000005</v>
      </c>
      <c r="G16" s="4">
        <f>G15*0.192</f>
        <v>1.92</v>
      </c>
      <c r="I16" s="4">
        <f>I15*0.187</f>
        <v>0.95369999999999988</v>
      </c>
      <c r="J16" s="4">
        <f>J15*0.192</f>
        <v>1.8816000000000002</v>
      </c>
      <c r="L16" s="4">
        <f>L15*0.187</f>
        <v>0.97240000000000004</v>
      </c>
      <c r="M16" s="4">
        <f>M15*0.192</f>
        <v>1.8816000000000002</v>
      </c>
      <c r="O16" s="4">
        <f>O15*0.187</f>
        <v>0.87890000000000001</v>
      </c>
      <c r="P16" s="4">
        <f>P15*0.192</f>
        <v>1.9008</v>
      </c>
      <c r="R16" s="4">
        <f>R15*0.187</f>
        <v>0.97240000000000004</v>
      </c>
      <c r="S16" s="4">
        <f>S15*0.192</f>
        <v>1.9392</v>
      </c>
      <c r="U16" s="4">
        <f>U15*0.187</f>
        <v>0.76669999999999994</v>
      </c>
      <c r="V16" s="4">
        <f>V15*0.192</f>
        <v>2.1120000000000001</v>
      </c>
      <c r="X16" s="4">
        <f>X15*0.187</f>
        <v>0.95369999999999988</v>
      </c>
      <c r="Y16" s="4">
        <f>Y15*0.192</f>
        <v>1.728</v>
      </c>
      <c r="Z16" s="38"/>
      <c r="AD16" s="19"/>
      <c r="AE16" s="19"/>
      <c r="AF16" s="19"/>
    </row>
    <row r="17" spans="1:32" ht="51" x14ac:dyDescent="0.2">
      <c r="A17" s="38" t="s">
        <v>226</v>
      </c>
      <c r="B17" s="31" t="s">
        <v>162</v>
      </c>
      <c r="E17" s="10" t="s">
        <v>229</v>
      </c>
      <c r="F17" s="4">
        <v>0.33057704999999998</v>
      </c>
      <c r="G17" s="4">
        <v>0.37800893000000002</v>
      </c>
      <c r="Z17" s="38" t="s">
        <v>293</v>
      </c>
      <c r="AD17" s="19">
        <v>1.8</v>
      </c>
      <c r="AE17" s="19">
        <f>SUM(AD$6:AD17)</f>
        <v>3.34</v>
      </c>
      <c r="AF17" s="19">
        <v>20</v>
      </c>
    </row>
    <row r="18" spans="1:32" ht="34" x14ac:dyDescent="0.2">
      <c r="A18" s="38" t="s">
        <v>227</v>
      </c>
      <c r="B18" s="31" t="s">
        <v>162</v>
      </c>
      <c r="D18" s="49" t="s">
        <v>118</v>
      </c>
      <c r="E18" s="10" t="s">
        <v>117</v>
      </c>
      <c r="F18" s="4">
        <v>0.43057705000000002</v>
      </c>
      <c r="G18" s="4">
        <v>0.47800893</v>
      </c>
      <c r="Z18" s="38" t="s">
        <v>294</v>
      </c>
      <c r="AD18" s="19">
        <v>3</v>
      </c>
      <c r="AE18" s="19">
        <f>SUM(AD$6:AD18)</f>
        <v>6.34</v>
      </c>
      <c r="AF18" s="19">
        <v>20</v>
      </c>
    </row>
    <row r="19" spans="1:32" ht="51" x14ac:dyDescent="0.2">
      <c r="A19" s="38" t="s">
        <v>228</v>
      </c>
      <c r="B19" s="31" t="s">
        <v>162</v>
      </c>
      <c r="D19" s="49"/>
      <c r="E19" s="10" t="s">
        <v>138</v>
      </c>
      <c r="F19" s="4">
        <v>0.67</v>
      </c>
      <c r="Z19" s="40" t="s">
        <v>295</v>
      </c>
      <c r="AD19" s="19">
        <v>6</v>
      </c>
      <c r="AE19" s="19">
        <f>SUM(AD$6:AD19)</f>
        <v>12.34</v>
      </c>
      <c r="AF19" s="19">
        <v>20</v>
      </c>
    </row>
    <row r="20" spans="1:32" ht="17" x14ac:dyDescent="0.2">
      <c r="A20" s="38" t="s">
        <v>230</v>
      </c>
      <c r="B20" s="31" t="s">
        <v>162</v>
      </c>
      <c r="E20" s="10" t="s">
        <v>116</v>
      </c>
      <c r="F20" s="4">
        <v>150</v>
      </c>
      <c r="G20" s="4">
        <v>100</v>
      </c>
      <c r="Z20" s="38" t="s">
        <v>297</v>
      </c>
      <c r="AD20" s="19">
        <v>10</v>
      </c>
      <c r="AE20" s="19">
        <f>SUM(AD$6:AD20)</f>
        <v>22.34</v>
      </c>
      <c r="AF20" s="19">
        <v>20</v>
      </c>
    </row>
    <row r="21" spans="1:32" ht="17" x14ac:dyDescent="0.2">
      <c r="A21" s="38" t="s">
        <v>232</v>
      </c>
      <c r="B21" s="31" t="s">
        <v>162</v>
      </c>
      <c r="E21" s="10" t="s">
        <v>173</v>
      </c>
      <c r="F21" s="4">
        <v>0.3</v>
      </c>
      <c r="G21" s="4">
        <v>0.25</v>
      </c>
      <c r="Z21" s="38" t="s">
        <v>298</v>
      </c>
      <c r="AD21" s="19"/>
      <c r="AE21" s="19"/>
      <c r="AF21" s="19"/>
    </row>
    <row r="22" spans="1:32" ht="17" x14ac:dyDescent="0.2">
      <c r="A22" s="38" t="s">
        <v>280</v>
      </c>
      <c r="B22" s="32" t="s">
        <v>174</v>
      </c>
      <c r="E22" s="10" t="s">
        <v>115</v>
      </c>
      <c r="F22" s="4">
        <f>F$20*$F$17</f>
        <v>49.586557499999998</v>
      </c>
      <c r="G22" s="4">
        <f>G$20*$G$17</f>
        <v>37.800893000000002</v>
      </c>
      <c r="Z22" s="38"/>
      <c r="AD22" s="19">
        <v>12</v>
      </c>
      <c r="AE22" s="19">
        <f>SUM(AD$6:AD22)</f>
        <v>34.340000000000003</v>
      </c>
      <c r="AF22" s="19">
        <v>20</v>
      </c>
    </row>
    <row r="23" spans="1:32" ht="17" x14ac:dyDescent="0.2">
      <c r="A23" s="38" t="s">
        <v>231</v>
      </c>
      <c r="B23" s="32" t="s">
        <v>174</v>
      </c>
      <c r="E23" s="10" t="s">
        <v>175</v>
      </c>
      <c r="F23" s="4">
        <f>F20-F22</f>
        <v>100.4134425</v>
      </c>
      <c r="G23" s="4">
        <f>G20-G22</f>
        <v>62.199106999999998</v>
      </c>
      <c r="Z23" s="38" t="s">
        <v>299</v>
      </c>
      <c r="AD23" s="19">
        <v>13.5</v>
      </c>
      <c r="AE23" s="19">
        <f>SUM(AD$6:AD23)</f>
        <v>47.84</v>
      </c>
      <c r="AF23" s="19">
        <v>20</v>
      </c>
    </row>
    <row r="24" spans="1:32" x14ac:dyDescent="0.2">
      <c r="AD24" s="19">
        <v>12</v>
      </c>
      <c r="AE24" s="19">
        <f>SUM(AD$6:AD24)</f>
        <v>59.84</v>
      </c>
      <c r="AF24" s="19">
        <v>20</v>
      </c>
    </row>
    <row r="25" spans="1:32" ht="17" x14ac:dyDescent="0.2">
      <c r="A25" s="38" t="s">
        <v>159</v>
      </c>
      <c r="B25" s="31" t="s">
        <v>162</v>
      </c>
      <c r="E25" s="10" t="s">
        <v>52</v>
      </c>
      <c r="F25" s="4">
        <v>5000</v>
      </c>
      <c r="G25" s="4">
        <v>50000</v>
      </c>
      <c r="I25" s="4">
        <v>5000</v>
      </c>
      <c r="J25" s="4">
        <v>50000</v>
      </c>
      <c r="L25" s="4">
        <v>5500</v>
      </c>
      <c r="M25" s="4">
        <v>50000</v>
      </c>
      <c r="O25" s="4">
        <v>6000</v>
      </c>
      <c r="P25" s="4">
        <v>50000</v>
      </c>
      <c r="R25" s="4">
        <v>6500</v>
      </c>
      <c r="S25" s="4">
        <v>49000</v>
      </c>
      <c r="U25" s="4">
        <v>7200</v>
      </c>
      <c r="V25" s="4">
        <v>49500</v>
      </c>
      <c r="X25" s="4">
        <v>7200</v>
      </c>
      <c r="Y25" s="4">
        <v>49500</v>
      </c>
      <c r="Z25" s="38"/>
      <c r="AD25" s="19">
        <v>10</v>
      </c>
      <c r="AE25" s="19">
        <f>SUM(AD$6:AD25)</f>
        <v>69.84</v>
      </c>
      <c r="AF25" s="19">
        <v>20</v>
      </c>
    </row>
    <row r="26" spans="1:32" ht="17" x14ac:dyDescent="0.2">
      <c r="A26" s="38" t="s">
        <v>279</v>
      </c>
      <c r="B26" s="33" t="s">
        <v>163</v>
      </c>
      <c r="E26" s="14" t="s">
        <v>108</v>
      </c>
      <c r="G26" s="4">
        <f>MAX(G$25-G$13, 0)</f>
        <v>0</v>
      </c>
      <c r="J26" s="4">
        <f>MAX(J$25-J$13, 0)</f>
        <v>0</v>
      </c>
      <c r="M26" s="4">
        <f>MAX(M$25-M$13, 0)</f>
        <v>0</v>
      </c>
      <c r="P26" s="4">
        <f>MAX(P$25-P$13, 0)</f>
        <v>0</v>
      </c>
      <c r="S26" s="4">
        <f>MAX(S$25-S$13, 0)</f>
        <v>0</v>
      </c>
      <c r="V26" s="4">
        <f>MAX(V$25-V$13, 0)</f>
        <v>0</v>
      </c>
      <c r="Y26" s="4">
        <f>MAX(Y$25-Y$13, 0)</f>
        <v>0</v>
      </c>
      <c r="Z26" s="38"/>
      <c r="AD26" s="19">
        <v>6</v>
      </c>
      <c r="AE26" s="19">
        <f>SUM(AD$6:AD26)</f>
        <v>75.84</v>
      </c>
      <c r="AF26" s="19">
        <v>20</v>
      </c>
    </row>
    <row r="27" spans="1:32" ht="17" x14ac:dyDescent="0.2">
      <c r="A27" s="38" t="s">
        <v>160</v>
      </c>
      <c r="B27" s="33" t="s">
        <v>163</v>
      </c>
      <c r="E27" s="14" t="s">
        <v>144</v>
      </c>
      <c r="F27" s="4">
        <f>MIN(F13,F25)</f>
        <v>5000</v>
      </c>
      <c r="G27" s="4">
        <f>MIN(G13,G25)</f>
        <v>50000</v>
      </c>
      <c r="I27" s="4">
        <f>MIN(I13,I25)</f>
        <v>5000</v>
      </c>
      <c r="J27" s="4">
        <f>MIN(J13,J25)</f>
        <v>50000</v>
      </c>
      <c r="L27" s="4">
        <f>MIN(L13,L25)</f>
        <v>5500</v>
      </c>
      <c r="M27" s="4">
        <f>MIN(M13,M25)</f>
        <v>50000</v>
      </c>
      <c r="O27" s="4">
        <f>MIN(O13,O25)</f>
        <v>6000</v>
      </c>
      <c r="P27" s="4">
        <f>MIN(P13,P25)</f>
        <v>50000</v>
      </c>
      <c r="R27" s="4">
        <f>MIN(R13,R25)</f>
        <v>6500</v>
      </c>
      <c r="S27" s="4">
        <f>MIN(S13,S25)</f>
        <v>49000</v>
      </c>
      <c r="U27" s="4">
        <f>MIN(U13,U25)</f>
        <v>7200</v>
      </c>
      <c r="V27" s="4">
        <f>MIN(V13,V25)</f>
        <v>49500</v>
      </c>
      <c r="X27" s="4">
        <f>MIN(X13,X25)</f>
        <v>7200</v>
      </c>
      <c r="Y27" s="4">
        <f>MIN(Y13,Y25)</f>
        <v>49500</v>
      </c>
      <c r="Z27" s="38"/>
      <c r="AD27" s="19">
        <v>3</v>
      </c>
      <c r="AE27" s="19">
        <f>SUM(AD$6:AD27)</f>
        <v>78.84</v>
      </c>
      <c r="AF27" s="19">
        <v>20</v>
      </c>
    </row>
    <row r="28" spans="1:32" ht="17" x14ac:dyDescent="0.2">
      <c r="E28" s="15" t="s">
        <v>169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D28" s="19">
        <v>1.8</v>
      </c>
      <c r="AE28" s="19">
        <f>SUM(AD$6:AD28)</f>
        <v>80.64</v>
      </c>
      <c r="AF28" s="19">
        <v>20</v>
      </c>
    </row>
    <row r="29" spans="1:32" ht="73" customHeight="1" x14ac:dyDescent="0.2">
      <c r="A29" s="38" t="s">
        <v>278</v>
      </c>
      <c r="B29" s="31" t="s">
        <v>162</v>
      </c>
      <c r="D29" s="49" t="s">
        <v>170</v>
      </c>
      <c r="E29" s="25" t="s">
        <v>68</v>
      </c>
      <c r="F29" s="4">
        <v>0.3</v>
      </c>
      <c r="G29" s="4">
        <v>0.92</v>
      </c>
      <c r="Z29" s="38"/>
    </row>
    <row r="30" spans="1:32" ht="73" customHeight="1" x14ac:dyDescent="0.2">
      <c r="A30" s="38" t="s">
        <v>233</v>
      </c>
      <c r="B30" s="32" t="s">
        <v>174</v>
      </c>
      <c r="D30" s="49"/>
      <c r="E30" s="25" t="s">
        <v>171</v>
      </c>
      <c r="F30" s="4">
        <f>0.00157</f>
        <v>1.57E-3</v>
      </c>
      <c r="G30" s="4">
        <f>F30</f>
        <v>1.57E-3</v>
      </c>
      <c r="I30" s="4">
        <f>F29/F20</f>
        <v>2E-3</v>
      </c>
      <c r="Z30" s="38"/>
    </row>
    <row r="31" spans="1:32" ht="18" customHeight="1" x14ac:dyDescent="0.2">
      <c r="D31" s="26"/>
    </row>
    <row r="32" spans="1:32" ht="17" x14ac:dyDescent="0.2">
      <c r="E32" s="15" t="s">
        <v>56</v>
      </c>
      <c r="F32" s="8"/>
      <c r="G32" s="8"/>
      <c r="I32" s="8"/>
      <c r="J32" s="8"/>
      <c r="L32" s="8"/>
      <c r="M32" s="8"/>
      <c r="O32" s="8"/>
      <c r="P32" s="8"/>
      <c r="R32" s="8"/>
      <c r="S32" s="8"/>
      <c r="U32" s="8"/>
      <c r="V32" s="8"/>
      <c r="X32" s="8"/>
      <c r="Y32" s="8"/>
    </row>
    <row r="33" spans="1:27" ht="17" x14ac:dyDescent="0.2">
      <c r="A33" s="38" t="s">
        <v>168</v>
      </c>
      <c r="B33" s="31" t="s">
        <v>162</v>
      </c>
      <c r="E33" s="10" t="s">
        <v>53</v>
      </c>
      <c r="F33" s="4">
        <v>2000000</v>
      </c>
      <c r="I33" s="4">
        <v>2050000</v>
      </c>
      <c r="L33" s="4">
        <v>2110000</v>
      </c>
      <c r="O33" s="4">
        <v>2210000</v>
      </c>
      <c r="R33" s="4">
        <v>3000000</v>
      </c>
      <c r="U33" s="4">
        <v>25000000</v>
      </c>
      <c r="X33" s="4">
        <v>2520000</v>
      </c>
      <c r="Z33" s="38"/>
    </row>
    <row r="35" spans="1:27" ht="17" x14ac:dyDescent="0.2">
      <c r="E35" s="11" t="s">
        <v>57</v>
      </c>
      <c r="F35" s="12"/>
      <c r="G35" s="12"/>
      <c r="I35" s="12"/>
      <c r="J35" s="12"/>
      <c r="L35" s="12"/>
      <c r="M35" s="12"/>
      <c r="O35" s="12"/>
      <c r="P35" s="12"/>
      <c r="R35" s="12"/>
      <c r="S35" s="12"/>
      <c r="U35" s="12"/>
      <c r="V35" s="12"/>
      <c r="X35" s="12"/>
      <c r="Y35" s="12"/>
    </row>
    <row r="36" spans="1:27" ht="17" x14ac:dyDescent="0.2">
      <c r="E36" s="15" t="s">
        <v>139</v>
      </c>
      <c r="F36" s="8" t="s">
        <v>124</v>
      </c>
      <c r="G36" s="8"/>
      <c r="I36" s="4" t="s">
        <v>126</v>
      </c>
      <c r="L36" s="4" t="s">
        <v>126</v>
      </c>
      <c r="N36" s="5" t="s">
        <v>125</v>
      </c>
      <c r="O36" s="4" t="s">
        <v>126</v>
      </c>
    </row>
    <row r="37" spans="1:27" ht="17" x14ac:dyDescent="0.2">
      <c r="A37" s="24" t="s">
        <v>179</v>
      </c>
      <c r="E37" s="14" t="s">
        <v>88</v>
      </c>
      <c r="G37" s="4">
        <v>0</v>
      </c>
      <c r="H37" s="5">
        <f>SUM(J$37:J37)</f>
        <v>0</v>
      </c>
      <c r="J37" s="4">
        <v>0</v>
      </c>
      <c r="K37" s="5">
        <f>SUM(M$37:M37)</f>
        <v>0</v>
      </c>
      <c r="M37" s="4">
        <v>0</v>
      </c>
      <c r="N37" s="5">
        <f>SUM(P$37:P37)</f>
        <v>0</v>
      </c>
      <c r="P37" s="4">
        <v>0</v>
      </c>
      <c r="Q37" s="5">
        <f>SUM(S$37:S37)</f>
        <v>0</v>
      </c>
      <c r="S37" s="4">
        <v>0</v>
      </c>
      <c r="T37" s="5">
        <f>SUM(V$37:V37)</f>
        <v>0</v>
      </c>
      <c r="V37" s="4">
        <v>0</v>
      </c>
      <c r="W37" s="5">
        <f>SUM(Y$37:Y37)</f>
        <v>0</v>
      </c>
      <c r="Y37" s="4">
        <v>0</v>
      </c>
    </row>
    <row r="38" spans="1:27" ht="17" x14ac:dyDescent="0.2">
      <c r="A38" s="46" t="s">
        <v>180</v>
      </c>
      <c r="B38" s="47" t="s">
        <v>174</v>
      </c>
      <c r="E38" s="14" t="s">
        <v>87</v>
      </c>
      <c r="F38" s="4">
        <v>0</v>
      </c>
      <c r="G38" s="4">
        <f>G12</f>
        <v>85</v>
      </c>
      <c r="H38" s="5">
        <f>SUM(G$37:G38)</f>
        <v>85</v>
      </c>
      <c r="I38" s="4">
        <f>IF(H38&gt;=J$11, IF(H37&lt;J$11, J$11-H37, 0),G38)</f>
        <v>0</v>
      </c>
      <c r="J38" s="4">
        <f>G38-I38</f>
        <v>85</v>
      </c>
      <c r="K38" s="5">
        <f>SUM(J$37:J38)</f>
        <v>85</v>
      </c>
      <c r="L38" s="4">
        <f>IF(K38&gt;=M$11, IF(K37&lt;M$11, M$11-K37, 0),J38)</f>
        <v>0</v>
      </c>
      <c r="M38" s="4">
        <f>J38-L38</f>
        <v>85</v>
      </c>
      <c r="N38" s="5">
        <f>SUM(M$37:M38)</f>
        <v>85</v>
      </c>
      <c r="O38" s="4">
        <f>IF(N38&gt;=P$11, IF(N37&lt;P$11, P$11-N37, 0),M38)</f>
        <v>0</v>
      </c>
      <c r="P38" s="4">
        <f>M38-O38</f>
        <v>85</v>
      </c>
      <c r="Q38" s="5">
        <f>SUM(P$37:P38)</f>
        <v>85</v>
      </c>
      <c r="R38" s="4">
        <f>IF(Q38&gt;=S$11, IF(Q37&lt;S$11, S$11-Q37, 0),P38)</f>
        <v>0</v>
      </c>
      <c r="S38" s="4">
        <f>P38-R38</f>
        <v>85</v>
      </c>
      <c r="T38" s="5">
        <f>SUM(S$37:S38)</f>
        <v>85</v>
      </c>
      <c r="U38" s="4">
        <f>IF(T38&gt;=V$11, IF(T37&lt;V$11, V$11-T37, 0),S38)</f>
        <v>0</v>
      </c>
      <c r="V38" s="4">
        <f>S38-U38</f>
        <v>85</v>
      </c>
      <c r="W38" s="5">
        <f>SUM(V$37:V38)</f>
        <v>85</v>
      </c>
      <c r="X38" s="4">
        <f>IF(W38&gt;=Y$11, IF(W37&lt;Y$11, Y$11-W37, 0),V38)</f>
        <v>0</v>
      </c>
      <c r="Y38" s="4">
        <f>V38-X38</f>
        <v>85</v>
      </c>
      <c r="Z38" s="37"/>
    </row>
    <row r="39" spans="1:27" ht="17" x14ac:dyDescent="0.2">
      <c r="A39" s="48"/>
      <c r="B39" s="47"/>
      <c r="E39" s="14" t="s">
        <v>69</v>
      </c>
      <c r="F39" s="4">
        <v>0</v>
      </c>
      <c r="G39" s="4">
        <v>0</v>
      </c>
      <c r="H39" s="5">
        <f>SUM(G$37:G39)</f>
        <v>85</v>
      </c>
      <c r="I39" s="4">
        <f>IF(H39&gt;=J$11, IF(H38&lt;J$11, J$11-H38, 0),G39)</f>
        <v>0</v>
      </c>
      <c r="J39" s="4">
        <f>J12</f>
        <v>80</v>
      </c>
      <c r="K39" s="5">
        <f>SUM(J$37:J39)</f>
        <v>165</v>
      </c>
      <c r="L39" s="4">
        <f>IF(K39&gt;=M$11, IF(K38&lt;M$11, M$11-K38, 0),J39)</f>
        <v>0</v>
      </c>
      <c r="M39" s="4">
        <f>J39-L39</f>
        <v>80</v>
      </c>
      <c r="N39" s="5">
        <f>SUM(M$37:M39)</f>
        <v>165</v>
      </c>
      <c r="O39" s="4">
        <f t="shared" ref="O39:O41" si="0">IF(N39&gt;=P$11, IF(N38&lt;P$11, P$11-N38, 0),M39)</f>
        <v>0</v>
      </c>
      <c r="P39" s="4">
        <f>M39-O39</f>
        <v>80</v>
      </c>
      <c r="Q39" s="5">
        <f>SUM(P$37:P39)</f>
        <v>165</v>
      </c>
      <c r="R39" s="4">
        <f t="shared" ref="R39:R41" si="1">IF(Q39&gt;=S$11, IF(Q38&lt;S$11, S$11-Q38, 0),P39)</f>
        <v>0</v>
      </c>
      <c r="S39" s="4">
        <f>P39-R39</f>
        <v>80</v>
      </c>
      <c r="T39" s="5">
        <f>SUM(S$37:S39)</f>
        <v>165</v>
      </c>
      <c r="U39" s="4">
        <f t="shared" ref="U39:U41" si="2">IF(T39&gt;=V$11, IF(T38&lt;V$11, V$11-T38, 0),S39)</f>
        <v>0</v>
      </c>
      <c r="V39" s="4">
        <f>S39-U39</f>
        <v>80</v>
      </c>
      <c r="W39" s="5">
        <f>SUM(V$37:V39)</f>
        <v>165</v>
      </c>
      <c r="X39" s="4">
        <f t="shared" ref="X39:X41" si="3">IF(W39&gt;=Y$11, IF(W38&lt;Y$11, Y$11-W38, 0),V39)</f>
        <v>0</v>
      </c>
      <c r="Y39" s="4">
        <f>V39-X39</f>
        <v>80</v>
      </c>
      <c r="Z39" s="38"/>
    </row>
    <row r="40" spans="1:27" ht="17" x14ac:dyDescent="0.2">
      <c r="A40" s="48"/>
      <c r="B40" s="47"/>
      <c r="E40" s="14" t="s">
        <v>79</v>
      </c>
      <c r="F40" s="4">
        <v>0</v>
      </c>
      <c r="G40" s="4">
        <v>0</v>
      </c>
      <c r="H40" s="5">
        <f>SUM(G$37:G40)</f>
        <v>85</v>
      </c>
      <c r="I40" s="4">
        <f>IF(H40&gt;=J$11, IF(H39&lt;J$11, J$11-H39, 0),G40)</f>
        <v>0</v>
      </c>
      <c r="J40" s="4">
        <v>0</v>
      </c>
      <c r="K40" s="5">
        <f>SUM(J$37:J40)</f>
        <v>165</v>
      </c>
      <c r="L40" s="4">
        <f t="shared" ref="L40:L41" si="4">IF(K40&gt;=M$11, IF(K39&lt;M$11, M$11-K39, 0),J40)</f>
        <v>0</v>
      </c>
      <c r="M40" s="4">
        <f>M12</f>
        <v>92</v>
      </c>
      <c r="N40" s="5">
        <f>SUM(M$37:M40)</f>
        <v>257</v>
      </c>
      <c r="O40" s="4">
        <f t="shared" si="0"/>
        <v>0</v>
      </c>
      <c r="P40" s="4">
        <f>M40-O40</f>
        <v>92</v>
      </c>
      <c r="Q40" s="5">
        <f>SUM(P$37:P40)</f>
        <v>257</v>
      </c>
      <c r="R40" s="4">
        <f t="shared" si="1"/>
        <v>0</v>
      </c>
      <c r="S40" s="4">
        <f>P40-R40</f>
        <v>92</v>
      </c>
      <c r="T40" s="5">
        <f>SUM(S$37:S40)</f>
        <v>257</v>
      </c>
      <c r="U40" s="4">
        <f t="shared" si="2"/>
        <v>0</v>
      </c>
      <c r="V40" s="4">
        <f>S40-U40</f>
        <v>92</v>
      </c>
      <c r="W40" s="5">
        <f>SUM(V$37:V40)</f>
        <v>257</v>
      </c>
      <c r="X40" s="4">
        <f t="shared" si="3"/>
        <v>0</v>
      </c>
      <c r="Y40" s="4">
        <f>V40-X40</f>
        <v>92</v>
      </c>
      <c r="Z40" s="38"/>
    </row>
    <row r="41" spans="1:27" ht="17" x14ac:dyDescent="0.2">
      <c r="A41" s="48"/>
      <c r="B41" s="47"/>
      <c r="E41" s="14" t="s">
        <v>80</v>
      </c>
      <c r="F41" s="4">
        <v>0</v>
      </c>
      <c r="G41" s="4">
        <v>0</v>
      </c>
      <c r="H41" s="5">
        <f>SUM(G$37:G41)</f>
        <v>85</v>
      </c>
      <c r="I41" s="4">
        <f>IF(H41&gt;=J$11, IF(H40&lt;J$11, J$11-H40, 0),G41)</f>
        <v>0</v>
      </c>
      <c r="J41" s="4">
        <v>0</v>
      </c>
      <c r="K41" s="5">
        <f>SUM(J$37:J41)</f>
        <v>165</v>
      </c>
      <c r="L41" s="4">
        <f t="shared" si="4"/>
        <v>0</v>
      </c>
      <c r="M41" s="4">
        <v>0</v>
      </c>
      <c r="N41" s="5">
        <f>SUM(M$37:M41)</f>
        <v>257</v>
      </c>
      <c r="O41" s="4">
        <f t="shared" si="0"/>
        <v>0</v>
      </c>
      <c r="P41" s="4">
        <f>P12</f>
        <v>43</v>
      </c>
      <c r="Q41" s="5">
        <f>SUM(P$37:P41)</f>
        <v>300</v>
      </c>
      <c r="R41" s="4">
        <f t="shared" si="1"/>
        <v>0</v>
      </c>
      <c r="S41" s="4">
        <f>P41-R41</f>
        <v>43</v>
      </c>
      <c r="T41" s="5">
        <f>SUM(S$37:S41)</f>
        <v>300</v>
      </c>
      <c r="U41" s="4">
        <f t="shared" si="2"/>
        <v>0</v>
      </c>
      <c r="V41" s="4">
        <f>S41-U41</f>
        <v>43</v>
      </c>
      <c r="W41" s="5">
        <f>SUM(V$37:V41)</f>
        <v>300</v>
      </c>
      <c r="X41" s="4">
        <f t="shared" si="3"/>
        <v>0</v>
      </c>
      <c r="Y41" s="4">
        <f>V41-X41</f>
        <v>43</v>
      </c>
      <c r="Z41" s="38"/>
    </row>
    <row r="42" spans="1:27" ht="17" x14ac:dyDescent="0.2">
      <c r="E42" s="14" t="s">
        <v>82</v>
      </c>
      <c r="AA42" t="s">
        <v>77</v>
      </c>
    </row>
    <row r="43" spans="1:27" ht="17" x14ac:dyDescent="0.2">
      <c r="A43" s="48" t="s">
        <v>191</v>
      </c>
      <c r="B43" s="47" t="s">
        <v>174</v>
      </c>
      <c r="E43" s="14" t="s">
        <v>195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196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197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ht="17" x14ac:dyDescent="0.2">
      <c r="A46" s="48"/>
      <c r="B46" s="47"/>
      <c r="E46" s="14" t="s">
        <v>198</v>
      </c>
      <c r="G46" s="4">
        <v>0</v>
      </c>
      <c r="J46" s="4">
        <f>IF(G41=0, 0, G99*I41/G41)</f>
        <v>0</v>
      </c>
      <c r="M46" s="4">
        <f>IF(J41=0, 0, J99*L41/J41)</f>
        <v>0</v>
      </c>
      <c r="P46" s="4">
        <f>IF(M41=0, 0, M99*O41/M41)</f>
        <v>0</v>
      </c>
      <c r="S46" s="4">
        <f>IF(P41=0, 0, P99*R41/P41)</f>
        <v>0</v>
      </c>
      <c r="V46" s="4">
        <f>IF(S41=0, 0, S99*U41/S41)</f>
        <v>0</v>
      </c>
      <c r="Y46" s="4">
        <f>IF(V41=0, 0, V99*X41/V41)</f>
        <v>0</v>
      </c>
      <c r="Z46" s="38"/>
    </row>
    <row r="47" spans="1:27" x14ac:dyDescent="0.2">
      <c r="A47" s="38" t="s">
        <v>192</v>
      </c>
      <c r="B47" s="28" t="s">
        <v>174</v>
      </c>
      <c r="E47" s="14"/>
      <c r="G47" s="4">
        <f>SUM(G43:G46)</f>
        <v>0</v>
      </c>
      <c r="J47" s="4">
        <f>SUM(J43:J46)</f>
        <v>0</v>
      </c>
      <c r="M47" s="4">
        <f>SUM(M43:M46)</f>
        <v>0</v>
      </c>
      <c r="P47" s="4">
        <f>SUM(P43:P46)</f>
        <v>0</v>
      </c>
      <c r="S47" s="4">
        <f>SUM(S43:S46)</f>
        <v>0</v>
      </c>
      <c r="V47" s="4">
        <f>SUM(V43:V46)</f>
        <v>0</v>
      </c>
      <c r="Y47" s="4">
        <f>SUM(Y43:Y46)</f>
        <v>0</v>
      </c>
      <c r="Z47" s="38"/>
    </row>
    <row r="48" spans="1:27" ht="17" x14ac:dyDescent="0.2">
      <c r="E48" s="14" t="s">
        <v>82</v>
      </c>
      <c r="AA48" t="s">
        <v>77</v>
      </c>
    </row>
    <row r="49" spans="1:26" ht="17" x14ac:dyDescent="0.2">
      <c r="A49" s="48" t="s">
        <v>263</v>
      </c>
      <c r="B49" s="47" t="s">
        <v>174</v>
      </c>
      <c r="D49" s="49" t="s">
        <v>251</v>
      </c>
      <c r="E49" s="14" t="s">
        <v>250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>MIN(P43,P$15*O38)</f>
        <v>0</v>
      </c>
      <c r="S49" s="4">
        <f>MIN(S43,S$15*R38)</f>
        <v>0</v>
      </c>
      <c r="V49" s="4">
        <f>MIN(V43,V$15*U38)</f>
        <v>0</v>
      </c>
      <c r="Y49" s="4">
        <f>MIN(Y43,Y$15*X38)</f>
        <v>0</v>
      </c>
      <c r="Z49" s="38"/>
    </row>
    <row r="50" spans="1:26" ht="17" x14ac:dyDescent="0.2">
      <c r="A50" s="48"/>
      <c r="B50" s="47"/>
      <c r="D50" s="49"/>
      <c r="E50" s="14" t="s">
        <v>252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 t="shared" ref="P50" si="5">MIN(P44,P$15*O39)</f>
        <v>0</v>
      </c>
      <c r="S50" s="4">
        <f t="shared" ref="S50" si="6">MIN(S44,S$15*R39)</f>
        <v>0</v>
      </c>
      <c r="V50" s="4">
        <f t="shared" ref="V50" si="7">MIN(V44,V$15*U39)</f>
        <v>0</v>
      </c>
      <c r="Y50" s="4">
        <f t="shared" ref="Y50" si="8">MIN(Y44,Y$15*X39)</f>
        <v>0</v>
      </c>
      <c r="Z50" s="38"/>
    </row>
    <row r="51" spans="1:26" ht="17" x14ac:dyDescent="0.2">
      <c r="A51" s="48"/>
      <c r="B51" s="47"/>
      <c r="D51" s="49"/>
      <c r="E51" s="14" t="s">
        <v>253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ht="17" x14ac:dyDescent="0.2">
      <c r="A52" s="48"/>
      <c r="B52" s="47"/>
      <c r="D52" s="49"/>
      <c r="E52" s="14" t="s">
        <v>254</v>
      </c>
      <c r="G52" s="4">
        <f>MIN(G46,G$15*F41)</f>
        <v>0</v>
      </c>
      <c r="J52" s="4">
        <f>MIN(J46,J$15*I41)</f>
        <v>0</v>
      </c>
      <c r="M52" s="4">
        <f>MIN(M46,M$15*L41)</f>
        <v>0</v>
      </c>
      <c r="P52" s="4">
        <f>MIN(P46,P$15*O41)</f>
        <v>0</v>
      </c>
      <c r="S52" s="4">
        <f>MIN(S46,S$15*R41)</f>
        <v>0</v>
      </c>
      <c r="V52" s="4">
        <f>MIN(V46,V$15*U41)</f>
        <v>0</v>
      </c>
      <c r="Y52" s="4">
        <f>MIN(Y46,Y$15*X41)</f>
        <v>0</v>
      </c>
      <c r="Z52" s="38"/>
    </row>
    <row r="53" spans="1:26" x14ac:dyDescent="0.2">
      <c r="A53" s="38" t="s">
        <v>264</v>
      </c>
      <c r="B53" s="28" t="s">
        <v>174</v>
      </c>
      <c r="E53" s="14"/>
      <c r="G53" s="4">
        <f>SUM(G49:G52)</f>
        <v>0</v>
      </c>
      <c r="J53" s="4">
        <f>SUM(J49:J52)</f>
        <v>0</v>
      </c>
      <c r="M53" s="4">
        <f>SUM(M49:M52)</f>
        <v>0</v>
      </c>
      <c r="P53" s="4">
        <f>SUM(P49:P52)</f>
        <v>0</v>
      </c>
      <c r="S53" s="4">
        <f>SUM(S49:S52)</f>
        <v>0</v>
      </c>
      <c r="V53" s="4">
        <f>SUM(V49:V52)</f>
        <v>0</v>
      </c>
      <c r="Y53" s="4">
        <f>SUM(Y49:Y52)</f>
        <v>0</v>
      </c>
      <c r="Z53" s="38"/>
    </row>
    <row r="54" spans="1:26" x14ac:dyDescent="0.2">
      <c r="A54" s="38" t="s">
        <v>266</v>
      </c>
      <c r="B54" s="28"/>
      <c r="E54" s="14"/>
      <c r="G54" s="4">
        <f>G47-G53</f>
        <v>0</v>
      </c>
      <c r="J54" s="4">
        <f>J47-J53</f>
        <v>0</v>
      </c>
      <c r="M54" s="4">
        <f>M47-M53</f>
        <v>0</v>
      </c>
      <c r="P54" s="4">
        <f>P47-P53</f>
        <v>0</v>
      </c>
      <c r="S54" s="4">
        <f>S47-S53</f>
        <v>0</v>
      </c>
      <c r="V54" s="4">
        <f>V47-V53</f>
        <v>0</v>
      </c>
      <c r="Y54" s="4">
        <f>Y47-Y53</f>
        <v>0</v>
      </c>
      <c r="Z54" s="38"/>
    </row>
    <row r="55" spans="1:26" x14ac:dyDescent="0.2">
      <c r="E55" s="14"/>
    </row>
    <row r="56" spans="1:26" ht="17" x14ac:dyDescent="0.2">
      <c r="A56" s="48" t="s">
        <v>193</v>
      </c>
      <c r="B56" s="47" t="s">
        <v>174</v>
      </c>
      <c r="E56" s="14" t="s">
        <v>199</v>
      </c>
      <c r="G56" s="4">
        <f>G43*$G$21</f>
        <v>0</v>
      </c>
      <c r="J56" s="4">
        <f>J43*$G$21</f>
        <v>0</v>
      </c>
      <c r="M56" s="4">
        <f>M43*$G$21</f>
        <v>0</v>
      </c>
      <c r="P56" s="4">
        <f>P43*$G$21</f>
        <v>0</v>
      </c>
      <c r="S56" s="4">
        <f>S43*$G$21</f>
        <v>0</v>
      </c>
      <c r="V56" s="4">
        <f>V43*$G$21</f>
        <v>0</v>
      </c>
      <c r="Y56" s="4">
        <f>Y43*$G$21</f>
        <v>0</v>
      </c>
      <c r="Z56" s="38"/>
    </row>
    <row r="57" spans="1:26" ht="17" x14ac:dyDescent="0.2">
      <c r="A57" s="48"/>
      <c r="B57" s="47"/>
      <c r="E57" s="14" t="s">
        <v>200</v>
      </c>
      <c r="G57" s="4">
        <f>G44*$G$21</f>
        <v>0</v>
      </c>
      <c r="J57" s="4">
        <f>J44*$G$21</f>
        <v>0</v>
      </c>
      <c r="M57" s="4">
        <f>M44*$G$21</f>
        <v>0</v>
      </c>
      <c r="P57" s="4">
        <f>P44*$G$21</f>
        <v>0</v>
      </c>
      <c r="S57" s="4">
        <f>S44*$G$21</f>
        <v>0</v>
      </c>
      <c r="V57" s="4">
        <f>V44*$G$21</f>
        <v>0</v>
      </c>
      <c r="Y57" s="4">
        <f>Y44*$G$21</f>
        <v>0</v>
      </c>
      <c r="Z57" s="38"/>
    </row>
    <row r="58" spans="1:26" ht="17" x14ac:dyDescent="0.2">
      <c r="A58" s="48"/>
      <c r="B58" s="47"/>
      <c r="E58" s="14" t="s">
        <v>201</v>
      </c>
      <c r="G58" s="4">
        <f>G45*$G$21</f>
        <v>0</v>
      </c>
      <c r="J58" s="4">
        <f>J45*$G$21</f>
        <v>0</v>
      </c>
      <c r="M58" s="4">
        <f>M45*$G$21</f>
        <v>0</v>
      </c>
      <c r="P58" s="4">
        <f>P45*$G$21</f>
        <v>0</v>
      </c>
      <c r="S58" s="4">
        <f>S45*$G$21</f>
        <v>0</v>
      </c>
      <c r="V58" s="4">
        <f>V45*$G$21</f>
        <v>0</v>
      </c>
      <c r="Y58" s="4">
        <f>Y45*$G$21</f>
        <v>0</v>
      </c>
      <c r="Z58" s="38"/>
    </row>
    <row r="59" spans="1:26" ht="17" x14ac:dyDescent="0.2">
      <c r="A59" s="48"/>
      <c r="B59" s="47"/>
      <c r="E59" s="14" t="s">
        <v>202</v>
      </c>
      <c r="G59" s="4">
        <f>G46*$G$21</f>
        <v>0</v>
      </c>
      <c r="J59" s="4">
        <f>J46*$G$21</f>
        <v>0</v>
      </c>
      <c r="M59" s="4">
        <f>M46*$G$21</f>
        <v>0</v>
      </c>
      <c r="P59" s="4">
        <f>P46*$G$21</f>
        <v>0</v>
      </c>
      <c r="S59" s="4">
        <f>S46*$G$21</f>
        <v>0</v>
      </c>
      <c r="V59" s="4">
        <f>V46*$G$21</f>
        <v>0</v>
      </c>
      <c r="Y59" s="4">
        <f>Y46*$G$21</f>
        <v>0</v>
      </c>
      <c r="Z59" s="38"/>
    </row>
    <row r="60" spans="1:26" x14ac:dyDescent="0.2">
      <c r="A60" s="38" t="s">
        <v>194</v>
      </c>
      <c r="B60" s="28" t="s">
        <v>174</v>
      </c>
      <c r="E60" s="14"/>
      <c r="G60" s="4">
        <f>SUM(G56:G59)</f>
        <v>0</v>
      </c>
      <c r="J60" s="4">
        <f>SUM(J56:J59)</f>
        <v>0</v>
      </c>
      <c r="M60" s="4">
        <f>SUM(M56:M59)</f>
        <v>0</v>
      </c>
      <c r="P60" s="4">
        <f>SUM(P56:P59)</f>
        <v>0</v>
      </c>
      <c r="S60" s="4">
        <f>SUM(S56:S59)</f>
        <v>0</v>
      </c>
      <c r="V60" s="4">
        <f>SUM(V56:V59)</f>
        <v>0</v>
      </c>
      <c r="Y60" s="4">
        <f>SUM(Y56:Y59)</f>
        <v>0</v>
      </c>
      <c r="Z60" s="38"/>
    </row>
    <row r="61" spans="1:26" x14ac:dyDescent="0.2">
      <c r="E61" s="14"/>
    </row>
    <row r="62" spans="1:26" ht="17" x14ac:dyDescent="0.2">
      <c r="A62" s="48" t="s">
        <v>178</v>
      </c>
      <c r="B62" s="47" t="s">
        <v>174</v>
      </c>
      <c r="E62" s="14" t="s">
        <v>90</v>
      </c>
      <c r="G62" s="4">
        <f>AD6</f>
        <v>0</v>
      </c>
      <c r="J62" s="4">
        <f>AD7</f>
        <v>0.01</v>
      </c>
      <c r="M62" s="4">
        <f>AD8</f>
        <v>0.05</v>
      </c>
      <c r="P62" s="4">
        <f>AD9</f>
        <v>0.12</v>
      </c>
      <c r="S62" s="4">
        <f>AD11</f>
        <v>0.2</v>
      </c>
      <c r="V62" s="4">
        <f>AD12</f>
        <v>0.36</v>
      </c>
      <c r="Y62" s="4">
        <f>AD14</f>
        <v>0.6</v>
      </c>
      <c r="Z62" s="38"/>
    </row>
    <row r="63" spans="1:26" ht="17" x14ac:dyDescent="0.2">
      <c r="A63" s="48"/>
      <c r="B63" s="47"/>
      <c r="E63" s="14" t="s">
        <v>91</v>
      </c>
      <c r="G63" s="4">
        <v>0</v>
      </c>
      <c r="J63" s="4">
        <v>0</v>
      </c>
      <c r="M63" s="4">
        <f>AD7</f>
        <v>0.01</v>
      </c>
      <c r="P63" s="4">
        <f>AD8</f>
        <v>0.05</v>
      </c>
      <c r="S63" s="4">
        <f>AD9</f>
        <v>0.12</v>
      </c>
      <c r="V63" s="4">
        <f>AD11</f>
        <v>0.2</v>
      </c>
      <c r="Y63" s="4">
        <f>AD12</f>
        <v>0.36</v>
      </c>
      <c r="Z63" s="38"/>
    </row>
    <row r="64" spans="1:26" ht="17" x14ac:dyDescent="0.2">
      <c r="A64" s="48"/>
      <c r="B64" s="47"/>
      <c r="E64" s="14" t="s">
        <v>92</v>
      </c>
      <c r="G64" s="4">
        <v>0</v>
      </c>
      <c r="J64" s="4">
        <v>0</v>
      </c>
      <c r="M64" s="4">
        <v>0</v>
      </c>
      <c r="P64" s="4">
        <f>AD7</f>
        <v>0.01</v>
      </c>
      <c r="S64" s="4">
        <f>AD8</f>
        <v>0.05</v>
      </c>
      <c r="V64" s="4">
        <f>AD9</f>
        <v>0.12</v>
      </c>
      <c r="Y64" s="4">
        <f>AD11</f>
        <v>0.2</v>
      </c>
      <c r="Z64" s="38"/>
    </row>
    <row r="65" spans="1:31" ht="17" x14ac:dyDescent="0.2">
      <c r="A65" s="48"/>
      <c r="B65" s="47"/>
      <c r="E65" s="14" t="s">
        <v>93</v>
      </c>
      <c r="G65" s="4">
        <v>0</v>
      </c>
      <c r="J65" s="4">
        <v>0</v>
      </c>
      <c r="M65" s="4">
        <v>0</v>
      </c>
      <c r="P65" s="4">
        <v>0</v>
      </c>
      <c r="S65" s="4">
        <f>AD7</f>
        <v>0.01</v>
      </c>
      <c r="V65" s="4">
        <f>AD8</f>
        <v>0.05</v>
      </c>
      <c r="Y65" s="4">
        <f>AD9</f>
        <v>0.12</v>
      </c>
      <c r="Z65" s="38"/>
    </row>
    <row r="66" spans="1:31" ht="17" x14ac:dyDescent="0.2">
      <c r="E66" s="14" t="s">
        <v>49</v>
      </c>
    </row>
    <row r="67" spans="1:31" x14ac:dyDescent="0.2">
      <c r="E67" s="14"/>
    </row>
    <row r="68" spans="1:31" ht="17" x14ac:dyDescent="0.2">
      <c r="A68" s="48" t="s">
        <v>238</v>
      </c>
      <c r="B68" s="47" t="s">
        <v>174</v>
      </c>
      <c r="E68" s="14" t="s">
        <v>109</v>
      </c>
      <c r="G68" s="4">
        <f>G38*G62</f>
        <v>0</v>
      </c>
      <c r="J68" s="4">
        <f>J38*J62</f>
        <v>0.85</v>
      </c>
      <c r="M68" s="4">
        <f>J68*(1- $F$30)+M38*M62</f>
        <v>5.0986655000000001</v>
      </c>
      <c r="P68" s="4">
        <f>M68*(1- $F$30)+P38*P62</f>
        <v>15.290660595165001</v>
      </c>
      <c r="S68" s="4">
        <f>P68*(1- $F$30)+S38*S62</f>
        <v>32.266654258030592</v>
      </c>
      <c r="V68" s="4">
        <f>S68*(1- $F$30)+V38*V62</f>
        <v>62.815995610845476</v>
      </c>
      <c r="Y68" s="4">
        <f>V68*(1- $F$30)+Y38*Y62</f>
        <v>113.71737449773644</v>
      </c>
      <c r="Z68" s="38"/>
    </row>
    <row r="69" spans="1:31" ht="17" x14ac:dyDescent="0.2">
      <c r="A69" s="48"/>
      <c r="B69" s="47"/>
      <c r="E69" s="14" t="s">
        <v>110</v>
      </c>
      <c r="J69" s="4">
        <f>J39*J63</f>
        <v>0</v>
      </c>
      <c r="M69" s="4">
        <f>J69*(1- $F$30)+M39*M63</f>
        <v>0.8</v>
      </c>
      <c r="P69" s="4">
        <f>M69*(1- $F$30)+P39*P63</f>
        <v>4.7987440000000001</v>
      </c>
      <c r="S69" s="4">
        <f>P69*(1- $F$30)+S39*S63</f>
        <v>14.39120997192</v>
      </c>
      <c r="V69" s="4">
        <f>S69*(1- $F$30)+V39*V63</f>
        <v>30.368615772264086</v>
      </c>
      <c r="Y69" s="4">
        <f>V69*(1- $F$30)+Y39*Y63</f>
        <v>59.120937045501634</v>
      </c>
      <c r="Z69" s="38"/>
    </row>
    <row r="70" spans="1:31" ht="17" x14ac:dyDescent="0.2">
      <c r="A70" s="48"/>
      <c r="B70" s="47"/>
      <c r="D70" s="49"/>
      <c r="E70" s="14" t="s">
        <v>111</v>
      </c>
      <c r="M70" s="4">
        <f>J70*(1- $F$30)+M40*M64</f>
        <v>0</v>
      </c>
      <c r="P70" s="4">
        <f>M70*(1- $F$30)+P40*P64</f>
        <v>0.92</v>
      </c>
      <c r="S70" s="4">
        <f>P70*(1- $F$30)+S40*S64</f>
        <v>5.5185556000000009</v>
      </c>
      <c r="V70" s="4">
        <f>S70*(1- $F$30)+V40*V64</f>
        <v>16.549891467708001</v>
      </c>
      <c r="Y70" s="4">
        <f>V70*(1- $F$30)+Y40*Y64</f>
        <v>34.923908138103698</v>
      </c>
      <c r="Z70" s="38"/>
    </row>
    <row r="71" spans="1:31" ht="17" x14ac:dyDescent="0.2">
      <c r="A71" s="48"/>
      <c r="B71" s="47"/>
      <c r="D71" s="49"/>
      <c r="E71" s="14" t="s">
        <v>112</v>
      </c>
      <c r="M71" s="4">
        <f>J71*(1- $F$30)+M41*M65</f>
        <v>0</v>
      </c>
      <c r="P71" s="4">
        <f>M71*(1- $F$30)+P41*P65</f>
        <v>0</v>
      </c>
      <c r="S71" s="4">
        <f>P71*(1- $F$30)+S41*S65</f>
        <v>0.43</v>
      </c>
      <c r="V71" s="4">
        <f>S71*(1- $F$30)+V41*V65</f>
        <v>2.5793249</v>
      </c>
      <c r="Y71" s="4">
        <f>V71*(1- $F$30)+Y41*Y65</f>
        <v>7.7352753599069999</v>
      </c>
      <c r="Z71" s="38"/>
    </row>
    <row r="72" spans="1:31" x14ac:dyDescent="0.2">
      <c r="D72" s="49"/>
      <c r="E72" s="14"/>
    </row>
    <row r="73" spans="1:31" ht="17" x14ac:dyDescent="0.2">
      <c r="A73" s="48" t="s">
        <v>235</v>
      </c>
      <c r="B73" s="47" t="s">
        <v>174</v>
      </c>
      <c r="E73" s="14" t="s">
        <v>127</v>
      </c>
      <c r="G73" s="4">
        <v>0</v>
      </c>
      <c r="J73" s="4">
        <f>INT(I$4-$AF$6 &gt; $D81)*MAX(G96-$G$22*G38-J43,0)</f>
        <v>0</v>
      </c>
      <c r="M73" s="4">
        <f>INT(L$4-$AF$6 &gt; $D81)*MAX(J96-$G$22*J38-M43,0)</f>
        <v>0</v>
      </c>
      <c r="P73" s="4">
        <f>INT(O$4-$AF$6 &gt; $D81)*MAX(M96-$G$22*M38-P43,0)</f>
        <v>0</v>
      </c>
      <c r="S73" s="4">
        <f>INT(R$4-$AF$6 &gt; $D81)*MAX(P96-$G$22*P38-S43,0)</f>
        <v>0</v>
      </c>
      <c r="V73" s="4">
        <f>INT(U$4-$AF$6 &gt; $D81)*MAX(S96-$G$22*S38-V43,0)</f>
        <v>0</v>
      </c>
      <c r="Y73" s="4">
        <f>INT(X$4-$AF$6 &gt; $D81)*MAX(V96-$G$22*V38-Y43,0)</f>
        <v>0</v>
      </c>
      <c r="Z73" s="38"/>
    </row>
    <row r="74" spans="1:31" ht="17" x14ac:dyDescent="0.2">
      <c r="A74" s="48"/>
      <c r="B74" s="47"/>
      <c r="E74" s="14" t="s">
        <v>128</v>
      </c>
      <c r="G74" s="4">
        <v>0</v>
      </c>
      <c r="J74" s="4">
        <f>INT(I$4-$AF$6 &gt; $D82)*MAX(G97-$G$22*G39-J44,0)</f>
        <v>0</v>
      </c>
      <c r="M74" s="4">
        <f>INT(L$4-$AF$6 &gt; $D82)*MAX(J97-$G$22*J39-M44,0)</f>
        <v>0</v>
      </c>
      <c r="P74" s="4">
        <f>INT(O$4-$AF$6 &gt; $D82)*MAX(M97-$G$22*M39-P44,0)</f>
        <v>0</v>
      </c>
      <c r="S74" s="4">
        <f>INT(R$4-$AF$6 &gt; $D82)*MAX(P97-$G$22*P39-S44,0)</f>
        <v>0</v>
      </c>
      <c r="V74" s="4">
        <f>INT(U$4-$AF$6 &gt; $D82)*MAX(S97-$G$22*S39-V44,0)</f>
        <v>0</v>
      </c>
      <c r="Y74" s="4">
        <f>INT(X$4-$AF$6 &gt; $D82)*MAX(V97-$G$22*V39-Y44,0)</f>
        <v>0</v>
      </c>
      <c r="Z74" s="38"/>
    </row>
    <row r="75" spans="1:31" ht="17" x14ac:dyDescent="0.2">
      <c r="A75" s="48"/>
      <c r="B75" s="47"/>
      <c r="D75" s="49" t="s">
        <v>152</v>
      </c>
      <c r="E75" s="14" t="s">
        <v>129</v>
      </c>
      <c r="G75" s="4">
        <v>0</v>
      </c>
      <c r="J75" s="4">
        <f>INT(I$4-$AF$6 &gt; $D83)*MAX(G98-$G$22*G40-J45,0)</f>
        <v>0</v>
      </c>
      <c r="M75" s="4">
        <f>INT(L$4-$AF$6 &gt; $D83)*MAX(J98-$G$22*J40-M45,0)</f>
        <v>0</v>
      </c>
      <c r="P75" s="4">
        <f>INT(O$4-$AF$6 &gt; $D83)*MAX(M98-$G$22*M40-P45,0)</f>
        <v>0</v>
      </c>
      <c r="S75" s="4">
        <f>INT(R$4-$AF$6 &gt; $D83)*MAX(P98-$G$22*P40-S45,0)</f>
        <v>0</v>
      </c>
      <c r="V75" s="4">
        <f>INT(U$4-$AF$6 &gt; $D83)*MAX(S98-$G$22*S40-V45,0)</f>
        <v>0</v>
      </c>
      <c r="Y75" s="4">
        <f>INT(X$4-$AF$6 &gt; $D83)*MAX(V98-$G$22*V40-Y45,0)</f>
        <v>0</v>
      </c>
      <c r="Z75" s="38"/>
    </row>
    <row r="76" spans="1:31" ht="17" x14ac:dyDescent="0.2">
      <c r="A76" s="48"/>
      <c r="B76" s="47"/>
      <c r="D76" s="49"/>
      <c r="E76" s="14" t="s">
        <v>130</v>
      </c>
      <c r="G76" s="4">
        <v>0</v>
      </c>
      <c r="J76" s="4">
        <f>INT(I$4-$AF$6 &gt; $D84)*MAX(G99-$G$22*G41-J46,0)</f>
        <v>0</v>
      </c>
      <c r="M76" s="4">
        <f>INT(L$4-$AF$6 &gt; $D84)*MAX(J99-$G$22*J41-M46,0)</f>
        <v>0</v>
      </c>
      <c r="P76" s="4">
        <f>INT(O$4-$AF$6 &gt; $D84)*MAX(M99-$G$22*M41-P46,0)</f>
        <v>0</v>
      </c>
      <c r="S76" s="4">
        <f>INT(R$4-$AF$6 &gt; $D84)*MAX(P99-$G$22*P41-S46,0)</f>
        <v>0</v>
      </c>
      <c r="V76" s="4">
        <f>INT(U$4-$AF$6 &gt; $D84)*MAX(S99-$G$22*S41-V46,0)</f>
        <v>0</v>
      </c>
      <c r="Y76" s="4">
        <f>INT(X$4-$AF$6 &gt; $D84)*MAX(V99-$G$22*V41-Y46,0)</f>
        <v>0</v>
      </c>
      <c r="Z76" s="38"/>
    </row>
    <row r="77" spans="1:31" ht="17" x14ac:dyDescent="0.2">
      <c r="A77" s="38" t="s">
        <v>236</v>
      </c>
      <c r="B77" s="28" t="s">
        <v>174</v>
      </c>
      <c r="D77" s="49"/>
      <c r="E77" s="14" t="s">
        <v>147</v>
      </c>
      <c r="G77" s="4">
        <v>0</v>
      </c>
      <c r="J77" s="4">
        <f>SUM(J73:J76)</f>
        <v>0</v>
      </c>
      <c r="M77" s="4">
        <f>SUM(M73:M76)</f>
        <v>0</v>
      </c>
      <c r="P77" s="4">
        <f>SUM(P73:P76)</f>
        <v>0</v>
      </c>
      <c r="S77" s="4">
        <f>SUM(S73:S76)</f>
        <v>0</v>
      </c>
      <c r="V77" s="4">
        <f>SUM(V73:V76)</f>
        <v>0</v>
      </c>
      <c r="Y77" s="4">
        <f>SUM(Y73:Y76)</f>
        <v>0</v>
      </c>
      <c r="Z77" s="38"/>
      <c r="AE77" t="s">
        <v>106</v>
      </c>
    </row>
    <row r="78" spans="1:31" x14ac:dyDescent="0.2">
      <c r="D78" s="49"/>
      <c r="E78" s="14"/>
      <c r="AC78" t="s">
        <v>85</v>
      </c>
      <c r="AE78" t="s">
        <v>107</v>
      </c>
    </row>
    <row r="79" spans="1:31" ht="17" customHeight="1" x14ac:dyDescent="0.2">
      <c r="A79" s="50" t="s">
        <v>237</v>
      </c>
      <c r="B79" s="47" t="s">
        <v>174</v>
      </c>
      <c r="E79" s="14" t="s">
        <v>88</v>
      </c>
      <c r="F79" s="4">
        <v>0</v>
      </c>
      <c r="I79" s="4">
        <v>0</v>
      </c>
      <c r="L79" s="4">
        <v>0</v>
      </c>
      <c r="O79" s="4">
        <v>0</v>
      </c>
      <c r="R79" s="4">
        <v>0</v>
      </c>
      <c r="U79" s="4">
        <v>0</v>
      </c>
      <c r="X79" s="4">
        <v>0</v>
      </c>
      <c r="Z79" s="39"/>
      <c r="AC79" t="s">
        <v>86</v>
      </c>
    </row>
    <row r="80" spans="1:31" ht="17" x14ac:dyDescent="0.2">
      <c r="A80" s="50"/>
      <c r="B80" s="47"/>
      <c r="E80" s="14" t="s">
        <v>148</v>
      </c>
      <c r="F80" s="4">
        <f>SUM(G$73:G73)</f>
        <v>0</v>
      </c>
      <c r="G80" s="4">
        <f>IF(F80&gt;=F$132, IF(F79&lt;F$132, F$132-F79, 0),G73)</f>
        <v>0</v>
      </c>
      <c r="I80" s="4">
        <f>SUM(J$73:J73)</f>
        <v>0</v>
      </c>
      <c r="J80" s="4">
        <f>IF(I80&gt;=I$132, IF(I79&lt;I$132, I$132-I79, 0),J73)</f>
        <v>0</v>
      </c>
      <c r="L80" s="4">
        <f>SUM(M$73:M73)</f>
        <v>0</v>
      </c>
      <c r="M80" s="4">
        <f>IF(L80&gt;=L$132, IF(L79&lt;L$132, L$132-L79, 0),M73)</f>
        <v>0</v>
      </c>
      <c r="O80" s="4">
        <f>SUM(P$73:P73)</f>
        <v>0</v>
      </c>
      <c r="P80" s="4">
        <f>IF(O80&gt;=O$132, IF(O79&lt;O$132, O$132-O79, 0),P73)</f>
        <v>0</v>
      </c>
      <c r="R80" s="4">
        <f>SUM(S$73:S73)</f>
        <v>0</v>
      </c>
      <c r="S80" s="4">
        <f>IF(R80&gt;=R$132, IF(R79&lt;R$132, R$132-R79, 0),S73)</f>
        <v>0</v>
      </c>
      <c r="U80" s="4">
        <f>SUM(V$73:V73)</f>
        <v>0</v>
      </c>
      <c r="V80" s="4">
        <f>IF(U80&gt;=U$132, IF(U79&lt;U$132, U$132-U79, 0),V73)</f>
        <v>0</v>
      </c>
      <c r="X80" s="4">
        <f>SUM(Y$73:Y73)</f>
        <v>0</v>
      </c>
      <c r="Y80" s="4">
        <f>IF(X80&gt;=X$132, IF(X79&lt;X$132, X$132-X79, 0),Y73)</f>
        <v>0</v>
      </c>
      <c r="Z80" s="39"/>
    </row>
    <row r="81" spans="1:26" ht="17" x14ac:dyDescent="0.2">
      <c r="A81" s="50"/>
      <c r="B81" s="47"/>
      <c r="D81" s="22">
        <v>0</v>
      </c>
      <c r="E81" s="14" t="s">
        <v>149</v>
      </c>
      <c r="F81" s="4">
        <f>SUM(G$73:G74)</f>
        <v>0</v>
      </c>
      <c r="G81" s="4">
        <f>IF(F81&gt;=F$132, IF(F80&lt;F$132, F$132-F80, 0),G74)</f>
        <v>0</v>
      </c>
      <c r="I81" s="4">
        <f>SUM(J$73:J74)</f>
        <v>0</v>
      </c>
      <c r="J81" s="4">
        <f>IF(I81&gt;=I$132, IF(I80&lt;I$132, I$132-I80, 0),J74)</f>
        <v>0</v>
      </c>
      <c r="L81" s="4">
        <f>SUM(M$73:M74)</f>
        <v>0</v>
      </c>
      <c r="M81" s="4">
        <f>IF(L81&gt;=L$132, IF(L80&lt;L$132, L$132-L80, 0),M74)</f>
        <v>0</v>
      </c>
      <c r="O81" s="4">
        <f>SUM(P$73:P74)</f>
        <v>0</v>
      </c>
      <c r="P81" s="4">
        <f>IF(O81&gt;=O$132, IF(O80&lt;O$132, O$132-O80, 0),P74)</f>
        <v>0</v>
      </c>
      <c r="R81" s="4">
        <f>SUM(S$73:S74)</f>
        <v>0</v>
      </c>
      <c r="S81" s="4">
        <f>IF(R81&gt;=R$132, IF(R80&lt;R$132, R$132-R80, 0),S74)</f>
        <v>0</v>
      </c>
      <c r="U81" s="4">
        <f>SUM(V$73:V74)</f>
        <v>0</v>
      </c>
      <c r="V81" s="4">
        <f>IF(U81&gt;=U$132, IF(U80&lt;U$132, U$132-U80, 0),V74)</f>
        <v>0</v>
      </c>
      <c r="X81" s="4">
        <f>SUM(Y$73:Y74)</f>
        <v>0</v>
      </c>
      <c r="Y81" s="4">
        <f>IF(X81&gt;=X$132, IF(X80&lt;X$132, X$132-X80, 0),Y74)</f>
        <v>0</v>
      </c>
      <c r="Z81" s="39"/>
    </row>
    <row r="82" spans="1:26" ht="17" x14ac:dyDescent="0.2">
      <c r="A82" s="50"/>
      <c r="B82" s="47"/>
      <c r="D82" s="22">
        <v>1</v>
      </c>
      <c r="E82" s="14" t="s">
        <v>150</v>
      </c>
      <c r="F82" s="4">
        <f>SUM(G$73:G75)</f>
        <v>0</v>
      </c>
      <c r="G82" s="4">
        <f>IF(F82&gt;=F$132, IF(F81&lt;F$132, F$132-F81, 0),G75)</f>
        <v>0</v>
      </c>
      <c r="I82" s="4">
        <f>SUM(J$73:J75)</f>
        <v>0</v>
      </c>
      <c r="J82" s="4">
        <f>IF(I82&gt;=I$132, IF(I81&lt;I$132, I$132-I81, 0),J75)</f>
        <v>0</v>
      </c>
      <c r="L82" s="4">
        <f>SUM(M$73:M75)</f>
        <v>0</v>
      </c>
      <c r="M82" s="4">
        <f>IF(L82&gt;=L$132, IF(L81&lt;L$132, L$132-L81, 0),M75)</f>
        <v>0</v>
      </c>
      <c r="O82" s="4">
        <f>SUM(P$73:P75)</f>
        <v>0</v>
      </c>
      <c r="P82" s="4">
        <f>IF(O82&gt;=O$132, IF(O81&lt;O$132, O$132-O81, 0),P75)</f>
        <v>0</v>
      </c>
      <c r="R82" s="4">
        <f>SUM(S$73:S75)</f>
        <v>0</v>
      </c>
      <c r="S82" s="4">
        <f>IF(R82&gt;=R$132, IF(R81&lt;R$132, R$132-R81, 0),S75)</f>
        <v>0</v>
      </c>
      <c r="U82" s="4">
        <f>SUM(V$73:V75)</f>
        <v>0</v>
      </c>
      <c r="V82" s="4">
        <f>IF(U82&gt;=U$132, IF(U81&lt;U$132, U$132-U81, 0),V75)</f>
        <v>0</v>
      </c>
      <c r="X82" s="4">
        <f>SUM(Y$73:Y75)</f>
        <v>0</v>
      </c>
      <c r="Y82" s="4">
        <f>IF(X82&gt;=X$132, IF(X81&lt;X$132, X$132-X81, 0),Y75)</f>
        <v>0</v>
      </c>
      <c r="Z82" s="39"/>
    </row>
    <row r="83" spans="1:26" ht="17" x14ac:dyDescent="0.2">
      <c r="A83" s="50"/>
      <c r="B83" s="47"/>
      <c r="D83" s="22">
        <v>2</v>
      </c>
      <c r="E83" s="14" t="s">
        <v>151</v>
      </c>
      <c r="F83" s="4">
        <f>SUM(G$73:G76)</f>
        <v>0</v>
      </c>
      <c r="G83" s="4">
        <f>IF(F83&gt;=F$132, IF(F82&lt;F$132, F$132-F82, 0),G76)</f>
        <v>0</v>
      </c>
      <c r="I83" s="4">
        <f>SUM(J$73:J76)</f>
        <v>0</v>
      </c>
      <c r="J83" s="4">
        <f>IF(I83&gt;=I$132, IF(I82&lt;I$132, I$132-I82, 0),J76)</f>
        <v>0</v>
      </c>
      <c r="L83" s="4">
        <f>SUM(M$73:M76)</f>
        <v>0</v>
      </c>
      <c r="M83" s="4">
        <f>IF(L83&gt;=L$132, IF(L82&lt;L$132, L$132-L82, 0),M76)</f>
        <v>0</v>
      </c>
      <c r="O83" s="4">
        <f>SUM(P$73:P76)</f>
        <v>0</v>
      </c>
      <c r="P83" s="4">
        <f>IF(O83&gt;=O$132, IF(O82&lt;O$132, O$132-O82, 0),P76)</f>
        <v>0</v>
      </c>
      <c r="R83" s="4">
        <f>SUM(S$73:S76)</f>
        <v>0</v>
      </c>
      <c r="S83" s="4">
        <f>IF(R83&gt;=R$132, IF(R82&lt;R$132, R$132-R82, 0),S76)</f>
        <v>0</v>
      </c>
      <c r="U83" s="4">
        <f>SUM(V$73:V76)</f>
        <v>0</v>
      </c>
      <c r="V83" s="4">
        <f>IF(U83&gt;=U$132, IF(U82&lt;U$132, U$132-U82, 0),V76)</f>
        <v>0</v>
      </c>
      <c r="X83" s="4">
        <f>SUM(Y$73:Y76)</f>
        <v>0</v>
      </c>
      <c r="Y83" s="4">
        <f>IF(X83&gt;=X$132, IF(X82&lt;X$132, X$132-X82, 0),Y76)</f>
        <v>0</v>
      </c>
      <c r="Z83" s="39"/>
    </row>
    <row r="84" spans="1:26" x14ac:dyDescent="0.2">
      <c r="D84" s="22">
        <v>3</v>
      </c>
      <c r="E84" s="14"/>
    </row>
    <row r="85" spans="1:26" x14ac:dyDescent="0.2">
      <c r="E85" s="14"/>
      <c r="I85" s="4" t="s">
        <v>136</v>
      </c>
      <c r="L85" s="4" t="s">
        <v>136</v>
      </c>
      <c r="O85" s="4" t="s">
        <v>136</v>
      </c>
      <c r="R85" s="4" t="s">
        <v>136</v>
      </c>
      <c r="U85" s="4" t="s">
        <v>136</v>
      </c>
      <c r="X85" s="4" t="s">
        <v>136</v>
      </c>
    </row>
    <row r="86" spans="1:26" ht="17" x14ac:dyDescent="0.2">
      <c r="A86" s="46" t="s">
        <v>181</v>
      </c>
      <c r="B86" s="47" t="s">
        <v>174</v>
      </c>
      <c r="E86" s="14" t="s">
        <v>131</v>
      </c>
      <c r="G86" s="4">
        <f>G62</f>
        <v>0</v>
      </c>
      <c r="I86" s="4">
        <f>IF(G96=0,1,MIN(MAX((G96/G68-$F$17)/($F$19-$F$17), 0), 1))</f>
        <v>1</v>
      </c>
      <c r="J86" s="4">
        <f>J62*I86</f>
        <v>0.01</v>
      </c>
      <c r="L86" s="4">
        <f>IF(J96=0,1,MIN(MAX((J96/J68-$F$17)/($F$19-$F$17), 0), 1))</f>
        <v>1</v>
      </c>
      <c r="M86" s="4">
        <f>M62*L86</f>
        <v>0.05</v>
      </c>
      <c r="O86" s="4">
        <f>IF(M96=0,1,MIN(MAX((M96/M68-$F$17)/($F$19-$F$17), 0), 1))</f>
        <v>1</v>
      </c>
      <c r="P86" s="4">
        <f>P62*O86</f>
        <v>0.12</v>
      </c>
      <c r="R86" s="4">
        <f>IF(P96=0,1,MIN(MAX((P96/P68-$F$17)/($F$19-$F$17), 0), 1))</f>
        <v>1</v>
      </c>
      <c r="S86" s="4">
        <f>S62*R86</f>
        <v>0.2</v>
      </c>
      <c r="U86" s="4">
        <f>IF(S96=0,1,MIN(MAX((S96/S68-$F$17)/($F$19-$F$17), 0), 1))</f>
        <v>1</v>
      </c>
      <c r="V86" s="4">
        <f>V62*U86</f>
        <v>0.36</v>
      </c>
      <c r="X86" s="4">
        <f>IF(V96=0,1,MIN(MAX((V96/V68-$F$17)/($F$19-$F$17), 0), 1))</f>
        <v>1</v>
      </c>
      <c r="Y86" s="4">
        <f>Y62*X86</f>
        <v>0.6</v>
      </c>
      <c r="Z86" s="37"/>
    </row>
    <row r="87" spans="1:26" ht="17" x14ac:dyDescent="0.2">
      <c r="A87" s="46"/>
      <c r="B87" s="47"/>
      <c r="E87" s="14" t="s">
        <v>132</v>
      </c>
      <c r="G87" s="4">
        <f>G63</f>
        <v>0</v>
      </c>
      <c r="I87" s="4">
        <f>IF(G97=0,1,MIN(MAX((G97/G69-$F$17)/($F$19-$F$17), 0), 1))</f>
        <v>1</v>
      </c>
      <c r="J87" s="4">
        <f>J63</f>
        <v>0</v>
      </c>
      <c r="L87" s="4">
        <f>IF(J97=0,1,MIN(MAX((J97/J69-$F$17)/($F$19-$F$17), 0), 1))</f>
        <v>1</v>
      </c>
      <c r="M87" s="4">
        <f>M63</f>
        <v>0.01</v>
      </c>
      <c r="O87" s="4">
        <f>IF(M97=0,1,MIN(MAX((M97/M69-$F$17)/($F$19-$F$17), 0), 1))</f>
        <v>1</v>
      </c>
      <c r="P87" s="4">
        <f>P63</f>
        <v>0.05</v>
      </c>
      <c r="R87" s="4">
        <f>IF(P97=0,1,MIN(MAX((P97/P69-$F$17)/($F$19-$F$17), 0), 1))</f>
        <v>1</v>
      </c>
      <c r="S87" s="4">
        <f>S63</f>
        <v>0.12</v>
      </c>
      <c r="U87" s="4">
        <f>IF(S97=0,1,MIN(MAX((S97/S69-$F$17)/($F$19-$F$17), 0), 1))</f>
        <v>1</v>
      </c>
      <c r="V87" s="4">
        <f>V63</f>
        <v>0.2</v>
      </c>
      <c r="X87" s="4">
        <f>IF(V97=0,1,MIN(MAX((V97/V69-$F$17)/($F$19-$F$17), 0), 1))</f>
        <v>1</v>
      </c>
      <c r="Y87" s="4">
        <f>Y63</f>
        <v>0.36</v>
      </c>
      <c r="Z87" s="37"/>
    </row>
    <row r="88" spans="1:26" ht="17" x14ac:dyDescent="0.2">
      <c r="A88" s="46"/>
      <c r="B88" s="47"/>
      <c r="E88" s="14" t="s">
        <v>133</v>
      </c>
      <c r="G88" s="4">
        <f>G64</f>
        <v>0</v>
      </c>
      <c r="I88" s="4">
        <f>IF(G98=0,1,MIN(MAX((G98/G70-$F$17)/($F$19-$F$17), 0), 1))</f>
        <v>1</v>
      </c>
      <c r="J88" s="4">
        <f>J64</f>
        <v>0</v>
      </c>
      <c r="L88" s="4">
        <f>IF(J98=0,1,MIN(MAX((J98/J70-$F$17)/($F$19-$F$17), 0), 1))</f>
        <v>1</v>
      </c>
      <c r="M88" s="4">
        <f>M64</f>
        <v>0</v>
      </c>
      <c r="O88" s="4">
        <f>IF(M98=0,1,MIN(MAX((M98/M70-$F$17)/($F$19-$F$17), 0), 1))</f>
        <v>1</v>
      </c>
      <c r="P88" s="4">
        <f>P64</f>
        <v>0.01</v>
      </c>
      <c r="R88" s="4">
        <f>IF(P98=0,1,MIN(MAX((P98/P70-$F$17)/($F$19-$F$17), 0), 1))</f>
        <v>1</v>
      </c>
      <c r="S88" s="4">
        <f>S64</f>
        <v>0.05</v>
      </c>
      <c r="U88" s="4">
        <f>IF(S98=0,1,MIN(MAX((S98/S70-$F$17)/($F$19-$F$17), 0), 1))</f>
        <v>1</v>
      </c>
      <c r="V88" s="4">
        <f>V64</f>
        <v>0.12</v>
      </c>
      <c r="X88" s="4">
        <f>IF(V98=0,1,MIN(MAX((V98/V70-$F$17)/($F$19-$F$17), 0), 1))</f>
        <v>1</v>
      </c>
      <c r="Y88" s="4">
        <f>Y64</f>
        <v>0.2</v>
      </c>
      <c r="Z88" s="37"/>
    </row>
    <row r="89" spans="1:26" ht="17" x14ac:dyDescent="0.2">
      <c r="A89" s="46"/>
      <c r="B89" s="47"/>
      <c r="E89" s="14" t="s">
        <v>134</v>
      </c>
      <c r="G89" s="4">
        <f>G65</f>
        <v>0</v>
      </c>
      <c r="I89" s="4">
        <f>IF(G99=0,1,MIN(MAX((G99/G71-$F$17)/($F$19-$F$17), 0), 1))</f>
        <v>1</v>
      </c>
      <c r="J89" s="4">
        <f>J65</f>
        <v>0</v>
      </c>
      <c r="L89" s="4">
        <f>IF(J99=0,1,MIN(MAX((J99/J71-$F$17)/($F$19-$F$17), 0), 1))</f>
        <v>1</v>
      </c>
      <c r="M89" s="4">
        <f>M65</f>
        <v>0</v>
      </c>
      <c r="O89" s="4">
        <f>IF(M99=0,1,MIN(MAX((M99/M71-$F$17)/($F$19-$F$17), 0), 1))</f>
        <v>1</v>
      </c>
      <c r="P89" s="4">
        <f>P65</f>
        <v>0</v>
      </c>
      <c r="R89" s="4">
        <f>IF(P99=0,1,MIN(MAX((P99/P71-$F$17)/($F$19-$F$17), 0), 1))</f>
        <v>1</v>
      </c>
      <c r="S89" s="4">
        <f>S65</f>
        <v>0.01</v>
      </c>
      <c r="U89" s="4">
        <f>IF(S99=0,1,MIN(MAX((S99/S71-$F$17)/($F$19-$F$17), 0), 1))</f>
        <v>1</v>
      </c>
      <c r="V89" s="4">
        <f>V65</f>
        <v>0.05</v>
      </c>
      <c r="X89" s="4">
        <f>IF(V99=0,1,MIN(MAX((V99/V71-$F$17)/($F$19-$F$17), 0), 1))</f>
        <v>1</v>
      </c>
      <c r="Y89" s="4">
        <f>Y65</f>
        <v>0.12</v>
      </c>
      <c r="Z89" s="37"/>
    </row>
    <row r="90" spans="1:26" x14ac:dyDescent="0.2">
      <c r="E90" s="14"/>
    </row>
    <row r="91" spans="1:26" ht="17" x14ac:dyDescent="0.2">
      <c r="A91" s="46" t="s">
        <v>204</v>
      </c>
      <c r="B91" s="47" t="s">
        <v>174</v>
      </c>
      <c r="E91" s="14" t="s">
        <v>205</v>
      </c>
      <c r="G91" s="4">
        <f>G57*G33</f>
        <v>0</v>
      </c>
      <c r="J91" s="4">
        <f>(G96-J80-J43)*$F$30</f>
        <v>0</v>
      </c>
      <c r="M91" s="4">
        <f>(J96-M80-M43)*$F$30</f>
        <v>1.3345E-3</v>
      </c>
      <c r="P91" s="4">
        <f>(M96-P80-P43)*$F$30</f>
        <v>8.0049048349999999E-3</v>
      </c>
      <c r="S91" s="4">
        <f>(P96-S80-S43)*$F$30</f>
        <v>2.4006337134409049E-2</v>
      </c>
      <c r="V91" s="4">
        <f>(S96-V80-V43)*$F$30</f>
        <v>5.0658647185108027E-2</v>
      </c>
      <c r="Y91" s="4">
        <f>(V96-Y80-Y43)*$F$30</f>
        <v>9.8621113109027395E-2</v>
      </c>
      <c r="Z91" s="37"/>
    </row>
    <row r="92" spans="1:26" ht="17" x14ac:dyDescent="0.2">
      <c r="A92" s="46"/>
      <c r="B92" s="47"/>
      <c r="E92" s="14" t="s">
        <v>206</v>
      </c>
      <c r="G92" s="4">
        <f>G58*G34</f>
        <v>0</v>
      </c>
      <c r="J92" s="4">
        <f>(G97-J81-J44)*$F$30</f>
        <v>0</v>
      </c>
      <c r="M92" s="4">
        <f>(J97-M81-M44)*$F$30</f>
        <v>0</v>
      </c>
      <c r="P92" s="4">
        <f>(M97-P81-P44)*$F$30</f>
        <v>1.2560000000000002E-3</v>
      </c>
      <c r="S92" s="4">
        <f>(P97-S81-S44)*$F$30</f>
        <v>7.5340280800000005E-3</v>
      </c>
      <c r="V92" s="4">
        <f>(S97-V81-V44)*$F$30</f>
        <v>2.2594199655914398E-2</v>
      </c>
      <c r="Y92" s="4">
        <f>(V97-Y81-Y44)*$F$30</f>
        <v>4.7678726762454618E-2</v>
      </c>
      <c r="Z92" s="37"/>
    </row>
    <row r="93" spans="1:26" ht="17" x14ac:dyDescent="0.2">
      <c r="A93" s="46"/>
      <c r="B93" s="47"/>
      <c r="E93" s="14" t="s">
        <v>207</v>
      </c>
      <c r="G93" s="4">
        <f>G59*G35</f>
        <v>0</v>
      </c>
      <c r="J93" s="4">
        <f>(G98-J82-J45)*$F$30</f>
        <v>0</v>
      </c>
      <c r="M93" s="4">
        <f>(J98-M82-M45)*$F$30</f>
        <v>0</v>
      </c>
      <c r="P93" s="4">
        <f>(M98-P82-P45)*$F$30</f>
        <v>0</v>
      </c>
      <c r="S93" s="4">
        <f>(P98-S82-S45)*$F$30</f>
        <v>1.4444E-3</v>
      </c>
      <c r="V93" s="4">
        <f>(S98-V82-V45)*$F$30</f>
        <v>8.664132292000002E-3</v>
      </c>
      <c r="Y93" s="4">
        <f>(V98-Y82-Y45)*$F$30</f>
        <v>2.5983329604301563E-2</v>
      </c>
      <c r="Z93" s="37"/>
    </row>
    <row r="94" spans="1:26" ht="17" x14ac:dyDescent="0.2">
      <c r="A94" s="46"/>
      <c r="B94" s="47"/>
      <c r="E94" s="14" t="s">
        <v>208</v>
      </c>
      <c r="G94" s="4">
        <f>G60*G36</f>
        <v>0</v>
      </c>
      <c r="J94" s="4">
        <f>(G99-J83-J46)*$F$30</f>
        <v>0</v>
      </c>
      <c r="M94" s="4">
        <f>(J99-M83-M46)*$F$30</f>
        <v>0</v>
      </c>
      <c r="P94" s="4">
        <f>(M99-P83-P46)*$F$30</f>
        <v>0</v>
      </c>
      <c r="S94" s="4">
        <f>(P99-S83-S46)*$F$30</f>
        <v>0</v>
      </c>
      <c r="V94" s="4">
        <f>(S99-V83-V46)*$F$30</f>
        <v>6.7509999999999998E-4</v>
      </c>
      <c r="Y94" s="4">
        <f>(V99-Y83-Y46)*$F$30</f>
        <v>4.049540093E-3</v>
      </c>
      <c r="Z94" s="37"/>
    </row>
    <row r="95" spans="1:26" x14ac:dyDescent="0.2">
      <c r="E95" s="14"/>
    </row>
    <row r="96" spans="1:26" ht="17" x14ac:dyDescent="0.2">
      <c r="A96" s="46" t="s">
        <v>209</v>
      </c>
      <c r="B96" s="47" t="s">
        <v>174</v>
      </c>
      <c r="E96" s="14" t="s">
        <v>70</v>
      </c>
      <c r="G96" s="4">
        <f>G62*G38</f>
        <v>0</v>
      </c>
      <c r="J96" s="4">
        <f>G96 - J80 - J91 - J43 + J38*J86</f>
        <v>0.85</v>
      </c>
      <c r="M96" s="4">
        <f>J96 - M80 - M91 - M43 + M38*M86</f>
        <v>5.0986655000000001</v>
      </c>
      <c r="P96" s="4">
        <f>M96 - P80 - P91 - P43 + P38*P86</f>
        <v>15.290660595164999</v>
      </c>
      <c r="S96" s="4">
        <f>P96 - S80 - S91 - S43 + S38*S86</f>
        <v>32.266654258030592</v>
      </c>
      <c r="V96" s="4">
        <f>S96 - V80 - V91 - V43 + V38*V86</f>
        <v>62.815995610845476</v>
      </c>
      <c r="Y96" s="4">
        <f>V96 - Y80 - Y91 - Y43 + Y38*Y86</f>
        <v>113.71737449773644</v>
      </c>
      <c r="Z96" s="37"/>
    </row>
    <row r="97" spans="1:26" ht="17" x14ac:dyDescent="0.2">
      <c r="A97" s="46"/>
      <c r="B97" s="47"/>
      <c r="E97" s="14" t="s">
        <v>71</v>
      </c>
      <c r="G97" s="4">
        <f>G63*G39</f>
        <v>0</v>
      </c>
      <c r="J97" s="4">
        <f>G97 - J81 - J92 - J44 + J39*J87</f>
        <v>0</v>
      </c>
      <c r="M97" s="4">
        <f>J97 - M81 - M92 - M44 + M39*M87</f>
        <v>0.8</v>
      </c>
      <c r="P97" s="4">
        <f>M97 - P81 - P92 - P44 + P39*P87</f>
        <v>4.7987440000000001</v>
      </c>
      <c r="S97" s="4">
        <f>P97 - S81 - S92 - S44 + S39*S87</f>
        <v>14.391209971919999</v>
      </c>
      <c r="V97" s="4">
        <f>S97 - V81 - V92 - V44 + V39*V87</f>
        <v>30.368615772264086</v>
      </c>
      <c r="Y97" s="4">
        <f>V97 - Y81 - Y92 - Y44 + Y39*Y87</f>
        <v>59.120937045501627</v>
      </c>
      <c r="Z97" s="37"/>
    </row>
    <row r="98" spans="1:26" ht="17" x14ac:dyDescent="0.2">
      <c r="A98" s="46"/>
      <c r="B98" s="47"/>
      <c r="E98" s="14" t="s">
        <v>72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0.92</v>
      </c>
      <c r="S98" s="4">
        <f>P98 - S82 - S93 - S45 + S40*S88</f>
        <v>5.5185556000000009</v>
      </c>
      <c r="V98" s="4">
        <f>S98 - V82 - V93 - V45 + V40*V88</f>
        <v>16.549891467708001</v>
      </c>
      <c r="Y98" s="4">
        <f>V98 - Y82 - Y93 - Y45 + Y40*Y88</f>
        <v>34.923908138103698</v>
      </c>
      <c r="Z98" s="37"/>
    </row>
    <row r="99" spans="1:26" ht="17" customHeight="1" x14ac:dyDescent="0.2">
      <c r="A99" s="46"/>
      <c r="B99" s="47"/>
      <c r="E99" s="14" t="s">
        <v>81</v>
      </c>
      <c r="G99" s="4">
        <f>G65*G41</f>
        <v>0</v>
      </c>
      <c r="J99" s="4">
        <f>G99 - J83 - J94 - J46 + J41*J89</f>
        <v>0</v>
      </c>
      <c r="M99" s="4">
        <f>J99 - M83 - M94 - M46 + M41*M89</f>
        <v>0</v>
      </c>
      <c r="P99" s="4">
        <f>M99 - P83 - P94 - P46 + P41*P89</f>
        <v>0</v>
      </c>
      <c r="S99" s="4">
        <f>P99 - S83 - S94 - S46 + S41*S89</f>
        <v>0.43</v>
      </c>
      <c r="V99" s="4">
        <f>S99 - V83 - V94 - V46 + V41*V89</f>
        <v>2.5793249</v>
      </c>
      <c r="Y99" s="4">
        <f>V99 - Y83 - Y94 - Y46 + Y41*Y89</f>
        <v>7.7352753599069999</v>
      </c>
      <c r="Z99" s="37"/>
    </row>
    <row r="100" spans="1:26" x14ac:dyDescent="0.2">
      <c r="D100" s="26"/>
      <c r="E100" s="14"/>
    </row>
    <row r="101" spans="1:26" ht="17" x14ac:dyDescent="0.2">
      <c r="A101" s="46" t="s">
        <v>210</v>
      </c>
      <c r="B101" s="47" t="s">
        <v>174</v>
      </c>
      <c r="D101" s="26"/>
      <c r="E101" s="14" t="s">
        <v>211</v>
      </c>
      <c r="G101" s="4">
        <f>G96*$G$21</f>
        <v>0</v>
      </c>
      <c r="J101" s="4">
        <f>J96*$G$21</f>
        <v>0.21249999999999999</v>
      </c>
      <c r="M101" s="4">
        <f>M96*$G$21</f>
        <v>1.274666375</v>
      </c>
      <c r="P101" s="4">
        <f>P96*$G$21</f>
        <v>3.8226651487912497</v>
      </c>
      <c r="S101" s="4">
        <f>S96*$G$21</f>
        <v>8.0666635645076479</v>
      </c>
      <c r="V101" s="4">
        <f>V96*$G$21</f>
        <v>15.703998902711369</v>
      </c>
      <c r="Y101" s="4">
        <f>Y96*$G$21</f>
        <v>28.429343624434111</v>
      </c>
      <c r="Z101" s="37"/>
    </row>
    <row r="102" spans="1:26" ht="17" x14ac:dyDescent="0.2">
      <c r="A102" s="46"/>
      <c r="B102" s="47"/>
      <c r="D102" s="26"/>
      <c r="E102" s="14" t="s">
        <v>212</v>
      </c>
      <c r="G102" s="4">
        <f t="shared" ref="G102:G104" si="9">G97*$G$21</f>
        <v>0</v>
      </c>
      <c r="J102" s="4">
        <f t="shared" ref="J102:J104" si="10">J97*$G$21</f>
        <v>0</v>
      </c>
      <c r="M102" s="4">
        <f t="shared" ref="M102:M104" si="11">M97*$G$21</f>
        <v>0.2</v>
      </c>
      <c r="P102" s="4">
        <f t="shared" ref="P102:P104" si="12">P97*$G$21</f>
        <v>1.199686</v>
      </c>
      <c r="S102" s="4">
        <f t="shared" ref="S102:S104" si="13">S97*$G$21</f>
        <v>3.5978024929799997</v>
      </c>
      <c r="V102" s="4">
        <f t="shared" ref="V102:V104" si="14">V97*$G$21</f>
        <v>7.5921539430660214</v>
      </c>
      <c r="Y102" s="4">
        <f t="shared" ref="Y102:Y104" si="15">Y97*$G$21</f>
        <v>14.780234261375407</v>
      </c>
      <c r="Z102" s="37"/>
    </row>
    <row r="103" spans="1:26" ht="17" x14ac:dyDescent="0.2">
      <c r="A103" s="46"/>
      <c r="B103" s="47"/>
      <c r="D103" s="26"/>
      <c r="E103" s="14" t="s">
        <v>213</v>
      </c>
      <c r="G103" s="4">
        <f>G98*$G$21</f>
        <v>0</v>
      </c>
      <c r="J103" s="4">
        <f>J98*$G$21</f>
        <v>0</v>
      </c>
      <c r="M103" s="4">
        <f>M98*$G$21</f>
        <v>0</v>
      </c>
      <c r="P103" s="4">
        <f>P98*$G$21</f>
        <v>0.23</v>
      </c>
      <c r="S103" s="4">
        <f>S98*$G$21</f>
        <v>1.3796389000000002</v>
      </c>
      <c r="V103" s="4">
        <f>V98*$G$21</f>
        <v>4.1374728669270002</v>
      </c>
      <c r="Y103" s="4">
        <f>Y98*$G$21</f>
        <v>8.7309770345259246</v>
      </c>
      <c r="Z103" s="37"/>
    </row>
    <row r="104" spans="1:26" ht="17" x14ac:dyDescent="0.2">
      <c r="A104" s="46"/>
      <c r="B104" s="47"/>
      <c r="D104" s="26"/>
      <c r="E104" s="14" t="s">
        <v>214</v>
      </c>
      <c r="G104" s="4">
        <f t="shared" si="9"/>
        <v>0</v>
      </c>
      <c r="J104" s="4">
        <f t="shared" si="10"/>
        <v>0</v>
      </c>
      <c r="M104" s="4">
        <f t="shared" si="11"/>
        <v>0</v>
      </c>
      <c r="P104" s="4">
        <f t="shared" si="12"/>
        <v>0</v>
      </c>
      <c r="S104" s="4">
        <f t="shared" si="13"/>
        <v>0.1075</v>
      </c>
      <c r="V104" s="4">
        <f t="shared" si="14"/>
        <v>0.64483122500000001</v>
      </c>
      <c r="Y104" s="4">
        <f t="shared" si="15"/>
        <v>1.93381883997675</v>
      </c>
      <c r="Z104" s="37"/>
    </row>
    <row r="105" spans="1:26" x14ac:dyDescent="0.2">
      <c r="A105" s="29"/>
      <c r="B105" s="35"/>
      <c r="D105" s="26"/>
      <c r="E105" s="14"/>
      <c r="Z105" s="29"/>
    </row>
    <row r="106" spans="1:26" x14ac:dyDescent="0.2">
      <c r="A106" s="29"/>
      <c r="B106" s="35"/>
      <c r="D106" s="26"/>
      <c r="E106" s="14"/>
      <c r="Z106" s="29"/>
    </row>
    <row r="107" spans="1:26" ht="17" x14ac:dyDescent="0.2">
      <c r="D107" s="26"/>
      <c r="E107" s="15" t="s">
        <v>140</v>
      </c>
      <c r="F107" s="8" t="s">
        <v>124</v>
      </c>
      <c r="G107" s="8"/>
    </row>
    <row r="108" spans="1:26" ht="17" x14ac:dyDescent="0.2">
      <c r="A108" s="38" t="s">
        <v>239</v>
      </c>
      <c r="B108" s="34" t="s">
        <v>182</v>
      </c>
      <c r="D108" s="26"/>
      <c r="E108" s="14" t="s">
        <v>90</v>
      </c>
      <c r="F108" s="4">
        <f>$F$29</f>
        <v>0.3</v>
      </c>
      <c r="G108" s="4">
        <f>$G$29</f>
        <v>0.92</v>
      </c>
      <c r="I108" s="4">
        <f>$F$29</f>
        <v>0.3</v>
      </c>
      <c r="J108" s="4">
        <f>$G$29</f>
        <v>0.92</v>
      </c>
      <c r="L108" s="4">
        <f>$F$29</f>
        <v>0.3</v>
      </c>
      <c r="M108" s="4">
        <f>$G$29</f>
        <v>0.92</v>
      </c>
      <c r="O108" s="4">
        <f>$F$29</f>
        <v>0.3</v>
      </c>
      <c r="P108" s="4">
        <f>$G$29</f>
        <v>0.92</v>
      </c>
      <c r="R108" s="4">
        <f>$F$29</f>
        <v>0.3</v>
      </c>
      <c r="S108" s="4">
        <f>$G$29</f>
        <v>0.92</v>
      </c>
      <c r="U108" s="4">
        <f>$F$29</f>
        <v>0.3</v>
      </c>
      <c r="V108" s="4">
        <f>$G$29</f>
        <v>0.92</v>
      </c>
      <c r="X108" s="4">
        <f>$F$29</f>
        <v>0.3</v>
      </c>
      <c r="Y108" s="4">
        <f>$G$29</f>
        <v>0.92</v>
      </c>
      <c r="Z108" s="38"/>
    </row>
    <row r="109" spans="1:26" ht="17" x14ac:dyDescent="0.2">
      <c r="A109" s="38" t="s">
        <v>240</v>
      </c>
      <c r="B109" s="28" t="s">
        <v>174</v>
      </c>
      <c r="E109" s="14" t="s">
        <v>141</v>
      </c>
      <c r="F109" s="4">
        <f>F7*$F$20</f>
        <v>1500000</v>
      </c>
      <c r="G109" s="4">
        <f>G7*$G$20</f>
        <v>25000000</v>
      </c>
      <c r="I109" s="4">
        <f>I7*$F$20</f>
        <v>1492500</v>
      </c>
      <c r="J109" s="4">
        <f>J7*$G$20</f>
        <v>24990000</v>
      </c>
      <c r="L109" s="4">
        <f>L7*$F$20</f>
        <v>1483200</v>
      </c>
      <c r="M109" s="4">
        <f>M7*$G$20</f>
        <v>24979000</v>
      </c>
      <c r="O109" s="4">
        <f>O7*$F$20</f>
        <v>1474500</v>
      </c>
      <c r="P109" s="4">
        <f>P7*$G$20</f>
        <v>24969600</v>
      </c>
      <c r="R109" s="4">
        <f>R7*$F$20</f>
        <v>1464000</v>
      </c>
      <c r="S109" s="4">
        <f>S7*$G$20</f>
        <v>24950400</v>
      </c>
      <c r="U109" s="4">
        <f>U7*$F$20</f>
        <v>1449000</v>
      </c>
      <c r="V109" s="4">
        <f>V7*$G$20</f>
        <v>24946500</v>
      </c>
      <c r="X109" s="4">
        <f>X7*$F$20</f>
        <v>1434300</v>
      </c>
      <c r="Y109" s="4">
        <f>Y7*$G$20</f>
        <v>24936000</v>
      </c>
      <c r="Z109" s="38"/>
    </row>
    <row r="110" spans="1:26" ht="17" x14ac:dyDescent="0.2">
      <c r="A110" s="38" t="s">
        <v>183</v>
      </c>
      <c r="B110" s="28" t="s">
        <v>174</v>
      </c>
      <c r="E110" s="14" t="s">
        <v>164</v>
      </c>
      <c r="F110" s="4">
        <v>1</v>
      </c>
      <c r="G110" s="4">
        <v>1</v>
      </c>
      <c r="I110" s="4">
        <f>IF(F112=0,0,MIN(MAX((F112/F109-$F$17)/($F$19-$F$17), 0), 1))</f>
        <v>1</v>
      </c>
      <c r="J110" s="4">
        <f>IF(G112=0,0,MIN(MAX((G112/G109-$G$17)/($F$19-$G$17), 0), 1))</f>
        <v>1</v>
      </c>
      <c r="L110" s="4">
        <f>IF(I112=0,0,MIN(MAX((I112/I109-$F$17)/($F$19-$F$17), 0), 1))</f>
        <v>1</v>
      </c>
      <c r="M110" s="4">
        <f>IF(J112=0,0,MIN(MAX((J112/J109-$G$17)/($F$19-$G$17), 0), 1))</f>
        <v>1</v>
      </c>
      <c r="O110" s="4">
        <f>IF(L112=0,0,MIN(MAX((L112/L109-$F$17)/($F$19-$F$17), 0), 1))</f>
        <v>1</v>
      </c>
      <c r="P110" s="4">
        <f>IF(M112=0,0,MIN(MAX((M112/M109-$G$17)/($F$19-$G$17), 0), 1))</f>
        <v>1</v>
      </c>
      <c r="R110" s="4">
        <f>IF(O112=0,0,MIN(MAX((O112/O109-$F$17)/($F$19-$F$17), 0), 1))</f>
        <v>1</v>
      </c>
      <c r="S110" s="4">
        <f>IF(P112=0,0,MIN(MAX((P112/P109-$G$17)/($F$19-$G$17), 0), 1))</f>
        <v>1</v>
      </c>
      <c r="U110" s="4">
        <f>IF(R112=0,0,MIN(MAX((R112/R109-$F$17)/($F$19-$F$17), 0), 1))</f>
        <v>1</v>
      </c>
      <c r="V110" s="4">
        <f>IF(S112=0,0,MIN(MAX((S112/S109-$G$17)/($F$19-$G$17), 0), 1))</f>
        <v>1</v>
      </c>
      <c r="X110" s="4">
        <f>IF(U112=0,0,MIN(MAX((U112/U109-$F$17)/($F$19-$F$17), 0), 1))</f>
        <v>0.96349966843506474</v>
      </c>
      <c r="Y110" s="4">
        <f>IF(V112=0,0,MIN(MAX((V112/V109-$G$17)/($F$19-$G$17), 0), 1))</f>
        <v>0.86560925711218095</v>
      </c>
      <c r="Z110" s="38" t="s">
        <v>300</v>
      </c>
    </row>
    <row r="111" spans="1:26" ht="17" x14ac:dyDescent="0.2">
      <c r="A111" s="38" t="s">
        <v>184</v>
      </c>
      <c r="B111" s="33" t="s">
        <v>163</v>
      </c>
      <c r="E111" s="14" t="s">
        <v>131</v>
      </c>
      <c r="F111" s="4">
        <f>F108</f>
        <v>0.3</v>
      </c>
      <c r="G111" s="4">
        <f>G108</f>
        <v>0.92</v>
      </c>
      <c r="I111" s="4">
        <f xml:space="preserve"> I108*I110</f>
        <v>0.3</v>
      </c>
      <c r="J111" s="4">
        <f>J108*J110</f>
        <v>0.92</v>
      </c>
      <c r="L111" s="4">
        <f xml:space="preserve"> L108*L110</f>
        <v>0.3</v>
      </c>
      <c r="M111" s="4">
        <f>M108*M110</f>
        <v>0.92</v>
      </c>
      <c r="O111" s="4">
        <f xml:space="preserve"> O108*O110</f>
        <v>0.3</v>
      </c>
      <c r="P111" s="4">
        <f>P108*P110</f>
        <v>0.92</v>
      </c>
      <c r="R111" s="4">
        <f xml:space="preserve"> R108*R110</f>
        <v>0.3</v>
      </c>
      <c r="S111" s="4">
        <f>S108*S110</f>
        <v>0.92</v>
      </c>
      <c r="U111" s="4">
        <f xml:space="preserve"> U108*U110</f>
        <v>0.3</v>
      </c>
      <c r="V111" s="4">
        <f>V108*V110</f>
        <v>0.92</v>
      </c>
      <c r="X111" s="4">
        <f xml:space="preserve"> X108*X110</f>
        <v>0.28904990053051943</v>
      </c>
      <c r="Y111" s="4">
        <f>Y108*Y110</f>
        <v>0.7963605165432065</v>
      </c>
      <c r="Z111" s="38"/>
    </row>
    <row r="112" spans="1:26" ht="17" x14ac:dyDescent="0.2">
      <c r="A112" s="38" t="s">
        <v>241</v>
      </c>
      <c r="B112" s="33" t="s">
        <v>163</v>
      </c>
      <c r="E112" s="14" t="s">
        <v>172</v>
      </c>
      <c r="F112" s="4">
        <f>F7*F20</f>
        <v>1500000</v>
      </c>
      <c r="G112" s="4">
        <f>G7*G20</f>
        <v>25000000</v>
      </c>
      <c r="I112" s="4">
        <f>F112 - F133 - F121 - F144+I111*I7</f>
        <v>1416820.2074666857</v>
      </c>
      <c r="J112" s="4">
        <f>G112 - G133 - G121 - G144 + J111*J7</f>
        <v>23271492.408783317</v>
      </c>
      <c r="L112" s="4">
        <f>I112 - I133 - I121 - I144+L111*L7</f>
        <v>1328540.482773518</v>
      </c>
      <c r="M112" s="4">
        <f>J112 - J133 - J121 - J144 + M111*M7</f>
        <v>21500316.163346589</v>
      </c>
      <c r="O112" s="4">
        <f>L112 - L133 - L121 - L144+O111*O7</f>
        <v>1229960.5227370157</v>
      </c>
      <c r="P112" s="4">
        <f>M112 - M133 - M121 - M144 + P111*P7</f>
        <v>19683424.583337996</v>
      </c>
      <c r="R112" s="4">
        <f>O112 - O133 - O121 - O144+R111*R7</f>
        <v>1102712.6301399493</v>
      </c>
      <c r="S112" s="4">
        <f>P112 - P133 - P121 - P144 + S111*S7</f>
        <v>17795064.508199312</v>
      </c>
      <c r="U112" s="4">
        <f>R112 - R133 - R121 - R144+U111*U7</f>
        <v>952878.26623738057</v>
      </c>
      <c r="V112" s="4">
        <f>S112 - S133 - S121 - S144 + V111*V7</f>
        <v>15735231.967631815</v>
      </c>
      <c r="X112" s="4">
        <f>U112 - U133 - U121 - U144+X111*X7</f>
        <v>902055.81293937785</v>
      </c>
      <c r="Y112" s="4">
        <f>V112 - V133 - V121 - V144 + Y111*Y7</f>
        <v>15603395.572368858</v>
      </c>
      <c r="Z112" s="38"/>
    </row>
    <row r="113" spans="1:26" ht="17" x14ac:dyDescent="0.2">
      <c r="A113" s="38" t="s">
        <v>244</v>
      </c>
      <c r="B113" s="33" t="s">
        <v>163</v>
      </c>
      <c r="E113" s="14" t="s">
        <v>142</v>
      </c>
      <c r="F113" s="4">
        <f>F112/F7</f>
        <v>150</v>
      </c>
      <c r="G113" s="4">
        <f>G112/G7</f>
        <v>100</v>
      </c>
      <c r="I113" s="4">
        <f>I112/I7</f>
        <v>142.39399070016941</v>
      </c>
      <c r="J113" s="4">
        <f>J112/J7</f>
        <v>93.12321892270235</v>
      </c>
      <c r="L113" s="4">
        <f>L112/L7</f>
        <v>134.35886759440919</v>
      </c>
      <c r="M113" s="4">
        <f>M112/M7</f>
        <v>86.073566449203682</v>
      </c>
      <c r="O113" s="4">
        <f>O112/O7</f>
        <v>125.12314575147667</v>
      </c>
      <c r="P113" s="4">
        <f>P112/P7</f>
        <v>78.82955507231992</v>
      </c>
      <c r="R113" s="4">
        <f>R112/R7</f>
        <v>112.98285144876529</v>
      </c>
      <c r="S113" s="4">
        <f>S112/S7</f>
        <v>71.321760405441637</v>
      </c>
      <c r="U113" s="4">
        <f>U112/U7</f>
        <v>98.641642467637737</v>
      </c>
      <c r="V113" s="4">
        <f>V112/V7</f>
        <v>63.075910318609083</v>
      </c>
      <c r="X113" s="4">
        <f>X112/X7</f>
        <v>94.337566716103098</v>
      </c>
      <c r="Y113" s="4">
        <f>Y112/Y7</f>
        <v>62.573771143603061</v>
      </c>
      <c r="Z113" s="38"/>
    </row>
    <row r="114" spans="1:26" ht="34" x14ac:dyDescent="0.2">
      <c r="A114" s="38" t="s">
        <v>282</v>
      </c>
      <c r="B114" s="28" t="s">
        <v>174</v>
      </c>
      <c r="E114" s="10" t="s">
        <v>75</v>
      </c>
      <c r="F114" s="4">
        <f>MAX(F113-$F22,0)</f>
        <v>100.4134425</v>
      </c>
      <c r="G114" s="4">
        <f>MAX(G113-$G22,0)</f>
        <v>62.199106999999998</v>
      </c>
      <c r="I114" s="4">
        <f>MAX(I113-$F22,0)</f>
        <v>92.807433200169413</v>
      </c>
      <c r="J114" s="4">
        <f>MAX(J113-$G22,0)</f>
        <v>55.322325922702348</v>
      </c>
      <c r="L114" s="4">
        <f>MAX(L113-$F22,0)</f>
        <v>84.772310094409193</v>
      </c>
      <c r="M114" s="4">
        <f>MAX(M113-$G22,0)</f>
        <v>48.27267344920368</v>
      </c>
      <c r="O114" s="4">
        <f>MAX(O113-$F22,0)</f>
        <v>75.536588251476672</v>
      </c>
      <c r="P114" s="4">
        <f>MAX(P113-$G22,0)</f>
        <v>41.028662072319918</v>
      </c>
      <c r="R114" s="4">
        <f>MAX(R113-$F22,0)</f>
        <v>63.39629394876529</v>
      </c>
      <c r="S114" s="4">
        <f>MAX(S113-$G22,0)</f>
        <v>33.520867405441635</v>
      </c>
      <c r="U114" s="4">
        <f>MAX(U113-$F22,0)</f>
        <v>49.05508496763774</v>
      </c>
      <c r="V114" s="4">
        <f>MAX(V113-$G22,0)</f>
        <v>25.275017318609081</v>
      </c>
      <c r="X114" s="4">
        <f>MAX(X113-$F22,0)</f>
        <v>44.7510092161031</v>
      </c>
      <c r="Y114" s="4">
        <f>MAX(Y113-$G22,0)</f>
        <v>24.772878143603059</v>
      </c>
      <c r="Z114" s="38"/>
    </row>
    <row r="115" spans="1:26" x14ac:dyDescent="0.2">
      <c r="E115" s="13"/>
    </row>
    <row r="116" spans="1:26" ht="17" x14ac:dyDescent="0.2">
      <c r="E116" s="11" t="s">
        <v>58</v>
      </c>
      <c r="F116" s="12"/>
      <c r="G116" s="12"/>
      <c r="I116" s="12"/>
      <c r="J116" s="12"/>
      <c r="L116" s="12"/>
      <c r="M116" s="12"/>
      <c r="O116" s="12"/>
      <c r="P116" s="12"/>
      <c r="R116" s="12"/>
      <c r="S116" s="12"/>
      <c r="U116" s="12"/>
      <c r="V116" s="12"/>
      <c r="X116" s="12"/>
      <c r="Y116" s="12"/>
    </row>
    <row r="117" spans="1:26" ht="17" x14ac:dyDescent="0.2">
      <c r="A117" s="38" t="s">
        <v>246</v>
      </c>
      <c r="B117" s="34" t="s">
        <v>182</v>
      </c>
      <c r="E117" s="10" t="s">
        <v>219</v>
      </c>
      <c r="F117" s="4">
        <f>F113*F7</f>
        <v>1500000</v>
      </c>
      <c r="G117" s="4">
        <f>G113*G7</f>
        <v>25000000</v>
      </c>
      <c r="I117" s="4">
        <f>I113*I7</f>
        <v>1416820.2074666857</v>
      </c>
      <c r="J117" s="4">
        <f>J113*J7</f>
        <v>23271492.408783317</v>
      </c>
      <c r="L117" s="4">
        <f>L113*L7</f>
        <v>1328540.4827735182</v>
      </c>
      <c r="M117" s="4">
        <f>M113*M7</f>
        <v>21500316.163346589</v>
      </c>
      <c r="O117" s="4">
        <f>O113*O7</f>
        <v>1229960.5227370157</v>
      </c>
      <c r="P117" s="4">
        <f>P113*P7</f>
        <v>19683424.583337996</v>
      </c>
      <c r="R117" s="4">
        <f>R113*R7</f>
        <v>1102712.6301399493</v>
      </c>
      <c r="S117" s="4">
        <f>S113*S7</f>
        <v>17795064.508199312</v>
      </c>
      <c r="U117" s="4">
        <f>U113*U7</f>
        <v>952878.26623738057</v>
      </c>
      <c r="V117" s="4">
        <f>V113*V7</f>
        <v>15735231.967631815</v>
      </c>
      <c r="X117" s="4">
        <f>X113*X7</f>
        <v>902055.81293937785</v>
      </c>
      <c r="Y117" s="4">
        <f>Y113*Y7</f>
        <v>15603395.572368858</v>
      </c>
      <c r="Z117" s="38"/>
    </row>
    <row r="118" spans="1:26" ht="17" x14ac:dyDescent="0.2">
      <c r="A118" s="38" t="s">
        <v>245</v>
      </c>
      <c r="B118" s="33" t="s">
        <v>163</v>
      </c>
      <c r="E118" s="10" t="s">
        <v>218</v>
      </c>
      <c r="G118" s="4">
        <f>SUM(G96:G99)</f>
        <v>0</v>
      </c>
      <c r="J118" s="4">
        <f>SUM(J96:J99)</f>
        <v>0.85</v>
      </c>
      <c r="M118" s="4">
        <f>SUM(M96:M99)</f>
        <v>5.8986654999999999</v>
      </c>
      <c r="P118" s="4">
        <f>SUM(P96:P99)</f>
        <v>21.009404595165002</v>
      </c>
      <c r="S118" s="4">
        <f>SUM(S96:S99)</f>
        <v>52.606419829950589</v>
      </c>
      <c r="V118" s="4">
        <f>SUM(V96:V99)</f>
        <v>112.31382775081757</v>
      </c>
      <c r="Y118" s="4">
        <f>SUM(Y96:Y99)</f>
        <v>215.49749504124878</v>
      </c>
      <c r="Z118" s="38"/>
    </row>
    <row r="119" spans="1:26" ht="17" x14ac:dyDescent="0.2">
      <c r="A119" s="38" t="s">
        <v>242</v>
      </c>
      <c r="B119" s="33" t="s">
        <v>163</v>
      </c>
      <c r="E119" s="10" t="s">
        <v>217</v>
      </c>
      <c r="F119" s="4">
        <f>F117+F118</f>
        <v>1500000</v>
      </c>
      <c r="G119" s="4">
        <f>G117+G118</f>
        <v>25000000</v>
      </c>
      <c r="I119" s="4">
        <f>I117+I118</f>
        <v>1416820.2074666857</v>
      </c>
      <c r="J119" s="4">
        <f>J117+J118</f>
        <v>23271493.258783318</v>
      </c>
      <c r="L119" s="4">
        <f>L117+L118</f>
        <v>1328540.4827735182</v>
      </c>
      <c r="M119" s="4">
        <f>M117+M118</f>
        <v>21500322.062012088</v>
      </c>
      <c r="O119" s="4">
        <f>O117+O118</f>
        <v>1229960.5227370157</v>
      </c>
      <c r="P119" s="4">
        <f>P117+P118</f>
        <v>19683445.592742592</v>
      </c>
      <c r="R119" s="4">
        <f>R117+R118</f>
        <v>1102712.6301399493</v>
      </c>
      <c r="S119" s="4">
        <f>S117+S118</f>
        <v>17795117.114619143</v>
      </c>
      <c r="U119" s="4">
        <f>U117+U118</f>
        <v>952878.26623738057</v>
      </c>
      <c r="V119" s="4">
        <f>V117+V118</f>
        <v>15735344.281459566</v>
      </c>
      <c r="X119" s="4">
        <f>X117+X118</f>
        <v>902055.81293937785</v>
      </c>
      <c r="Y119" s="4">
        <f>Y117+Y118</f>
        <v>15603611.069863901</v>
      </c>
      <c r="Z119" s="38"/>
    </row>
    <row r="120" spans="1:26" ht="17" x14ac:dyDescent="0.2">
      <c r="A120" s="38" t="s">
        <v>243</v>
      </c>
      <c r="B120" s="33" t="s">
        <v>163</v>
      </c>
      <c r="E120" s="10" t="s">
        <v>220</v>
      </c>
      <c r="F120" s="4">
        <f>F119*$F$21</f>
        <v>450000</v>
      </c>
      <c r="G120" s="4">
        <f>G119*$G$21</f>
        <v>6250000</v>
      </c>
      <c r="I120" s="4">
        <f>I119*$F$21</f>
        <v>425046.0622400057</v>
      </c>
      <c r="J120" s="4">
        <f>J119*$G$21</f>
        <v>5817873.3146958295</v>
      </c>
      <c r="L120" s="4">
        <f>L119*$F$21</f>
        <v>398562.14483205543</v>
      </c>
      <c r="M120" s="4">
        <f>M119*$G$21</f>
        <v>5375080.5155030219</v>
      </c>
      <c r="O120" s="4">
        <f>O119*$F$21</f>
        <v>368988.1568211047</v>
      </c>
      <c r="P120" s="4">
        <f>P119*$G$21</f>
        <v>4920861.398185648</v>
      </c>
      <c r="R120" s="4">
        <f>R119*$F$21</f>
        <v>330813.78904198477</v>
      </c>
      <c r="S120" s="4">
        <f>S119*$G$21</f>
        <v>4448779.2786547858</v>
      </c>
      <c r="U120" s="4">
        <f>U119*$F$21</f>
        <v>285863.47987121413</v>
      </c>
      <c r="V120" s="4">
        <f>V119*$G$21</f>
        <v>3933836.0703648916</v>
      </c>
      <c r="X120" s="4">
        <f>X119*$F$21</f>
        <v>270616.74388181337</v>
      </c>
      <c r="Y120" s="4">
        <f>Y119*$G$21</f>
        <v>3900902.7674659751</v>
      </c>
      <c r="Z120" s="38"/>
    </row>
    <row r="121" spans="1:26" ht="17" x14ac:dyDescent="0.2">
      <c r="A121" s="38" t="s">
        <v>281</v>
      </c>
      <c r="B121" s="28" t="s">
        <v>174</v>
      </c>
      <c r="E121" s="10" t="s">
        <v>269</v>
      </c>
      <c r="F121" s="4">
        <f>F9*F113</f>
        <v>7500</v>
      </c>
      <c r="G121" s="4">
        <f>G9*G113</f>
        <v>10000</v>
      </c>
      <c r="I121" s="4">
        <f>I9*I113</f>
        <v>8828.4274234105033</v>
      </c>
      <c r="J121" s="4">
        <f>J9*J113</f>
        <v>10243.554081497259</v>
      </c>
      <c r="L121" s="4">
        <f>L9*L113</f>
        <v>7792.8143204757334</v>
      </c>
      <c r="M121" s="4">
        <f>M9*M113</f>
        <v>8090.9152462251459</v>
      </c>
      <c r="O121" s="4">
        <f>O9*O113</f>
        <v>8758.6202026033661</v>
      </c>
      <c r="P121" s="4">
        <f>P9*P113</f>
        <v>15135.274573885425</v>
      </c>
      <c r="R121" s="4">
        <f>R9*R113</f>
        <v>11298.285144876529</v>
      </c>
      <c r="S121" s="4">
        <f>S9*S113</f>
        <v>2781.5486558122238</v>
      </c>
      <c r="U121" s="4">
        <f>U9*U113</f>
        <v>9666.8809618284977</v>
      </c>
      <c r="V121" s="4">
        <f>V9*V113</f>
        <v>6622.9705834539536</v>
      </c>
      <c r="X121" s="4">
        <f>X9*X113</f>
        <v>9245.0815381781031</v>
      </c>
      <c r="Y121" s="4">
        <f>Y9*Y113</f>
        <v>7258.5574526579549</v>
      </c>
      <c r="Z121" s="38"/>
    </row>
    <row r="122" spans="1:26" ht="17" x14ac:dyDescent="0.2">
      <c r="A122" s="38" t="s">
        <v>265</v>
      </c>
      <c r="B122" s="28" t="s">
        <v>174</v>
      </c>
      <c r="E122" s="10" t="s">
        <v>270</v>
      </c>
      <c r="F122" s="4">
        <f>MIN(F121,F9*F15)</f>
        <v>250</v>
      </c>
      <c r="G122" s="4">
        <f>MIN(G121,G9*G15)</f>
        <v>1000</v>
      </c>
      <c r="I122" s="4">
        <f>MIN(I121,I9*I15)</f>
        <v>316.2</v>
      </c>
      <c r="J122" s="4">
        <f>MIN(J121,J9*J15)</f>
        <v>1078</v>
      </c>
      <c r="L122" s="4">
        <f>MIN(L121,L9*L15)</f>
        <v>301.60000000000002</v>
      </c>
      <c r="M122" s="4">
        <f>MIN(M121,M9*M15)</f>
        <v>921.2</v>
      </c>
      <c r="O122" s="4">
        <f>MIN(O121,O9*O15)</f>
        <v>329</v>
      </c>
      <c r="P122" s="4">
        <f>MIN(P121,P9*P15)</f>
        <v>1900.8000000000002</v>
      </c>
      <c r="R122" s="4">
        <f>MIN(R121,R9*R15)</f>
        <v>520</v>
      </c>
      <c r="S122" s="4">
        <f>MIN(S121,S9*S15)</f>
        <v>393.9</v>
      </c>
      <c r="U122" s="4">
        <f>MIN(U121,U9*U15)</f>
        <v>401.79999999999995</v>
      </c>
      <c r="V122" s="4">
        <f>MIN(V121,V9*V15)</f>
        <v>1155</v>
      </c>
      <c r="X122" s="4">
        <f>MIN(X121,X9*X15)</f>
        <v>499.79999999999995</v>
      </c>
      <c r="Y122" s="4">
        <f>MIN(Y121,Y9*Y15)</f>
        <v>1044</v>
      </c>
      <c r="Z122" s="38"/>
    </row>
    <row r="123" spans="1:26" ht="17" x14ac:dyDescent="0.2">
      <c r="A123" s="38" t="s">
        <v>283</v>
      </c>
      <c r="B123" s="28" t="s">
        <v>174</v>
      </c>
      <c r="E123" s="10" t="s">
        <v>257</v>
      </c>
      <c r="F123" s="4">
        <f>(F121-F122)*$F$14</f>
        <v>5075</v>
      </c>
      <c r="G123" s="4">
        <f>(G121-G122+G54)*$F$14</f>
        <v>6300</v>
      </c>
      <c r="I123" s="4">
        <f>(I121-I122)*$F$14</f>
        <v>5958.5591963873512</v>
      </c>
      <c r="J123" s="4">
        <f>(J121-J122+J54)*$F$14</f>
        <v>6415.8878570480811</v>
      </c>
      <c r="L123" s="4">
        <f>(L121-L122)*$F$14</f>
        <v>5243.8500243330127</v>
      </c>
      <c r="M123" s="4">
        <f>(M121-M122+M54)*$F$14</f>
        <v>5018.8006723576018</v>
      </c>
      <c r="O123" s="4">
        <f>(O121-O122)*$F$14</f>
        <v>5900.7341418223559</v>
      </c>
      <c r="P123" s="4">
        <f>(P121-P122+P54)*$F$14</f>
        <v>9264.1322017197963</v>
      </c>
      <c r="R123" s="4">
        <f>(R121-R122)*$F$14</f>
        <v>7544.7996014135697</v>
      </c>
      <c r="S123" s="4">
        <f>(S121-S122+S54)*$F$14</f>
        <v>1671.3540590685566</v>
      </c>
      <c r="U123" s="4">
        <f>(U121-U122)*$F$14</f>
        <v>6485.5566732799489</v>
      </c>
      <c r="V123" s="4">
        <f>(V121-V122+V54)*$F$14</f>
        <v>3827.5794084177674</v>
      </c>
      <c r="X123" s="4">
        <f>(X121-X122)*$F$14</f>
        <v>6121.6970767246721</v>
      </c>
      <c r="Y123" s="4">
        <f>(Y121-Y122+Y54)*$F$14</f>
        <v>4350.1902168605684</v>
      </c>
      <c r="Z123" s="38"/>
    </row>
    <row r="124" spans="1:26" ht="17" x14ac:dyDescent="0.2">
      <c r="A124" s="38" t="s">
        <v>258</v>
      </c>
      <c r="B124" s="33" t="s">
        <v>163</v>
      </c>
      <c r="E124" s="14" t="s">
        <v>255</v>
      </c>
      <c r="F124" s="4">
        <f>MIN(F123+G123, F33)</f>
        <v>11375</v>
      </c>
      <c r="I124" s="4">
        <f>MIN(I123+J123, I33)</f>
        <v>12374.447053435433</v>
      </c>
      <c r="L124" s="4">
        <f>MIN(L123+M123, L33)</f>
        <v>10262.650696690614</v>
      </c>
      <c r="O124" s="4">
        <f>MIN(O123+P123, O33)</f>
        <v>15164.866343542151</v>
      </c>
      <c r="R124" s="4">
        <f>MIN(R123+S123, R33)</f>
        <v>9216.1536604821267</v>
      </c>
      <c r="U124" s="4">
        <f>MIN(U123+V123, U33)</f>
        <v>10313.136081697716</v>
      </c>
      <c r="X124" s="4">
        <f>MIN(X123+Y123, X33)</f>
        <v>10471.887293585241</v>
      </c>
      <c r="Z124" s="38"/>
    </row>
    <row r="125" spans="1:26" ht="17" x14ac:dyDescent="0.2">
      <c r="A125" s="38" t="s">
        <v>259</v>
      </c>
      <c r="B125" s="28" t="s">
        <v>174</v>
      </c>
      <c r="E125" s="14" t="s">
        <v>271</v>
      </c>
      <c r="F125" s="4">
        <f>F123/(F123+G123)</f>
        <v>0.44615384615384618</v>
      </c>
      <c r="G125" s="4">
        <f>G123/(F123+G123)</f>
        <v>0.55384615384615388</v>
      </c>
      <c r="I125" s="4">
        <f>I123/(I123+J123)</f>
        <v>0.48152124863899409</v>
      </c>
      <c r="J125" s="4">
        <f>J123/(I123+J123)</f>
        <v>0.51847875136100585</v>
      </c>
      <c r="L125" s="4">
        <f>L123/(L123+M123)</f>
        <v>0.51096448464566679</v>
      </c>
      <c r="M125" s="4">
        <f>M123/(L123+M123)</f>
        <v>0.48903551535433326</v>
      </c>
      <c r="O125" s="4">
        <f>O123/(O123+P123)</f>
        <v>0.38910558181972643</v>
      </c>
      <c r="P125" s="4">
        <f>P123/(O123+P123)</f>
        <v>0.61089441818027368</v>
      </c>
      <c r="R125" s="4">
        <f>R123/(R123+S123)</f>
        <v>0.81864950166411143</v>
      </c>
      <c r="S125" s="4">
        <f>S123/(R123+S123)</f>
        <v>0.18135049833588848</v>
      </c>
      <c r="U125" s="4">
        <f>U123/(U123+V123)</f>
        <v>0.62886367656775044</v>
      </c>
      <c r="V125" s="4">
        <f>V123/(U123+V123)</f>
        <v>0.37113632343224967</v>
      </c>
      <c r="X125" s="4">
        <f>X123/(X123+Y123)</f>
        <v>0.58458393459549907</v>
      </c>
      <c r="Y125" s="4">
        <f>Y123/(X123+Y123)</f>
        <v>0.41541606540450088</v>
      </c>
      <c r="Z125" s="38"/>
    </row>
    <row r="126" spans="1:26" ht="34" x14ac:dyDescent="0.2">
      <c r="A126" s="38" t="s">
        <v>185</v>
      </c>
      <c r="B126" s="28" t="s">
        <v>174</v>
      </c>
      <c r="E126" s="10" t="s">
        <v>121</v>
      </c>
      <c r="F126" s="4">
        <f>MAX(F13-F27, 0)*F114</f>
        <v>497046.54037499998</v>
      </c>
      <c r="G126" s="4">
        <f>MAX(G13-G27, 0)*G114</f>
        <v>12433601.4893</v>
      </c>
      <c r="I126" s="4">
        <f>MAX(I13-I27, 0)*I114</f>
        <v>453642.73348242807</v>
      </c>
      <c r="J126" s="4">
        <f>MAX(J13-J27, 0)*J114</f>
        <v>11052847.496096702</v>
      </c>
      <c r="L126" s="4">
        <f>MAX(L13-L27, 0)*L114</f>
        <v>367064.10270879179</v>
      </c>
      <c r="M126" s="4">
        <f>MAX(M13-M27, 0)*M114</f>
        <v>9639859.7971121781</v>
      </c>
      <c r="O126" s="4">
        <f>MAX(O13-O27, 0)*O114</f>
        <v>284017.57182555227</v>
      </c>
      <c r="P126" s="4">
        <f>MAX(P13-P27, 0)*P114</f>
        <v>8185382.1980761131</v>
      </c>
      <c r="R126" s="4">
        <f>MAX(R13-R27, 0)*R114</f>
        <v>200332.2888780983</v>
      </c>
      <c r="S126" s="4">
        <f>MAX(S13-S27, 0)*S114</f>
        <v>6719760.6844318574</v>
      </c>
      <c r="U126" s="4">
        <f>MAX(U13-U27, 0)*U114</f>
        <v>115868.11069356035</v>
      </c>
      <c r="V126" s="4">
        <f>MAX(V13-V27, 0)*V114</f>
        <v>5051464.9612972112</v>
      </c>
      <c r="X126" s="4">
        <f>MAX(X13-X27, 0)*X114</f>
        <v>101316.28486525742</v>
      </c>
      <c r="Y126" s="4">
        <f>MAX(Y13-Y27, 0)*Y114</f>
        <v>4948233.7719158493</v>
      </c>
      <c r="Z126" s="38"/>
    </row>
    <row r="128" spans="1:26" ht="17" x14ac:dyDescent="0.2">
      <c r="E128" s="15" t="s">
        <v>73</v>
      </c>
      <c r="F128" s="8"/>
      <c r="G128" s="8"/>
      <c r="I128" s="8"/>
      <c r="J128" s="8"/>
      <c r="L128" s="8"/>
      <c r="M128" s="8"/>
      <c r="O128" s="8"/>
      <c r="P128" s="8"/>
      <c r="R128" s="8"/>
      <c r="S128" s="8"/>
      <c r="U128" s="8"/>
      <c r="V128" s="8"/>
      <c r="X128" s="8"/>
      <c r="Y128" s="8"/>
    </row>
    <row r="129" spans="1:29" ht="17" x14ac:dyDescent="0.2">
      <c r="A129" s="38" t="s">
        <v>260</v>
      </c>
      <c r="B129" s="28" t="s">
        <v>174</v>
      </c>
      <c r="E129" s="14" t="s">
        <v>262</v>
      </c>
      <c r="F129" s="4">
        <f>MAX(F33-F124,0)</f>
        <v>1988625</v>
      </c>
      <c r="I129" s="4">
        <f>MAX(I33-I124,0)</f>
        <v>2037625.5529465645</v>
      </c>
      <c r="L129" s="4">
        <f>MAX(L33-L124,0)</f>
        <v>2099737.3493033093</v>
      </c>
      <c r="O129" s="4">
        <f>MAX(O33-O124,0)</f>
        <v>2194835.133656458</v>
      </c>
      <c r="R129" s="4">
        <f>MAX(R33-R124,0)</f>
        <v>2990783.8463395177</v>
      </c>
      <c r="U129" s="4">
        <f>MAX(U33-U124,0)</f>
        <v>24989686.863918301</v>
      </c>
      <c r="X129" s="4">
        <f>MAX(X33-X124,0)</f>
        <v>2509528.1127064149</v>
      </c>
      <c r="Z129" s="38"/>
    </row>
    <row r="130" spans="1:29" ht="17" x14ac:dyDescent="0.2">
      <c r="A130" s="38" t="s">
        <v>261</v>
      </c>
      <c r="B130" s="28" t="s">
        <v>174</v>
      </c>
      <c r="E130" s="10" t="s">
        <v>165</v>
      </c>
      <c r="F130" s="4">
        <f>MIN(F140,F129)</f>
        <v>1988625</v>
      </c>
      <c r="I130" s="4">
        <f>MIN(I140,I129)</f>
        <v>2037625.5529465645</v>
      </c>
      <c r="L130" s="4">
        <f>MIN(L140,L129)</f>
        <v>2099737.3493033093</v>
      </c>
      <c r="O130" s="4">
        <f>MIN(O140,O129)</f>
        <v>2194835.133656458</v>
      </c>
      <c r="R130" s="4">
        <f>MIN(R140,R129)</f>
        <v>2402116.7562237582</v>
      </c>
      <c r="U130" s="4">
        <f>MIN(U140,U129)</f>
        <v>342075.56862017012</v>
      </c>
      <c r="X130" s="4">
        <f>MIN(X140,X129)</f>
        <v>236958.69160889552</v>
      </c>
      <c r="Z130" s="38"/>
    </row>
    <row r="131" spans="1:29" ht="17" x14ac:dyDescent="0.2">
      <c r="A131" s="38" t="s">
        <v>272</v>
      </c>
      <c r="B131" s="28" t="s">
        <v>174</v>
      </c>
      <c r="E131" s="10" t="s">
        <v>123</v>
      </c>
      <c r="F131" s="4">
        <f>F129-F130</f>
        <v>0</v>
      </c>
      <c r="I131" s="4">
        <f>I129-I130</f>
        <v>0</v>
      </c>
      <c r="L131" s="4">
        <f>L129-L130</f>
        <v>0</v>
      </c>
      <c r="O131" s="4">
        <f>O129-O130</f>
        <v>0</v>
      </c>
      <c r="R131" s="4">
        <f>R129-R130</f>
        <v>588667.09011575952</v>
      </c>
      <c r="U131" s="4">
        <f>U129-U130</f>
        <v>24647611.295298129</v>
      </c>
      <c r="X131" s="4">
        <f>X129-X130</f>
        <v>2272569.4210975193</v>
      </c>
      <c r="Z131" s="38"/>
    </row>
    <row r="132" spans="1:29" ht="17" x14ac:dyDescent="0.2">
      <c r="A132" s="38" t="s">
        <v>216</v>
      </c>
      <c r="B132" s="28" t="s">
        <v>174</v>
      </c>
      <c r="E132" s="10" t="s">
        <v>146</v>
      </c>
      <c r="F132" s="4">
        <f>MIN(F131,G77)</f>
        <v>0</v>
      </c>
      <c r="I132" s="4">
        <f>MIN(I131,J77)</f>
        <v>0</v>
      </c>
      <c r="L132" s="4">
        <f>MIN(L131,M77)</f>
        <v>0</v>
      </c>
      <c r="O132" s="4">
        <f>MIN(O131,P77)</f>
        <v>0</v>
      </c>
      <c r="R132" s="4">
        <f>MIN(R131,S77)</f>
        <v>0</v>
      </c>
      <c r="U132" s="4">
        <f>MIN(U131,V77)</f>
        <v>0</v>
      </c>
      <c r="X132" s="4">
        <f>MIN(X131,Y77)</f>
        <v>0</v>
      </c>
      <c r="Z132" s="38"/>
    </row>
    <row r="133" spans="1:29" ht="17" x14ac:dyDescent="0.2">
      <c r="A133" s="38" t="s">
        <v>268</v>
      </c>
      <c r="B133" s="28" t="s">
        <v>174</v>
      </c>
      <c r="E133" s="10" t="s">
        <v>120</v>
      </c>
      <c r="F133" s="4">
        <f>F141*F130</f>
        <v>76441.580815194291</v>
      </c>
      <c r="G133" s="4">
        <f>G141*F130</f>
        <v>1912183.4191848056</v>
      </c>
      <c r="I133" s="4">
        <f>I141*I130</f>
        <v>80333.273414349693</v>
      </c>
      <c r="J133" s="4">
        <f>J141*I130</f>
        <v>1957292.2795322149</v>
      </c>
      <c r="L133" s="4">
        <f>L141*L130</f>
        <v>91806.708408756895</v>
      </c>
      <c r="M133" s="4">
        <f>M141*L130</f>
        <v>2007930.6408945527</v>
      </c>
      <c r="O133" s="4">
        <f>O141*O130</f>
        <v>119687.89540326738</v>
      </c>
      <c r="P133" s="4">
        <f>P141*O130</f>
        <v>2075147.2382531904</v>
      </c>
      <c r="R133" s="4">
        <f>R141*R130</f>
        <v>139940.26445123838</v>
      </c>
      <c r="S133" s="4">
        <f>S141*R130</f>
        <v>2262176.4917725199</v>
      </c>
      <c r="U133" s="4">
        <f>U141*U130</f>
        <v>42505.359023831879</v>
      </c>
      <c r="V133" s="4">
        <f>V141*U130</f>
        <v>299570.20959633822</v>
      </c>
      <c r="X133" s="4">
        <f>X141*X130</f>
        <v>27081.188280169557</v>
      </c>
      <c r="Y133" s="4">
        <f>Y141*X130</f>
        <v>209877.50332872596</v>
      </c>
      <c r="Z133" s="38"/>
    </row>
    <row r="134" spans="1:29" ht="17" x14ac:dyDescent="0.2">
      <c r="A134" s="38" t="s">
        <v>273</v>
      </c>
      <c r="B134" s="33" t="s">
        <v>163</v>
      </c>
      <c r="E134" s="10" t="s">
        <v>165</v>
      </c>
      <c r="F134" s="4">
        <f>F133</f>
        <v>76441.580815194291</v>
      </c>
      <c r="G134" s="4">
        <f>G133+F132</f>
        <v>1912183.4191848056</v>
      </c>
      <c r="I134" s="4">
        <f>I133</f>
        <v>80333.273414349693</v>
      </c>
      <c r="J134" s="4">
        <f>J133+I132</f>
        <v>1957292.2795322149</v>
      </c>
      <c r="L134" s="4">
        <f>L133</f>
        <v>91806.708408756895</v>
      </c>
      <c r="M134" s="4">
        <f>M133+L132</f>
        <v>2007930.6408945527</v>
      </c>
      <c r="O134" s="4">
        <f>O133</f>
        <v>119687.89540326738</v>
      </c>
      <c r="P134" s="4">
        <f>P133+O132</f>
        <v>2075147.2382531904</v>
      </c>
      <c r="R134" s="4">
        <f>R133</f>
        <v>139940.26445123838</v>
      </c>
      <c r="S134" s="4">
        <f>S133+R132</f>
        <v>2262176.4917725199</v>
      </c>
      <c r="U134" s="4">
        <f>U133</f>
        <v>42505.359023831879</v>
      </c>
      <c r="V134" s="4">
        <f>V133+U132</f>
        <v>299570.20959633822</v>
      </c>
      <c r="X134" s="4">
        <f>X133</f>
        <v>27081.188280169557</v>
      </c>
      <c r="Y134" s="4">
        <f>Y133+X132</f>
        <v>209877.50332872596</v>
      </c>
      <c r="Z134" s="38"/>
    </row>
    <row r="135" spans="1:29" ht="17" x14ac:dyDescent="0.2">
      <c r="E135" s="15" t="s">
        <v>74</v>
      </c>
      <c r="F135" s="8"/>
      <c r="G135" s="8"/>
      <c r="I135" s="8"/>
      <c r="J135" s="8"/>
      <c r="L135" s="8"/>
      <c r="M135" s="8"/>
      <c r="O135" s="8"/>
      <c r="P135" s="8"/>
      <c r="R135" s="8"/>
      <c r="S135" s="8"/>
      <c r="U135" s="8"/>
      <c r="V135" s="8"/>
      <c r="X135" s="8"/>
      <c r="Y135" s="8"/>
    </row>
    <row r="136" spans="1:29" ht="34" x14ac:dyDescent="0.2">
      <c r="A136" s="38" t="s">
        <v>276</v>
      </c>
      <c r="B136" s="28" t="s">
        <v>174</v>
      </c>
      <c r="E136" s="10" t="s">
        <v>137</v>
      </c>
      <c r="F136" s="4">
        <f>F114/$F$23</f>
        <v>1</v>
      </c>
      <c r="G136" s="4">
        <f>G114/$G$23</f>
        <v>1</v>
      </c>
      <c r="I136" s="4">
        <f>I114/$F$23</f>
        <v>0.92425307697392622</v>
      </c>
      <c r="J136" s="4">
        <f>J114/$G$23</f>
        <v>0.8894392313816073</v>
      </c>
      <c r="L136" s="4">
        <f>L114/$F$23</f>
        <v>0.84423268422860009</v>
      </c>
      <c r="M136" s="4">
        <f>M114/$G$23</f>
        <v>0.77609913996359592</v>
      </c>
      <c r="O136" s="4">
        <f>O114/$F$23</f>
        <v>0.75225573758689401</v>
      </c>
      <c r="P136" s="4">
        <f>P114/$G$23</f>
        <v>0.65963426247132328</v>
      </c>
      <c r="R136" s="4">
        <f>R114/$F$23</f>
        <v>0.63135265926935324</v>
      </c>
      <c r="S136" s="4">
        <f>S114/$G$23</f>
        <v>0.5389284351854382</v>
      </c>
      <c r="U136" s="4">
        <f>U114/$F$23</f>
        <v>0.48853105467067059</v>
      </c>
      <c r="V136" s="4">
        <f>V114/$G$23</f>
        <v>0.4063565947756948</v>
      </c>
      <c r="X136" s="4">
        <f>X114/$F$23</f>
        <v>0.44566751325255183</v>
      </c>
      <c r="Y136" s="4">
        <f>Y114/$G$23</f>
        <v>0.39828350178087057</v>
      </c>
      <c r="Z136" s="38"/>
      <c r="AA136">
        <v>0.5</v>
      </c>
      <c r="AB136">
        <f>SUM(AA$6:AA136)</f>
        <v>0.5</v>
      </c>
      <c r="AC136">
        <v>20</v>
      </c>
    </row>
    <row r="137" spans="1:29" ht="17" x14ac:dyDescent="0.2">
      <c r="A137" s="38" t="s">
        <v>186</v>
      </c>
      <c r="B137" s="28" t="s">
        <v>174</v>
      </c>
      <c r="E137" s="10" t="s">
        <v>187</v>
      </c>
      <c r="F137" s="4">
        <f>MAX(MIN((F136-$F$17)/$F$18, 1), 0)</f>
        <v>1</v>
      </c>
      <c r="G137" s="4">
        <f>MAX(MIN((G136-$G$17)/$G$18, 1), 0)</f>
        <v>1</v>
      </c>
      <c r="I137" s="4">
        <f>MAX(MIN((I136-$F$17)/$F$18, 1), 0)</f>
        <v>1</v>
      </c>
      <c r="J137" s="4">
        <f>MAX(MIN((J136-$G$17)/$G$18, 1), 0)</f>
        <v>1</v>
      </c>
      <c r="L137" s="4">
        <f>MAX(MIN((L136-$F$17)/$F$18, 1), 0)</f>
        <v>1</v>
      </c>
      <c r="M137" s="4">
        <f>MAX(MIN((M136-$G$17)/$G$18, 1), 0)</f>
        <v>0.8328091484893303</v>
      </c>
      <c r="O137" s="4">
        <f>MAX(MIN((O136-$F$17)/$F$18, 1), 0)</f>
        <v>0.97933386739236106</v>
      </c>
      <c r="P137" s="4">
        <f>MAX(MIN((P136-$G$17)/$G$18, 1), 0)</f>
        <v>0.5891633289598236</v>
      </c>
      <c r="R137" s="4">
        <f>MAX(MIN((R136-$F$17)/$F$18, 1), 0)</f>
        <v>0.69854073566938424</v>
      </c>
      <c r="S137" s="4">
        <f>MAX(MIN((S136-$G$17)/$G$18, 1), 0)</f>
        <v>0.33664539527627274</v>
      </c>
      <c r="U137" s="4">
        <f>MAX(MIN((U136-$F$17)/$F$18, 1), 0)</f>
        <v>0.36684260034451582</v>
      </c>
      <c r="V137" s="4">
        <f>MAX(MIN((V136-$G$17)/$G$18, 1), 0)</f>
        <v>5.9303630113552025E-2</v>
      </c>
      <c r="X137" s="4">
        <f>MAX(MIN((X136-$F$17)/$F$18, 1), 0)</f>
        <v>0.26729353840979642</v>
      </c>
      <c r="Y137" s="4">
        <f>MAX(MIN((Y136-$G$17)/$G$18, 1), 0)</f>
        <v>4.2414629745244618E-2</v>
      </c>
      <c r="Z137" s="38"/>
      <c r="AA137">
        <v>0.3</v>
      </c>
      <c r="AB137">
        <f>SUM(AA$6:AA137)</f>
        <v>0.8</v>
      </c>
      <c r="AC137">
        <v>20</v>
      </c>
    </row>
    <row r="138" spans="1:29" x14ac:dyDescent="0.2">
      <c r="A138" s="38"/>
      <c r="Z138" s="38"/>
      <c r="AA138">
        <v>0.2</v>
      </c>
      <c r="AB138">
        <f>SUM(AA$6:AA138)</f>
        <v>1</v>
      </c>
      <c r="AC138">
        <v>20</v>
      </c>
    </row>
    <row r="139" spans="1:29" ht="17" x14ac:dyDescent="0.2">
      <c r="A139" s="38" t="s">
        <v>188</v>
      </c>
      <c r="B139" s="28" t="s">
        <v>174</v>
      </c>
      <c r="E139" s="10" t="s">
        <v>76</v>
      </c>
      <c r="F139" s="4">
        <f>F126*F137</f>
        <v>497046.54037499998</v>
      </c>
      <c r="G139" s="4">
        <f>G126*G137</f>
        <v>12433601.4893</v>
      </c>
      <c r="I139" s="4">
        <f>I126*I137</f>
        <v>453642.73348242807</v>
      </c>
      <c r="J139" s="4">
        <f>J126*J137</f>
        <v>11052847.496096702</v>
      </c>
      <c r="L139" s="4">
        <f>L126*L137</f>
        <v>367064.10270879179</v>
      </c>
      <c r="M139" s="4">
        <f>M126*M137</f>
        <v>8028163.4291895209</v>
      </c>
      <c r="O139" s="4">
        <f>O126*O137</f>
        <v>278148.02702330577</v>
      </c>
      <c r="P139" s="4">
        <f>P126*P137</f>
        <v>4822527.024627001</v>
      </c>
      <c r="R139" s="4">
        <f>R126*R137</f>
        <v>139940.26445123838</v>
      </c>
      <c r="S139" s="4">
        <f>S126*S137</f>
        <v>2262176.4917725199</v>
      </c>
      <c r="U139" s="4">
        <f>U126*U137</f>
        <v>42505.359023831879</v>
      </c>
      <c r="V139" s="4">
        <f>V126*V137</f>
        <v>299570.20959633822</v>
      </c>
      <c r="X139" s="4">
        <f>X126*X137</f>
        <v>27081.188280169557</v>
      </c>
      <c r="Y139" s="4">
        <f>Y126*Y137</f>
        <v>209877.50332872596</v>
      </c>
      <c r="Z139" s="38"/>
      <c r="AA139">
        <v>0.125</v>
      </c>
      <c r="AB139">
        <f>SUM(AA$6:AA159)</f>
        <v>1.125</v>
      </c>
      <c r="AC139">
        <v>20</v>
      </c>
    </row>
    <row r="140" spans="1:29" ht="17" x14ac:dyDescent="0.2">
      <c r="A140" s="38" t="s">
        <v>189</v>
      </c>
      <c r="B140" s="28" t="s">
        <v>174</v>
      </c>
      <c r="E140" s="10" t="s">
        <v>122</v>
      </c>
      <c r="F140" s="4">
        <f>F139+G139</f>
        <v>12930648.029674999</v>
      </c>
      <c r="G140" s="4">
        <f>F140</f>
        <v>12930648.029674999</v>
      </c>
      <c r="I140" s="4">
        <f>I139+J139</f>
        <v>11506490.22957913</v>
      </c>
      <c r="J140" s="4">
        <f>I140</f>
        <v>11506490.22957913</v>
      </c>
      <c r="L140" s="4">
        <f>L139+M139</f>
        <v>8395227.5318983123</v>
      </c>
      <c r="M140" s="4">
        <f>L140</f>
        <v>8395227.5318983123</v>
      </c>
      <c r="O140" s="4">
        <f>O139+P139</f>
        <v>5100675.0516503071</v>
      </c>
      <c r="P140" s="4">
        <f>O140</f>
        <v>5100675.0516503071</v>
      </c>
      <c r="R140" s="4">
        <f>R139+S139</f>
        <v>2402116.7562237582</v>
      </c>
      <c r="S140" s="4">
        <f>R140</f>
        <v>2402116.7562237582</v>
      </c>
      <c r="U140" s="4">
        <f>U139+V139</f>
        <v>342075.56862017012</v>
      </c>
      <c r="V140" s="4">
        <f>U140</f>
        <v>342075.56862017012</v>
      </c>
      <c r="X140" s="4">
        <f>X139+Y139</f>
        <v>236958.69160889552</v>
      </c>
      <c r="Y140" s="4">
        <f>X140</f>
        <v>236958.69160889552</v>
      </c>
      <c r="Z140" s="38"/>
    </row>
    <row r="141" spans="1:29" ht="17" x14ac:dyDescent="0.2">
      <c r="A141" s="38" t="s">
        <v>190</v>
      </c>
      <c r="B141" s="28" t="s">
        <v>174</v>
      </c>
      <c r="E141" s="10" t="s">
        <v>119</v>
      </c>
      <c r="F141" s="4">
        <f>F139/F140</f>
        <v>3.8439414578009576E-2</v>
      </c>
      <c r="G141" s="4">
        <f>G139/G140</f>
        <v>0.96156058542199041</v>
      </c>
      <c r="I141" s="4">
        <f>I139/I140</f>
        <v>3.9424944047340565E-2</v>
      </c>
      <c r="J141" s="4">
        <f>J139/J140</f>
        <v>0.96057505595265946</v>
      </c>
      <c r="L141" s="4">
        <f>L139/L140</f>
        <v>4.3722948700806917E-2</v>
      </c>
      <c r="M141" s="4">
        <f>M139/M140</f>
        <v>0.95627705129919316</v>
      </c>
      <c r="O141" s="4">
        <f>O139/O140</f>
        <v>5.4531610856745689E-2</v>
      </c>
      <c r="P141" s="4">
        <f>P139/P140</f>
        <v>0.94546838914325426</v>
      </c>
      <c r="R141" s="4">
        <f>R139/R140</f>
        <v>5.8257061855407535E-2</v>
      </c>
      <c r="S141" s="4">
        <f>S139/S140</f>
        <v>0.94174293814459253</v>
      </c>
      <c r="U141" s="4">
        <f>U139/U140</f>
        <v>0.12425721952399496</v>
      </c>
      <c r="V141" s="4">
        <f>V139/V140</f>
        <v>0.87574278047600496</v>
      </c>
      <c r="X141" s="4">
        <f>X139/X140</f>
        <v>0.11428653701746266</v>
      </c>
      <c r="Y141" s="4">
        <f>Y139/Y140</f>
        <v>0.88571346298253728</v>
      </c>
      <c r="Z141" s="38"/>
    </row>
    <row r="143" spans="1:29" ht="17" x14ac:dyDescent="0.2">
      <c r="E143" s="15" t="s">
        <v>256</v>
      </c>
      <c r="F143" s="8"/>
      <c r="G143" s="8"/>
      <c r="I143" s="8"/>
      <c r="J143" s="8"/>
      <c r="L143" s="8"/>
      <c r="M143" s="8"/>
      <c r="O143" s="8"/>
      <c r="P143" s="8"/>
      <c r="R143" s="8"/>
      <c r="S143" s="8"/>
      <c r="U143" s="8"/>
      <c r="V143" s="8"/>
      <c r="X143" s="8"/>
      <c r="Y143" s="8"/>
    </row>
    <row r="144" spans="1:29" ht="17" x14ac:dyDescent="0.2">
      <c r="A144" s="38" t="s">
        <v>274</v>
      </c>
      <c r="B144" s="33" t="s">
        <v>163</v>
      </c>
      <c r="E144" s="10" t="s">
        <v>203</v>
      </c>
      <c r="F144" s="4">
        <f>(F112 - F133 - F121)*$F$30</f>
        <v>2223.2117181201452</v>
      </c>
      <c r="G144" s="4">
        <f>(G112 - G133 - G121)*$G$30+SUM(G91:G94)</f>
        <v>36232.172031879854</v>
      </c>
      <c r="I144" s="4">
        <f>(I112 - I133 - I121)*$F$30</f>
        <v>2084.4238554074132</v>
      </c>
      <c r="J144" s="4">
        <f>(J112 - J133 - J121)*$G$30+SUM(J91:J94)</f>
        <v>33447.211823016281</v>
      </c>
      <c r="L144" s="4">
        <f>(L112 - L133 - L121)*$F$30</f>
        <v>1929.437307269528</v>
      </c>
      <c r="M144" s="4">
        <f>(M112 - M133 - M121)*$G$30+SUM(M91:M94)</f>
        <v>30590.343867813121</v>
      </c>
      <c r="O144" s="4">
        <f>(O112 - O133 - O121)*$F$30</f>
        <v>1729.3769911958977</v>
      </c>
      <c r="P144" s="4">
        <f>(P112 - P133 - P121)*$G$30+SUM(P91:P94)</f>
        <v>27621.242311606977</v>
      </c>
      <c r="R144" s="4">
        <f>(R112 - R133 - R121)*$F$30</f>
        <v>1493.8143064538199</v>
      </c>
      <c r="S144" s="4">
        <f>(S112 - S133 - S121)*$G$30+SUM(S91:S94)</f>
        <v>24382.300139165654</v>
      </c>
      <c r="U144" s="4">
        <f>(U112 - U133 - U121)*$F$30</f>
        <v>1414.1084612152006</v>
      </c>
      <c r="V144" s="4">
        <f>(V112 - V133 - V121)*$G$30+SUM(V91:V94)</f>
        <v>24223.673488378809</v>
      </c>
      <c r="X144" s="4">
        <f>(X112 - X133 - X121)*$F$30</f>
        <v>1359.1953827000175</v>
      </c>
      <c r="Y144" s="4">
        <f>(Y112 - Y133 - Y121)*$G$30+SUM(Y91:Y94)</f>
        <v>24156.603765901902</v>
      </c>
      <c r="Z144" s="38"/>
    </row>
    <row r="145" spans="1:29" x14ac:dyDescent="0.2">
      <c r="A145" s="38" t="s">
        <v>303</v>
      </c>
      <c r="B145" s="33" t="s">
        <v>163</v>
      </c>
      <c r="F145" s="4">
        <f>F144*$F21</f>
        <v>666.96351543604351</v>
      </c>
      <c r="G145" s="4">
        <f>G144*$G21</f>
        <v>9058.0430079699636</v>
      </c>
      <c r="I145" s="4">
        <f>I144*$F21</f>
        <v>625.32715662222392</v>
      </c>
      <c r="J145" s="4">
        <f>J144*$G21</f>
        <v>8361.8029557540704</v>
      </c>
      <c r="L145" s="4">
        <f>L144*$F21</f>
        <v>578.83119218085835</v>
      </c>
      <c r="M145" s="4">
        <f>M144*$G21</f>
        <v>7647.5859669532801</v>
      </c>
      <c r="O145" s="4">
        <f>O144*$F21</f>
        <v>518.81309735876926</v>
      </c>
      <c r="P145" s="4">
        <f>P144*$G21</f>
        <v>6905.3105779017442</v>
      </c>
      <c r="R145" s="4">
        <f>R144*$F21</f>
        <v>448.14429193614598</v>
      </c>
      <c r="S145" s="4">
        <f>S144*$G21</f>
        <v>6095.5750347914136</v>
      </c>
      <c r="U145" s="4">
        <f>U144*$F21</f>
        <v>424.23253836456018</v>
      </c>
      <c r="V145" s="4">
        <f>V144*$G21</f>
        <v>6055.9183720947021</v>
      </c>
      <c r="X145" s="4">
        <f>X144*$F21</f>
        <v>407.75861481000521</v>
      </c>
      <c r="Y145" s="4">
        <f>Y144*$G21</f>
        <v>6039.1509414754755</v>
      </c>
      <c r="Z145" s="38"/>
    </row>
    <row r="146" spans="1:29" ht="17" x14ac:dyDescent="0.2">
      <c r="A146" s="38" t="s">
        <v>275</v>
      </c>
      <c r="B146" s="33" t="s">
        <v>163</v>
      </c>
      <c r="E146" s="14" t="s">
        <v>215</v>
      </c>
      <c r="F146" s="4">
        <f>F133*$F21</f>
        <v>22932.474244558285</v>
      </c>
      <c r="G146" s="4">
        <f>(G133+F132)*$G21</f>
        <v>478045.8547962014</v>
      </c>
      <c r="I146" s="4">
        <f>I133*$F21</f>
        <v>24099.982024304907</v>
      </c>
      <c r="J146" s="4">
        <f>(J133+I132)*$G21</f>
        <v>489323.06988305371</v>
      </c>
      <c r="L146" s="4">
        <f>L133*$F21</f>
        <v>27542.012522627068</v>
      </c>
      <c r="M146" s="4">
        <f>(M133+L132)*$G21</f>
        <v>501982.66022363817</v>
      </c>
      <c r="O146" s="4">
        <f>O133*$F21</f>
        <v>35906.368620980211</v>
      </c>
      <c r="P146" s="4">
        <f>(P133+O132)*$G21</f>
        <v>518786.8095632976</v>
      </c>
      <c r="R146" s="4">
        <f>R133*$F21</f>
        <v>41982.079335371513</v>
      </c>
      <c r="S146" s="4">
        <f>(S133+R132)*$G21</f>
        <v>565544.12294312997</v>
      </c>
      <c r="U146" s="4">
        <f>U133*$F21</f>
        <v>12751.607707149564</v>
      </c>
      <c r="V146" s="4">
        <f>(V133+U132)*$G21</f>
        <v>74892.552399084554</v>
      </c>
      <c r="X146" s="4">
        <f>X133*$F21</f>
        <v>8124.356484050867</v>
      </c>
      <c r="Y146" s="4">
        <f>(Y133+X132)*$G21</f>
        <v>52469.375832181489</v>
      </c>
      <c r="Z146" s="38"/>
    </row>
    <row r="147" spans="1:29" ht="17" x14ac:dyDescent="0.2">
      <c r="A147" s="38" t="s">
        <v>176</v>
      </c>
      <c r="B147" s="33" t="s">
        <v>163</v>
      </c>
      <c r="E147" s="10" t="s">
        <v>166</v>
      </c>
      <c r="F147" s="4">
        <f>F121-F124*F125-F122</f>
        <v>2175</v>
      </c>
      <c r="G147" s="4">
        <f>G121-F124*G125-G122+G54</f>
        <v>2700</v>
      </c>
      <c r="I147" s="4">
        <f>I121-I124*I125-I122</f>
        <v>2553.6682270231522</v>
      </c>
      <c r="J147" s="4">
        <f>J121-I124*J125-J122+J54</f>
        <v>2749.6662244491781</v>
      </c>
      <c r="L147" s="4">
        <f>L121-L124*L125-L122</f>
        <v>2247.3642961427208</v>
      </c>
      <c r="M147" s="4">
        <f>M121-L124*M125-M122+M54</f>
        <v>2150.9145738675443</v>
      </c>
      <c r="O147" s="4">
        <f>O121-O124*O125-O122</f>
        <v>2528.8860607810102</v>
      </c>
      <c r="P147" s="4">
        <f>P121-O124*P125-P122+P54</f>
        <v>3970.3423721656281</v>
      </c>
      <c r="R147" s="4">
        <f>R121-R124*R125-R122</f>
        <v>3233.485543462959</v>
      </c>
      <c r="S147" s="4">
        <f>S121-R124*S125-S122+S54</f>
        <v>716.29459674366728</v>
      </c>
      <c r="U147" s="4">
        <f>U121-U124*U125-U122</f>
        <v>2779.5242885485477</v>
      </c>
      <c r="V147" s="4">
        <f>V121-U124*V125-V122+V54</f>
        <v>1640.3911750361863</v>
      </c>
      <c r="X147" s="4">
        <f>X121-X124*X125-X122</f>
        <v>2623.5844614534308</v>
      </c>
      <c r="Y147" s="4">
        <f>Y121-X124*Y125-Y122+Y54</f>
        <v>1864.3672357973865</v>
      </c>
      <c r="Z147" s="38"/>
    </row>
    <row r="148" spans="1:29" ht="17" x14ac:dyDescent="0.2">
      <c r="A148" s="38" t="s">
        <v>177</v>
      </c>
      <c r="B148" s="33" t="s">
        <v>163</v>
      </c>
      <c r="E148" s="10" t="s">
        <v>167</v>
      </c>
      <c r="F148" s="4">
        <f>MAX((F121 - F122)*$F21-F16*F9,0)</f>
        <v>2128.25</v>
      </c>
      <c r="G148" s="4">
        <f>MAX((G121-G122+G54)*$G21-G16*G9,0)</f>
        <v>2058</v>
      </c>
      <c r="I148" s="4">
        <f>MAX((I121 - I122)*$F21-I16*I9,0)</f>
        <v>2494.538827023151</v>
      </c>
      <c r="J148" s="4">
        <f>MAX((J121-J122+J54)*$G21-J16*J9,0)</f>
        <v>2084.4125203743147</v>
      </c>
      <c r="L148" s="4">
        <f>MAX((L121 - L122)*$F21-L16*L9,0)</f>
        <v>2190.9650961427201</v>
      </c>
      <c r="M148" s="4">
        <f>MAX((M121-M122+M54)*$G21-M16*M9,0)</f>
        <v>1615.5584115562865</v>
      </c>
      <c r="O148" s="4">
        <f>MAX((O121 - O122)*$F21-O16*O9,0)</f>
        <v>2467.3630607810096</v>
      </c>
      <c r="P148" s="4">
        <f>MAX((P121-P122+P54)*$G21-P16*P9,0)</f>
        <v>2943.6650434713565</v>
      </c>
      <c r="R148" s="4">
        <f>MAX((R121 - R122)*$F21-R16*R9,0)</f>
        <v>3136.2455434629583</v>
      </c>
      <c r="S148" s="4">
        <f>MAX((S121-S122+S54)*$G21-S16*S9,0)</f>
        <v>521.28336395305598</v>
      </c>
      <c r="U148" s="4">
        <f>MAX((U121 - U122)*$F21-U16*U9,0)</f>
        <v>2704.3876885485497</v>
      </c>
      <c r="V148" s="4">
        <f>MAX((V121-V122+V54)*$G21-V16*V9,0)</f>
        <v>1145.2326458634884</v>
      </c>
      <c r="X148" s="4">
        <f>MAX((X121 - X122)*$F21-X16*X9,0)</f>
        <v>2530.1218614534314</v>
      </c>
      <c r="Y148" s="4">
        <f>MAX((Y121-Y122+Y54)*$G21-Y16*Y9,0)</f>
        <v>1353.1913631644886</v>
      </c>
      <c r="Z148" s="38"/>
    </row>
    <row r="149" spans="1:29" x14ac:dyDescent="0.2">
      <c r="A149" s="38" t="s">
        <v>302</v>
      </c>
      <c r="B149" s="33" t="s">
        <v>163</v>
      </c>
      <c r="F149" s="4">
        <f>I111*I7*(1+$F21)</f>
        <v>3880.5</v>
      </c>
      <c r="G149" s="4">
        <f>(J111*J7+SUMPRODUCT(G38:G41,G86:G89))*(1+$G21)</f>
        <v>287385</v>
      </c>
      <c r="I149" s="4">
        <f>L111*L7*(1+$F21)</f>
        <v>3856.32</v>
      </c>
      <c r="J149" s="4">
        <f>(M111*M7+SUMPRODUCT(J38:J41,J86:J89))*(1+$G21)</f>
        <v>287259.5625</v>
      </c>
      <c r="L149" s="4">
        <f>O111*O7*(1+$F21)</f>
        <v>3833.7000000000003</v>
      </c>
      <c r="M149" s="4">
        <f>(P111*P7+SUMPRODUCT(M38:M41,M86:M89))*(1+$G21)</f>
        <v>287156.71250000002</v>
      </c>
      <c r="O149" s="4">
        <f>R111*R7*(1+$F21)</f>
        <v>3806.4</v>
      </c>
      <c r="P149" s="4">
        <f>(S111*S7+SUMPRODUCT(P38:P41,P86:P89))*(1+$G21)</f>
        <v>286948.5</v>
      </c>
      <c r="R149" s="4">
        <f>U111*U7*(1+$F21)</f>
        <v>3767.4</v>
      </c>
      <c r="S149" s="4">
        <f>(V111*V7+SUMPRODUCT(S38:S41,S86:S89))*(1+$G21)</f>
        <v>286924.28750000003</v>
      </c>
      <c r="U149" s="4">
        <f>X111*X7*(1+$F21)</f>
        <v>3593.0636935346747</v>
      </c>
      <c r="V149" s="4">
        <f>(Y111*Y7+SUMPRODUCT(V38:V41,V86:V89))*(1+$G21)</f>
        <v>248300.31050651748</v>
      </c>
      <c r="X149" s="4">
        <f>AA111*AA7*(1+$F21)</f>
        <v>0</v>
      </c>
      <c r="Y149" s="4">
        <f>(AB111*AB7+SUMPRODUCT(Y38:Y41,Y86:Y89))*(1+$G21)</f>
        <v>129.19999999999999</v>
      </c>
      <c r="Z149" s="38"/>
    </row>
    <row r="152" spans="1:29" x14ac:dyDescent="0.2">
      <c r="A152" s="24" t="s">
        <v>267</v>
      </c>
      <c r="F152" s="4">
        <f>F147+F122</f>
        <v>2425</v>
      </c>
      <c r="G152" s="4">
        <f>G147+G122</f>
        <v>3700</v>
      </c>
      <c r="I152" s="4">
        <f>I147+I122</f>
        <v>2869.868227023152</v>
      </c>
      <c r="J152" s="4">
        <f>J147+J122</f>
        <v>3827.6662244491781</v>
      </c>
      <c r="L152" s="4">
        <f>L147+L122</f>
        <v>2548.9642961427207</v>
      </c>
      <c r="M152" s="4">
        <f>M147+M122</f>
        <v>3072.1145738675441</v>
      </c>
      <c r="O152" s="4">
        <f>O147+O122</f>
        <v>2857.8860607810102</v>
      </c>
      <c r="P152" s="4">
        <f>P147+P122</f>
        <v>5871.1423721656283</v>
      </c>
      <c r="R152" s="4">
        <f>R147+R122</f>
        <v>3753.485543462959</v>
      </c>
      <c r="S152" s="4">
        <f>S147+S122</f>
        <v>1110.1945967436673</v>
      </c>
      <c r="U152" s="4">
        <f>U147+U122</f>
        <v>3181.3242885485479</v>
      </c>
      <c r="V152" s="4">
        <f>V147+V122</f>
        <v>2795.3911750361863</v>
      </c>
      <c r="X152" s="4">
        <f>X147+X122</f>
        <v>3123.384461453431</v>
      </c>
      <c r="Y152" s="4">
        <f>Y147+Y122</f>
        <v>2908.3672357973865</v>
      </c>
    </row>
    <row r="154" spans="1:29" x14ac:dyDescent="0.2">
      <c r="A154" s="38" t="s">
        <v>277</v>
      </c>
      <c r="B154" s="33" t="s">
        <v>163</v>
      </c>
      <c r="F154" s="4">
        <f>F124+F133+G133+F132</f>
        <v>2000000</v>
      </c>
      <c r="I154" s="4">
        <f>I124+I133+J133</f>
        <v>2050000</v>
      </c>
      <c r="L154" s="4">
        <f>L124+L133+M133</f>
        <v>2110000</v>
      </c>
      <c r="O154" s="4">
        <f>O124+O133+P133</f>
        <v>2210000</v>
      </c>
      <c r="R154" s="4">
        <f>R124+R133+S133</f>
        <v>2411332.9098842405</v>
      </c>
      <c r="U154" s="4">
        <f>U124+U133+V133</f>
        <v>352388.70470186783</v>
      </c>
      <c r="X154" s="4">
        <f>X124+X133+Y133</f>
        <v>247430.57890248077</v>
      </c>
      <c r="Z154" s="38"/>
    </row>
    <row r="155" spans="1:29" x14ac:dyDescent="0.2">
      <c r="F155" s="4">
        <f>F154/F33</f>
        <v>1</v>
      </c>
      <c r="I155" s="4">
        <f>I154/I33</f>
        <v>1</v>
      </c>
      <c r="L155" s="4">
        <f>L154/L33</f>
        <v>1</v>
      </c>
      <c r="O155" s="4">
        <f>O154/O33</f>
        <v>1</v>
      </c>
      <c r="R155" s="4">
        <f>R154/R33</f>
        <v>0.80377763662808011</v>
      </c>
      <c r="U155" s="4">
        <f>U154/U33</f>
        <v>1.4095548188074713E-2</v>
      </c>
      <c r="X155" s="4">
        <f>X154/X33</f>
        <v>9.8186737659714599E-2</v>
      </c>
    </row>
    <row r="160" spans="1:29" x14ac:dyDescent="0.2">
      <c r="AA160">
        <v>0.1225</v>
      </c>
      <c r="AB160">
        <f>SUM(AA$6:AA160)</f>
        <v>1.2475000000000001</v>
      </c>
      <c r="AC160">
        <v>20</v>
      </c>
    </row>
    <row r="161" spans="27:29" x14ac:dyDescent="0.2">
      <c r="AA161">
        <v>0.12239999999999999</v>
      </c>
      <c r="AB161">
        <f>SUM(AA$6:AA161)</f>
        <v>1.3699000000000001</v>
      </c>
      <c r="AC161">
        <v>20</v>
      </c>
    </row>
    <row r="162" spans="27:29" x14ac:dyDescent="0.2">
      <c r="AA162">
        <v>0.12230000000000001</v>
      </c>
      <c r="AB162">
        <f>SUM(AA$6:AA162)</f>
        <v>1.4922000000000002</v>
      </c>
      <c r="AC162">
        <v>20</v>
      </c>
    </row>
  </sheetData>
  <mergeCells count="39">
    <mergeCell ref="D18:D19"/>
    <mergeCell ref="D70:D72"/>
    <mergeCell ref="D75:D78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9:D30"/>
    <mergeCell ref="B38:B41"/>
    <mergeCell ref="A38:A41"/>
    <mergeCell ref="B62:B65"/>
    <mergeCell ref="A68:A71"/>
    <mergeCell ref="B68:B71"/>
    <mergeCell ref="B43:B46"/>
    <mergeCell ref="A43:A46"/>
    <mergeCell ref="A62:A65"/>
    <mergeCell ref="A56:A59"/>
    <mergeCell ref="B56:B59"/>
    <mergeCell ref="A101:A104"/>
    <mergeCell ref="B101:B104"/>
    <mergeCell ref="A49:A52"/>
    <mergeCell ref="B49:B52"/>
    <mergeCell ref="D49:D52"/>
    <mergeCell ref="A79:A83"/>
    <mergeCell ref="B79:B83"/>
    <mergeCell ref="B86:B89"/>
    <mergeCell ref="A96:A99"/>
    <mergeCell ref="B96:B99"/>
    <mergeCell ref="A91:A94"/>
    <mergeCell ref="B91:B94"/>
    <mergeCell ref="A73:A76"/>
    <mergeCell ref="B73:B76"/>
    <mergeCell ref="A86:A89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2026-02-18T21:31:54Z</dcterms:modified>
</cp:coreProperties>
</file>