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Users/usuario/git/sisepuede/sisepuede/ref/validation_workbooks/"/>
    </mc:Choice>
  </mc:AlternateContent>
  <xr:revisionPtr revIDLastSave="0" documentId="13_ncr:1_{933D6FC4-B532-B64C-88AC-08906FECE688}" xr6:coauthVersionLast="47" xr6:coauthVersionMax="47" xr10:uidLastSave="{00000000-0000-0000-0000-000000000000}"/>
  <bookViews>
    <workbookView xWindow="6160" yWindow="760" windowWidth="34560" windowHeight="20040" activeTab="2" xr2:uid="{49B92464-5B50-C04B-B571-E5276F1DC1EA}"/>
  </bookViews>
  <sheets>
    <sheet name="Sheet1" sheetId="1" r:id="rId1"/>
    <sheet name="cl_1" sheetId="2" r:id="rId2"/>
    <sheet name="cl_2" sheetId="3" r:id="rId3"/>
    <sheet name="Sheet2"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8" i="3" l="1"/>
  <c r="H128" i="3"/>
  <c r="H127" i="3"/>
  <c r="G127" i="3"/>
  <c r="G126" i="3"/>
  <c r="H125" i="3"/>
  <c r="G125" i="3"/>
  <c r="G123" i="3"/>
  <c r="H119" i="3"/>
  <c r="G124" i="3"/>
  <c r="G12" i="3"/>
  <c r="H124" i="3"/>
  <c r="H123" i="3"/>
  <c r="H121" i="3"/>
  <c r="N11" i="3"/>
  <c r="N12" i="3" s="1"/>
  <c r="Z12" i="3"/>
  <c r="Y12" i="3"/>
  <c r="W12" i="3"/>
  <c r="V12" i="3"/>
  <c r="T12" i="3"/>
  <c r="S12" i="3"/>
  <c r="Q12" i="3"/>
  <c r="P12" i="3"/>
  <c r="M12" i="3"/>
  <c r="K12" i="3"/>
  <c r="J12" i="3"/>
  <c r="H12" i="3"/>
  <c r="K46" i="3"/>
  <c r="K63" i="3"/>
  <c r="H114" i="3"/>
  <c r="G114" i="3"/>
  <c r="J110" i="3"/>
  <c r="H111" i="3"/>
  <c r="K112" i="3" s="1"/>
  <c r="G8" i="3"/>
  <c r="G14" i="3"/>
  <c r="J7" i="3" s="1"/>
  <c r="J111" i="3" s="1"/>
  <c r="G111" i="3"/>
  <c r="J112" i="3" s="1"/>
  <c r="H110" i="3"/>
  <c r="H113" i="3" s="1"/>
  <c r="N63" i="3"/>
  <c r="H50" i="3"/>
  <c r="J113" i="3" l="1"/>
  <c r="J8" i="3"/>
  <c r="H115" i="3"/>
  <c r="G84" i="3"/>
  <c r="G82" i="3"/>
  <c r="G83" i="3"/>
  <c r="G81" i="3"/>
  <c r="K45" i="3"/>
  <c r="I42" i="3"/>
  <c r="I41" i="3"/>
  <c r="J88" i="3"/>
  <c r="K40" i="3"/>
  <c r="I39" i="3"/>
  <c r="H63" i="3"/>
  <c r="H87" i="3" s="1"/>
  <c r="H101" i="3"/>
  <c r="H100" i="3"/>
  <c r="H99" i="3"/>
  <c r="H39" i="3"/>
  <c r="G23" i="3"/>
  <c r="G24" i="3" s="1"/>
  <c r="H14" i="3"/>
  <c r="K7" i="3" s="1"/>
  <c r="K111" i="3" s="1"/>
  <c r="H10" i="3"/>
  <c r="K88" i="3"/>
  <c r="G31" i="3"/>
  <c r="Y151" i="3"/>
  <c r="J31" i="3"/>
  <c r="Z17" i="3"/>
  <c r="Y17" i="3"/>
  <c r="W17" i="3"/>
  <c r="V17" i="3"/>
  <c r="T17" i="3"/>
  <c r="S17" i="3"/>
  <c r="Q17" i="3"/>
  <c r="P17" i="3"/>
  <c r="N17" i="3"/>
  <c r="M17" i="3"/>
  <c r="K17" i="3"/>
  <c r="J17" i="3"/>
  <c r="H17" i="3"/>
  <c r="G17" i="3"/>
  <c r="H23" i="3"/>
  <c r="K75" i="3" s="1"/>
  <c r="H116" i="3" l="1"/>
  <c r="K76" i="3"/>
  <c r="N72" i="3"/>
  <c r="H98" i="3"/>
  <c r="H120" i="3" s="1"/>
  <c r="H69" i="3"/>
  <c r="I40" i="3"/>
  <c r="G115" i="3"/>
  <c r="H28" i="3"/>
  <c r="K10" i="3"/>
  <c r="K14" i="3"/>
  <c r="K27" i="3" s="1"/>
  <c r="H27" i="3"/>
  <c r="H11" i="3" s="1"/>
  <c r="H48" i="3"/>
  <c r="H52" i="3"/>
  <c r="H58" i="3"/>
  <c r="H92" i="3" s="1"/>
  <c r="H57" i="3"/>
  <c r="K89" i="3"/>
  <c r="H51" i="3"/>
  <c r="N41" i="3"/>
  <c r="N71" i="3" s="1"/>
  <c r="K70" i="3"/>
  <c r="N47" i="3"/>
  <c r="N60" i="3" s="1"/>
  <c r="N89" i="3"/>
  <c r="H53" i="3"/>
  <c r="K47" i="3"/>
  <c r="N46" i="3"/>
  <c r="N59" i="3" s="1"/>
  <c r="H59" i="3"/>
  <c r="H93" i="3" s="1"/>
  <c r="H60" i="3"/>
  <c r="H94" i="3" s="1"/>
  <c r="Q47" i="3"/>
  <c r="Q60" i="3" s="1"/>
  <c r="I38" i="3"/>
  <c r="L38" i="3"/>
  <c r="H31" i="3"/>
  <c r="G110" i="3"/>
  <c r="G113" i="3" s="1"/>
  <c r="AF10" i="3"/>
  <c r="Z110" i="3"/>
  <c r="Y110" i="3"/>
  <c r="W110" i="3"/>
  <c r="V110" i="3"/>
  <c r="T110" i="3"/>
  <c r="S110" i="3"/>
  <c r="Q110" i="3"/>
  <c r="P110" i="3"/>
  <c r="N110" i="3"/>
  <c r="M110" i="3"/>
  <c r="K110" i="3"/>
  <c r="Q90" i="3"/>
  <c r="N90" i="3"/>
  <c r="Z66" i="3"/>
  <c r="Z90" i="3" s="1"/>
  <c r="Z65" i="3"/>
  <c r="Z89" i="3" s="1"/>
  <c r="Z64" i="3"/>
  <c r="Z88" i="3" s="1"/>
  <c r="Z63" i="3"/>
  <c r="W63" i="3"/>
  <c r="X38" i="3"/>
  <c r="K90" i="3"/>
  <c r="H89" i="3"/>
  <c r="H88" i="3"/>
  <c r="H90" i="3"/>
  <c r="J90" i="3"/>
  <c r="Q42" i="3"/>
  <c r="U38" i="3"/>
  <c r="R38" i="3"/>
  <c r="O38" i="3"/>
  <c r="Q65" i="3"/>
  <c r="Q89" i="3" s="1"/>
  <c r="N64" i="3"/>
  <c r="N88" i="3" s="1"/>
  <c r="T63" i="3"/>
  <c r="Q63" i="3"/>
  <c r="H8" i="3"/>
  <c r="K8" i="3" s="1"/>
  <c r="K11" i="3" l="1"/>
  <c r="G116" i="3"/>
  <c r="G119" i="3"/>
  <c r="G121" i="3" s="1"/>
  <c r="H96" i="3"/>
  <c r="J87" i="3"/>
  <c r="K87" i="3" s="1"/>
  <c r="G138" i="3"/>
  <c r="G139" i="3" s="1"/>
  <c r="G122" i="3"/>
  <c r="K60" i="3"/>
  <c r="K77" i="3"/>
  <c r="G28" i="3"/>
  <c r="G141" i="3" s="1"/>
  <c r="K113" i="3"/>
  <c r="H151" i="3" s="1"/>
  <c r="H54" i="3"/>
  <c r="H55" i="3" s="1"/>
  <c r="H61" i="3"/>
  <c r="H95" i="3" s="1"/>
  <c r="Q72" i="3"/>
  <c r="G151" i="3"/>
  <c r="K58" i="3"/>
  <c r="H105" i="3"/>
  <c r="J89" i="3"/>
  <c r="K59" i="3"/>
  <c r="H106" i="3"/>
  <c r="H104" i="3"/>
  <c r="H24" i="3"/>
  <c r="J14" i="3" l="1"/>
  <c r="H150" i="3"/>
  <c r="H103" i="3"/>
  <c r="M7" i="3"/>
  <c r="J28" i="3"/>
  <c r="N8" i="3"/>
  <c r="M14" i="3" l="1"/>
  <c r="P7" i="3" s="1"/>
  <c r="P111" i="3" s="1"/>
  <c r="H122" i="3"/>
  <c r="G150" i="3"/>
  <c r="M111" i="3"/>
  <c r="H138" i="3"/>
  <c r="H139" i="3" s="1"/>
  <c r="K28" i="3"/>
  <c r="N7" i="3"/>
  <c r="Q8" i="3"/>
  <c r="G131" i="3" l="1"/>
  <c r="J39" i="3"/>
  <c r="J41" i="3"/>
  <c r="K52" i="3" s="1"/>
  <c r="J42" i="3"/>
  <c r="K53" i="3" s="1"/>
  <c r="J40" i="3"/>
  <c r="M28" i="3"/>
  <c r="P14" i="3"/>
  <c r="N111" i="3"/>
  <c r="N14" i="3"/>
  <c r="N28" i="3" s="1"/>
  <c r="H141" i="3"/>
  <c r="H149" i="3"/>
  <c r="G149" i="3"/>
  <c r="K51" i="3"/>
  <c r="N10" i="3"/>
  <c r="T8" i="3"/>
  <c r="W64" i="3"/>
  <c r="W88" i="3" s="1"/>
  <c r="W65" i="3"/>
  <c r="W89" i="3" s="1"/>
  <c r="T64" i="3"/>
  <c r="T88" i="3" s="1"/>
  <c r="T66" i="3"/>
  <c r="T90" i="3" s="1"/>
  <c r="W66" i="3"/>
  <c r="W90" i="3" s="1"/>
  <c r="T65" i="3"/>
  <c r="T89" i="3" s="1"/>
  <c r="Q64" i="3"/>
  <c r="Q88" i="3" s="1"/>
  <c r="AF15" i="3"/>
  <c r="AF18" i="3"/>
  <c r="AF19" i="3"/>
  <c r="AF20" i="3"/>
  <c r="AF21" i="3"/>
  <c r="AF23" i="3"/>
  <c r="AF24" i="3"/>
  <c r="AF25" i="3"/>
  <c r="AF26" i="3"/>
  <c r="AF27" i="3"/>
  <c r="AF28" i="3"/>
  <c r="AF29" i="3"/>
  <c r="AF13" i="3"/>
  <c r="AF9" i="3"/>
  <c r="AF11" i="3"/>
  <c r="AF8" i="3"/>
  <c r="AF7" i="3"/>
  <c r="AF6" i="3"/>
  <c r="W4" i="2"/>
  <c r="W7" i="2"/>
  <c r="U8" i="2"/>
  <c r="Q6" i="2"/>
  <c r="P6" i="2"/>
  <c r="R6" i="2"/>
  <c r="X4" i="2"/>
  <c r="X3" i="2"/>
  <c r="Y3" i="2"/>
  <c r="Y4" i="2"/>
  <c r="AI5" i="2"/>
  <c r="W5" i="2"/>
  <c r="R4" i="2"/>
  <c r="Z4" i="2" s="1"/>
  <c r="W3" i="2"/>
  <c r="U3" i="2"/>
  <c r="R3" i="2"/>
  <c r="L3" i="2"/>
  <c r="L4" i="2"/>
  <c r="L5" i="2" s="1"/>
  <c r="L6" i="2" s="1"/>
  <c r="L7" i="2" s="1"/>
  <c r="L8" i="2" s="1"/>
  <c r="L9" i="2" s="1"/>
  <c r="L10" i="2" s="1"/>
  <c r="L11" i="2" s="1"/>
  <c r="L12" i="2" s="1"/>
  <c r="L13" i="2" s="1"/>
  <c r="L14" i="2" s="1"/>
  <c r="L15" i="2" s="1"/>
  <c r="L16" i="2" s="1"/>
  <c r="L17" i="2" s="1"/>
  <c r="L18" i="2" s="1"/>
  <c r="L19" i="2" s="1"/>
  <c r="L20" i="2" s="1"/>
  <c r="L21" i="2" s="1"/>
  <c r="L22" i="2" s="1"/>
  <c r="L23" i="2" s="1"/>
  <c r="L24" i="2" s="1"/>
  <c r="L25" i="2" s="1"/>
  <c r="L26" i="2" s="1"/>
  <c r="L27" i="2" s="1"/>
  <c r="L28" i="2" s="1"/>
  <c r="L29" i="2" s="1"/>
  <c r="L30" i="2" s="1"/>
  <c r="M3" i="2"/>
  <c r="M4" i="2"/>
  <c r="AX4" i="2"/>
  <c r="AX5" i="2"/>
  <c r="AX6" i="2"/>
  <c r="AX7" i="2"/>
  <c r="AX8" i="2"/>
  <c r="AX9" i="2"/>
  <c r="AX10" i="2"/>
  <c r="AX11" i="2"/>
  <c r="AX12" i="2"/>
  <c r="AX13" i="2"/>
  <c r="AX14" i="2"/>
  <c r="AX15" i="2"/>
  <c r="AX16" i="2"/>
  <c r="AX17" i="2"/>
  <c r="AX18" i="2"/>
  <c r="AX19" i="2"/>
  <c r="AX20" i="2"/>
  <c r="AX21" i="2"/>
  <c r="AX22" i="2"/>
  <c r="AX23" i="2"/>
  <c r="AX24" i="2"/>
  <c r="AX25" i="2"/>
  <c r="AX26" i="2"/>
  <c r="AX27" i="2"/>
  <c r="AX28" i="2"/>
  <c r="AX29" i="2"/>
  <c r="AX30" i="2"/>
  <c r="AX3" i="2"/>
  <c r="V4" i="2"/>
  <c r="V5" i="2"/>
  <c r="V6" i="2"/>
  <c r="V7" i="2"/>
  <c r="V8" i="2"/>
  <c r="V9" i="2"/>
  <c r="V10" i="2"/>
  <c r="V11" i="2"/>
  <c r="V12" i="2"/>
  <c r="V13" i="2"/>
  <c r="V14" i="2"/>
  <c r="V15" i="2"/>
  <c r="V16" i="2"/>
  <c r="V17" i="2"/>
  <c r="V18" i="2"/>
  <c r="V19" i="2"/>
  <c r="V20" i="2"/>
  <c r="V21" i="2"/>
  <c r="V22" i="2"/>
  <c r="V23" i="2"/>
  <c r="V3" i="2"/>
  <c r="AQ21" i="2"/>
  <c r="AJ23" i="2" s="1"/>
  <c r="AQ22" i="2"/>
  <c r="AI24" i="2" s="1"/>
  <c r="AQ23" i="2"/>
  <c r="AL25" i="2" s="1"/>
  <c r="AQ24" i="2"/>
  <c r="AI26" i="2" s="1"/>
  <c r="AQ25" i="2"/>
  <c r="AN27" i="2" s="1"/>
  <c r="AQ26" i="2"/>
  <c r="AI28" i="2" s="1"/>
  <c r="AQ27" i="2"/>
  <c r="AI29" i="2" s="1"/>
  <c r="AQ28" i="2"/>
  <c r="AJ30" i="2" s="1"/>
  <c r="AQ29" i="2"/>
  <c r="AQ30" i="2"/>
  <c r="AQ31" i="2"/>
  <c r="AQ20" i="2"/>
  <c r="AI22" i="2" s="1"/>
  <c r="AQ3" i="2"/>
  <c r="AN5" i="2" s="1"/>
  <c r="AQ4" i="2"/>
  <c r="AN6" i="2" s="1"/>
  <c r="AQ5" i="2"/>
  <c r="AI7" i="2" s="1"/>
  <c r="AQ6" i="2"/>
  <c r="AI8" i="2" s="1"/>
  <c r="AQ7" i="2"/>
  <c r="AJ9" i="2" s="1"/>
  <c r="AQ8" i="2"/>
  <c r="AI10" i="2" s="1"/>
  <c r="AQ9" i="2"/>
  <c r="AL11" i="2" s="1"/>
  <c r="AQ10" i="2"/>
  <c r="AI12" i="2" s="1"/>
  <c r="AQ11" i="2"/>
  <c r="AN13" i="2" s="1"/>
  <c r="AQ12" i="2"/>
  <c r="AI14" i="2" s="1"/>
  <c r="AQ13" i="2"/>
  <c r="AI15" i="2" s="1"/>
  <c r="AQ14" i="2"/>
  <c r="AJ16" i="2" s="1"/>
  <c r="AQ15" i="2"/>
  <c r="AI17" i="2" s="1"/>
  <c r="AQ16" i="2"/>
  <c r="AL18" i="2" s="1"/>
  <c r="AQ17" i="2"/>
  <c r="AI19" i="2" s="1"/>
  <c r="AQ18" i="2"/>
  <c r="AN20" i="2" s="1"/>
  <c r="AQ19" i="2"/>
  <c r="AI21" i="2" s="1"/>
  <c r="AQ2" i="2"/>
  <c r="AJ3" i="2" s="1"/>
  <c r="B20" i="1"/>
  <c r="B18" i="1"/>
  <c r="B17" i="1"/>
  <c r="K39" i="3" l="1"/>
  <c r="K69" i="3" s="1"/>
  <c r="K44" i="3"/>
  <c r="S7" i="3"/>
  <c r="P28" i="3"/>
  <c r="G142" i="3"/>
  <c r="N27" i="3"/>
  <c r="G154" i="3"/>
  <c r="Q7" i="3"/>
  <c r="Q111" i="3" s="1"/>
  <c r="Q14" i="3"/>
  <c r="Q28" i="3" s="1"/>
  <c r="Q10" i="3"/>
  <c r="W8" i="3"/>
  <c r="M5" i="2"/>
  <c r="M6" i="2" s="1"/>
  <c r="M7" i="2" s="1"/>
  <c r="M8" i="2" s="1"/>
  <c r="M9" i="2" s="1"/>
  <c r="M10" i="2" s="1"/>
  <c r="M11" i="2" s="1"/>
  <c r="M12" i="2" s="1"/>
  <c r="M13" i="2" s="1"/>
  <c r="M14" i="2" s="1"/>
  <c r="M15" i="2" s="1"/>
  <c r="M16" i="2" s="1"/>
  <c r="M17" i="2" s="1"/>
  <c r="M18" i="2" s="1"/>
  <c r="M19" i="2" s="1"/>
  <c r="M20" i="2" s="1"/>
  <c r="M21" i="2" s="1"/>
  <c r="M22" i="2" s="1"/>
  <c r="M23" i="2" s="1"/>
  <c r="M24" i="2" s="1"/>
  <c r="M25" i="2" s="1"/>
  <c r="M26" i="2" s="1"/>
  <c r="M27" i="2" s="1"/>
  <c r="M28" i="2" s="1"/>
  <c r="M29" i="2" s="1"/>
  <c r="M30" i="2" s="1"/>
  <c r="S30" i="2" s="1"/>
  <c r="AI30" i="2"/>
  <c r="AM27" i="2"/>
  <c r="AK25" i="2"/>
  <c r="AI23" i="2"/>
  <c r="AM20" i="2"/>
  <c r="AK18" i="2"/>
  <c r="AI16" i="2"/>
  <c r="AM13" i="2"/>
  <c r="AK11" i="2"/>
  <c r="AI9" i="2"/>
  <c r="AM6" i="2"/>
  <c r="AN29" i="2"/>
  <c r="AL27" i="2"/>
  <c r="AJ25" i="2"/>
  <c r="AN22" i="2"/>
  <c r="AL20" i="2"/>
  <c r="AJ18" i="2"/>
  <c r="AN15" i="2"/>
  <c r="AL13" i="2"/>
  <c r="AJ11" i="2"/>
  <c r="AN8" i="2"/>
  <c r="AL6" i="2"/>
  <c r="S28" i="2"/>
  <c r="AM29" i="2"/>
  <c r="AK27" i="2"/>
  <c r="AI25" i="2"/>
  <c r="AM22" i="2"/>
  <c r="AK20" i="2"/>
  <c r="AI18" i="2"/>
  <c r="AM15" i="2"/>
  <c r="AK13" i="2"/>
  <c r="AI11" i="2"/>
  <c r="AM8" i="2"/>
  <c r="AK6" i="2"/>
  <c r="AL29" i="2"/>
  <c r="AJ27" i="2"/>
  <c r="AN24" i="2"/>
  <c r="AL22" i="2"/>
  <c r="AJ20" i="2"/>
  <c r="AN17" i="2"/>
  <c r="AL15" i="2"/>
  <c r="AJ13" i="2"/>
  <c r="AN10" i="2"/>
  <c r="AL8" i="2"/>
  <c r="AJ6" i="2"/>
  <c r="AI4" i="2"/>
  <c r="AK29" i="2"/>
  <c r="AI27" i="2"/>
  <c r="AM24" i="2"/>
  <c r="AK22" i="2"/>
  <c r="AI20" i="2"/>
  <c r="AM17" i="2"/>
  <c r="AK15" i="2"/>
  <c r="AI13" i="2"/>
  <c r="AM10" i="2"/>
  <c r="AK8" i="2"/>
  <c r="AI6" i="2"/>
  <c r="AM4" i="2"/>
  <c r="AJ29" i="2"/>
  <c r="AN26" i="2"/>
  <c r="AL24" i="2"/>
  <c r="AJ22" i="2"/>
  <c r="AN19" i="2"/>
  <c r="AL17" i="2"/>
  <c r="AJ15" i="2"/>
  <c r="AN12" i="2"/>
  <c r="AL10" i="2"/>
  <c r="AJ8" i="2"/>
  <c r="AM5" i="2"/>
  <c r="B19" i="1"/>
  <c r="AL4" i="2"/>
  <c r="AM26" i="2"/>
  <c r="AK24" i="2"/>
  <c r="AM19" i="2"/>
  <c r="AK17" i="2"/>
  <c r="AM12" i="2"/>
  <c r="AK10" i="2"/>
  <c r="AL5" i="2"/>
  <c r="AK4" i="2"/>
  <c r="AN28" i="2"/>
  <c r="AL26" i="2"/>
  <c r="AJ24" i="2"/>
  <c r="AN21" i="2"/>
  <c r="AL19" i="2"/>
  <c r="AJ17" i="2"/>
  <c r="AN14" i="2"/>
  <c r="AL12" i="2"/>
  <c r="AJ10" i="2"/>
  <c r="AN7" i="2"/>
  <c r="AK5" i="2"/>
  <c r="AJ4" i="2"/>
  <c r="AM28" i="2"/>
  <c r="AK26" i="2"/>
  <c r="AM21" i="2"/>
  <c r="AK19" i="2"/>
  <c r="AM14" i="2"/>
  <c r="AK12" i="2"/>
  <c r="AM7" i="2"/>
  <c r="AJ5" i="2"/>
  <c r="AN30" i="2"/>
  <c r="AL28" i="2"/>
  <c r="AJ26" i="2"/>
  <c r="AN23" i="2"/>
  <c r="AL21" i="2"/>
  <c r="AJ19" i="2"/>
  <c r="AN16" i="2"/>
  <c r="AL14" i="2"/>
  <c r="AJ12" i="2"/>
  <c r="AN9" i="2"/>
  <c r="AL7" i="2"/>
  <c r="S20" i="2"/>
  <c r="AM30" i="2"/>
  <c r="AK28" i="2"/>
  <c r="AM23" i="2"/>
  <c r="AK21" i="2"/>
  <c r="AM16" i="2"/>
  <c r="AK14" i="2"/>
  <c r="AM9" i="2"/>
  <c r="AK7" i="2"/>
  <c r="AN4" i="2"/>
  <c r="S5" i="2"/>
  <c r="AL30" i="2"/>
  <c r="AJ28" i="2"/>
  <c r="AN25" i="2"/>
  <c r="AL23" i="2"/>
  <c r="AJ21" i="2"/>
  <c r="AN18" i="2"/>
  <c r="AL16" i="2"/>
  <c r="AJ14" i="2"/>
  <c r="AN11" i="2"/>
  <c r="AL9" i="2"/>
  <c r="AJ7" i="2"/>
  <c r="S3" i="2"/>
  <c r="S18" i="2"/>
  <c r="AK30" i="2"/>
  <c r="AM25" i="2"/>
  <c r="AK23" i="2"/>
  <c r="AM18" i="2"/>
  <c r="AK16" i="2"/>
  <c r="AM11" i="2"/>
  <c r="AK9" i="2"/>
  <c r="S4" i="2"/>
  <c r="V24" i="2"/>
  <c r="AI3" i="2"/>
  <c r="AN3" i="2"/>
  <c r="AM3" i="2"/>
  <c r="AL3" i="2"/>
  <c r="AK3" i="2"/>
  <c r="K57" i="3" l="1"/>
  <c r="K61" i="3" s="1"/>
  <c r="K48" i="3"/>
  <c r="K74" i="3"/>
  <c r="J84" i="3" s="1"/>
  <c r="S14" i="3"/>
  <c r="S111" i="3"/>
  <c r="H142" i="3"/>
  <c r="H143" i="3" s="1"/>
  <c r="G143" i="3"/>
  <c r="G132" i="3"/>
  <c r="G133" i="3" s="1"/>
  <c r="G134" i="3" s="1"/>
  <c r="K50" i="3"/>
  <c r="K54" i="3" s="1"/>
  <c r="K55" i="3" s="1"/>
  <c r="L40" i="3"/>
  <c r="L41" i="3"/>
  <c r="Q27" i="3"/>
  <c r="T7" i="3"/>
  <c r="T14" i="3" s="1"/>
  <c r="T28" i="3" s="1"/>
  <c r="Z8" i="3"/>
  <c r="L39" i="3"/>
  <c r="M8" i="3"/>
  <c r="S19" i="2"/>
  <c r="S10" i="2"/>
  <c r="S13" i="2"/>
  <c r="S24" i="2"/>
  <c r="S11" i="2"/>
  <c r="S12" i="2"/>
  <c r="S27" i="2"/>
  <c r="S25" i="2"/>
  <c r="S17" i="2"/>
  <c r="S23" i="2"/>
  <c r="S26" i="2"/>
  <c r="S8" i="2"/>
  <c r="S9" i="2"/>
  <c r="S22" i="2"/>
  <c r="S6" i="2"/>
  <c r="S7" i="2"/>
  <c r="S16" i="2"/>
  <c r="S21" i="2"/>
  <c r="S15" i="2"/>
  <c r="S14" i="2"/>
  <c r="S29" i="2"/>
  <c r="O3" i="2"/>
  <c r="P3" i="2" s="1"/>
  <c r="R5" i="2"/>
  <c r="V25" i="2"/>
  <c r="V27" i="2"/>
  <c r="V30" i="2"/>
  <c r="V29" i="2"/>
  <c r="V28" i="2"/>
  <c r="V26" i="2"/>
  <c r="V7" i="3" l="1"/>
  <c r="S28" i="3"/>
  <c r="H82" i="3"/>
  <c r="H81" i="3"/>
  <c r="J81" i="3"/>
  <c r="J82" i="3"/>
  <c r="K78" i="3"/>
  <c r="J83" i="3"/>
  <c r="H135" i="3"/>
  <c r="H146" i="3" s="1"/>
  <c r="K114" i="3" s="1"/>
  <c r="K115" i="3" s="1"/>
  <c r="K123" i="3" s="1"/>
  <c r="K124" i="3" s="1"/>
  <c r="G135" i="3"/>
  <c r="M40" i="3"/>
  <c r="N40" i="3" s="1"/>
  <c r="N70" i="3" s="1"/>
  <c r="T111" i="3"/>
  <c r="H83" i="3"/>
  <c r="H154" i="3"/>
  <c r="T10" i="3"/>
  <c r="M39" i="3"/>
  <c r="T27" i="3"/>
  <c r="W7" i="3"/>
  <c r="Z7" i="3" s="1"/>
  <c r="Z14" i="3" s="1"/>
  <c r="Z28" i="3" s="1"/>
  <c r="Q11" i="3"/>
  <c r="L42" i="3"/>
  <c r="P8" i="3"/>
  <c r="Q3" i="2"/>
  <c r="AA4" i="2" s="1"/>
  <c r="H136" i="3" l="1"/>
  <c r="G146" i="3"/>
  <c r="J114" i="3" s="1"/>
  <c r="J115" i="3" s="1"/>
  <c r="J123" i="3" s="1"/>
  <c r="J124" i="3" s="1"/>
  <c r="G136" i="3"/>
  <c r="H147" i="3"/>
  <c r="V14" i="3"/>
  <c r="V28" i="3" s="1"/>
  <c r="V111" i="3"/>
  <c r="H148" i="3"/>
  <c r="N39" i="3"/>
  <c r="G148" i="3"/>
  <c r="G156" i="3"/>
  <c r="W10" i="3"/>
  <c r="W111" i="3"/>
  <c r="W14" i="3"/>
  <c r="W28" i="3" s="1"/>
  <c r="Z27" i="3"/>
  <c r="T11" i="3"/>
  <c r="Z10" i="3"/>
  <c r="Z11" i="3" s="1"/>
  <c r="Z111" i="3"/>
  <c r="M41" i="3"/>
  <c r="N52" i="3" s="1"/>
  <c r="M42" i="3"/>
  <c r="N53" i="3" s="1"/>
  <c r="S8" i="3"/>
  <c r="F4" i="2"/>
  <c r="R7" i="2"/>
  <c r="G4" i="2"/>
  <c r="K4" i="2"/>
  <c r="J4" i="2"/>
  <c r="K119" i="3" l="1"/>
  <c r="O39" i="3"/>
  <c r="P39" i="3" s="1"/>
  <c r="Q39" i="3" s="1"/>
  <c r="R39" i="3" s="1"/>
  <c r="S39" i="3" s="1"/>
  <c r="T39" i="3" s="1"/>
  <c r="N69" i="3"/>
  <c r="G147" i="3"/>
  <c r="W27" i="3"/>
  <c r="W11" i="3" s="1"/>
  <c r="O40" i="3"/>
  <c r="P40" i="3" s="1"/>
  <c r="Q40" i="3" s="1"/>
  <c r="Q70" i="3" s="1"/>
  <c r="G157" i="3"/>
  <c r="H84" i="3"/>
  <c r="V8" i="3"/>
  <c r="Y7" i="3"/>
  <c r="Y111" i="3" s="1"/>
  <c r="U4" i="2"/>
  <c r="R8" i="2"/>
  <c r="Q69" i="3" l="1"/>
  <c r="T69" i="3" s="1"/>
  <c r="M112" i="3"/>
  <c r="O41" i="3"/>
  <c r="P41" i="3" s="1"/>
  <c r="Q41" i="3" s="1"/>
  <c r="Q71" i="3" s="1"/>
  <c r="O42" i="3"/>
  <c r="P42" i="3" s="1"/>
  <c r="Q53" i="3" s="1"/>
  <c r="R40" i="3"/>
  <c r="S40" i="3" s="1"/>
  <c r="T40" i="3" s="1"/>
  <c r="T70" i="3" s="1"/>
  <c r="Y8" i="3"/>
  <c r="Y14" i="3"/>
  <c r="U39" i="3"/>
  <c r="V39" i="3" s="1"/>
  <c r="W39" i="3" s="1"/>
  <c r="O4" i="2"/>
  <c r="P4" i="2" s="1"/>
  <c r="X5" i="2" s="1"/>
  <c r="Z5" i="2" s="1"/>
  <c r="J5" i="2" s="1"/>
  <c r="R9" i="2"/>
  <c r="K125" i="3" l="1"/>
  <c r="W69" i="3"/>
  <c r="N112" i="3"/>
  <c r="N113" i="3" s="1"/>
  <c r="K151" i="3" s="1"/>
  <c r="R42" i="3"/>
  <c r="R41" i="3"/>
  <c r="S41" i="3" s="1"/>
  <c r="T41" i="3" s="1"/>
  <c r="T71" i="3" s="1"/>
  <c r="Y28" i="3"/>
  <c r="M113" i="3"/>
  <c r="J151" i="3" s="1"/>
  <c r="U40" i="3"/>
  <c r="V40" i="3" s="1"/>
  <c r="W40" i="3" s="1"/>
  <c r="W70" i="3" s="1"/>
  <c r="X39" i="3"/>
  <c r="Y39" i="3" s="1"/>
  <c r="Z39" i="3" s="1"/>
  <c r="Q4" i="2"/>
  <c r="Y5" i="2" s="1"/>
  <c r="AA5" i="2" s="1"/>
  <c r="F5" i="2"/>
  <c r="R10" i="2"/>
  <c r="Z69" i="3" l="1"/>
  <c r="J119" i="3"/>
  <c r="J116" i="3"/>
  <c r="J128" i="3" s="1"/>
  <c r="S42" i="3"/>
  <c r="T42" i="3" s="1"/>
  <c r="T72" i="3" s="1"/>
  <c r="K116" i="3"/>
  <c r="K128" i="3" s="1"/>
  <c r="J121" i="3"/>
  <c r="J122" i="3" s="1"/>
  <c r="U42" i="3"/>
  <c r="U41" i="3"/>
  <c r="V41" i="3" s="1"/>
  <c r="W41" i="3" s="1"/>
  <c r="W71" i="3" s="1"/>
  <c r="X40" i="3"/>
  <c r="Y40" i="3" s="1"/>
  <c r="Z40" i="3" s="1"/>
  <c r="Z70" i="3" s="1"/>
  <c r="R11" i="2"/>
  <c r="G5" i="2"/>
  <c r="U5" i="2" s="1"/>
  <c r="O5" i="2" s="1"/>
  <c r="Q5" i="2" s="1"/>
  <c r="K5" i="2"/>
  <c r="K138" i="3" l="1"/>
  <c r="K139" i="3" s="1"/>
  <c r="J125" i="3"/>
  <c r="J138" i="3"/>
  <c r="J139" i="3" s="1"/>
  <c r="V42" i="3"/>
  <c r="W42" i="3" s="1"/>
  <c r="W72" i="3" s="1"/>
  <c r="X41" i="3"/>
  <c r="Y41" i="3" s="1"/>
  <c r="Z41" i="3" s="1"/>
  <c r="Z71" i="3" s="1"/>
  <c r="Y6" i="2"/>
  <c r="AA6" i="2" s="1"/>
  <c r="K6" i="2" s="1"/>
  <c r="R12" i="2"/>
  <c r="P5" i="2"/>
  <c r="X6" i="2" s="1"/>
  <c r="Z6" i="2" s="1"/>
  <c r="J6" i="2" s="1"/>
  <c r="K150" i="3" l="1"/>
  <c r="J150" i="3"/>
  <c r="J141" i="3"/>
  <c r="X42" i="3"/>
  <c r="K127" i="3"/>
  <c r="J127" i="3"/>
  <c r="J126" i="3"/>
  <c r="K141" i="3"/>
  <c r="Y42" i="3"/>
  <c r="Z42" i="3" s="1"/>
  <c r="Z72" i="3" s="1"/>
  <c r="G6" i="2"/>
  <c r="R13" i="2"/>
  <c r="F6" i="2"/>
  <c r="U6" i="2" s="1"/>
  <c r="W6" i="2" s="1"/>
  <c r="O6" i="2" s="1"/>
  <c r="J142" i="3" l="1"/>
  <c r="K142" i="3" s="1"/>
  <c r="K149" i="3"/>
  <c r="J149" i="3"/>
  <c r="J154" i="3" s="1"/>
  <c r="J131" i="3"/>
  <c r="R14" i="2"/>
  <c r="Y7" i="2"/>
  <c r="AA7" i="2" s="1"/>
  <c r="J143" i="3" l="1"/>
  <c r="K143" i="3"/>
  <c r="J132" i="3"/>
  <c r="J135" i="3" s="1"/>
  <c r="J146" i="3" s="1"/>
  <c r="J147" i="3" s="1"/>
  <c r="X7" i="2"/>
  <c r="Z7" i="2" s="1"/>
  <c r="R15" i="2"/>
  <c r="G7" i="2"/>
  <c r="K7" i="2"/>
  <c r="J136" i="3" l="1"/>
  <c r="J133" i="3"/>
  <c r="J134" i="3" s="1"/>
  <c r="J148" i="3"/>
  <c r="K135" i="3"/>
  <c r="J7" i="2"/>
  <c r="F7" i="2"/>
  <c r="U7" i="2" s="1"/>
  <c r="O7" i="2" s="1"/>
  <c r="R16" i="2"/>
  <c r="J156" i="3" l="1"/>
  <c r="J157" i="3" s="1"/>
  <c r="K82" i="3"/>
  <c r="K93" i="3" s="1"/>
  <c r="K81" i="3"/>
  <c r="K92" i="3" s="1"/>
  <c r="K83" i="3"/>
  <c r="K154" i="3"/>
  <c r="K136" i="3"/>
  <c r="M114" i="3"/>
  <c r="M115" i="3" s="1"/>
  <c r="M123" i="3" s="1"/>
  <c r="M124" i="3" s="1"/>
  <c r="K148" i="3"/>
  <c r="K84" i="3"/>
  <c r="K95" i="3" s="1"/>
  <c r="P7" i="2"/>
  <c r="X8" i="2" s="1"/>
  <c r="Z8" i="2" s="1"/>
  <c r="Q7" i="2"/>
  <c r="Y8" i="2" s="1"/>
  <c r="AA8" i="2" s="1"/>
  <c r="G8" i="2" s="1"/>
  <c r="J8" i="2"/>
  <c r="R17" i="2"/>
  <c r="F8" i="2"/>
  <c r="K98" i="3" l="1"/>
  <c r="K103" i="3" s="1"/>
  <c r="K99" i="3"/>
  <c r="K94" i="3"/>
  <c r="K100" i="3" s="1"/>
  <c r="K105" i="3" s="1"/>
  <c r="K101" i="3"/>
  <c r="P112" i="3"/>
  <c r="K8" i="2"/>
  <c r="W8" i="2"/>
  <c r="R18" i="2"/>
  <c r="K96" i="3" l="1"/>
  <c r="K146" i="3" s="1"/>
  <c r="N114" i="3" s="1"/>
  <c r="K120" i="3"/>
  <c r="K121" i="3" s="1"/>
  <c r="K122" i="3" s="1"/>
  <c r="N76" i="3"/>
  <c r="N77" i="3"/>
  <c r="K106" i="3"/>
  <c r="M90" i="3"/>
  <c r="N45" i="3"/>
  <c r="M89" i="3"/>
  <c r="P113" i="3"/>
  <c r="M151" i="3" s="1"/>
  <c r="O8" i="2"/>
  <c r="Q8" i="2" s="1"/>
  <c r="Y9" i="2" s="1"/>
  <c r="AA9" i="2" s="1"/>
  <c r="R19" i="2"/>
  <c r="M87" i="3" l="1"/>
  <c r="N87" i="3" s="1"/>
  <c r="N44" i="3"/>
  <c r="N57" i="3" s="1"/>
  <c r="K147" i="3"/>
  <c r="N51" i="3"/>
  <c r="N58" i="3"/>
  <c r="M88" i="3"/>
  <c r="M119" i="3"/>
  <c r="M121" i="3" s="1"/>
  <c r="M122" i="3" s="1"/>
  <c r="K104" i="3"/>
  <c r="M116" i="3"/>
  <c r="M128" i="3" s="1"/>
  <c r="G9" i="2"/>
  <c r="K9" i="2"/>
  <c r="P8" i="2"/>
  <c r="X9" i="2" s="1"/>
  <c r="Z9" i="2" s="1"/>
  <c r="J9" i="2" s="1"/>
  <c r="F9" i="2"/>
  <c r="U9" i="2" s="1"/>
  <c r="W9" i="2" s="1"/>
  <c r="O9" i="2" s="1"/>
  <c r="P9" i="2" s="1"/>
  <c r="X10" i="2" s="1"/>
  <c r="Z10" i="2" s="1"/>
  <c r="J10" i="2" s="1"/>
  <c r="R20" i="2"/>
  <c r="Q112" i="3" l="1"/>
  <c r="Q113" i="3" s="1"/>
  <c r="N151" i="3" s="1"/>
  <c r="N115" i="3"/>
  <c r="N123" i="3" s="1"/>
  <c r="N124" i="3" s="1"/>
  <c r="N50" i="3"/>
  <c r="N54" i="3" s="1"/>
  <c r="N74" i="3"/>
  <c r="M81" i="3" s="1"/>
  <c r="N116" i="3"/>
  <c r="N128" i="3" s="1"/>
  <c r="N61" i="3"/>
  <c r="N75" i="3"/>
  <c r="M125" i="3"/>
  <c r="M138" i="3"/>
  <c r="M139" i="3" s="1"/>
  <c r="N48" i="3"/>
  <c r="Q9" i="2"/>
  <c r="Y10" i="2" s="1"/>
  <c r="AA10" i="2" s="1"/>
  <c r="G10" i="2" s="1"/>
  <c r="R21" i="2"/>
  <c r="F10" i="2"/>
  <c r="N55" i="3" l="1"/>
  <c r="M83" i="3"/>
  <c r="N119" i="3"/>
  <c r="M150" i="3"/>
  <c r="N138" i="3"/>
  <c r="N139" i="3" s="1"/>
  <c r="M141" i="3"/>
  <c r="M82" i="3"/>
  <c r="M84" i="3"/>
  <c r="N78" i="3"/>
  <c r="U10" i="2"/>
  <c r="W10" i="2" s="1"/>
  <c r="O10" i="2" s="1"/>
  <c r="Q10" i="2" s="1"/>
  <c r="K10" i="2"/>
  <c r="R22" i="2"/>
  <c r="N150" i="3" l="1"/>
  <c r="N141" i="3"/>
  <c r="M142" i="3" s="1"/>
  <c r="N125" i="3"/>
  <c r="N127" i="3" s="1"/>
  <c r="Y11" i="2"/>
  <c r="P10" i="2"/>
  <c r="X11" i="2" s="1"/>
  <c r="Z11" i="2" s="1"/>
  <c r="J11" i="2" s="1"/>
  <c r="R23" i="2"/>
  <c r="M126" i="3" l="1"/>
  <c r="N149" i="3" s="1"/>
  <c r="M127" i="3"/>
  <c r="M143" i="3"/>
  <c r="N142" i="3"/>
  <c r="N143" i="3" s="1"/>
  <c r="AA11" i="2"/>
  <c r="G11" i="2" s="1"/>
  <c r="F11" i="2"/>
  <c r="U11" i="2" s="1"/>
  <c r="W11" i="2" s="1"/>
  <c r="O11" i="2" s="1"/>
  <c r="P11" i="2" s="1"/>
  <c r="X12" i="2" s="1"/>
  <c r="Z12" i="2" s="1"/>
  <c r="J12" i="2" s="1"/>
  <c r="R24" i="2"/>
  <c r="M131" i="3" l="1"/>
  <c r="M132" i="3" s="1"/>
  <c r="M135" i="3" s="1"/>
  <c r="M136" i="3" s="1"/>
  <c r="M149" i="3"/>
  <c r="M154" i="3" s="1"/>
  <c r="K11" i="2"/>
  <c r="Q11" i="2"/>
  <c r="R25" i="2"/>
  <c r="F12" i="2"/>
  <c r="N135" i="3" l="1"/>
  <c r="M146" i="3"/>
  <c r="M148" i="3"/>
  <c r="M133" i="3"/>
  <c r="M134" i="3" s="1"/>
  <c r="N154" i="3" s="1"/>
  <c r="Y12" i="2"/>
  <c r="AA12" i="2" s="1"/>
  <c r="R26" i="2"/>
  <c r="M156" i="3" l="1"/>
  <c r="M157" i="3" s="1"/>
  <c r="P114" i="3"/>
  <c r="M147" i="3"/>
  <c r="N136" i="3"/>
  <c r="N148" i="3"/>
  <c r="N84" i="3"/>
  <c r="N95" i="3" s="1"/>
  <c r="N101" i="3" s="1"/>
  <c r="P90" i="3" s="1"/>
  <c r="N83" i="3"/>
  <c r="N94" i="3" s="1"/>
  <c r="N82" i="3"/>
  <c r="N93" i="3" s="1"/>
  <c r="N99" i="3" s="1"/>
  <c r="Q45" i="3" s="1"/>
  <c r="Q51" i="3" s="1"/>
  <c r="N81" i="3"/>
  <c r="G12" i="2"/>
  <c r="U12" i="2" s="1"/>
  <c r="W12" i="2" s="1"/>
  <c r="O12" i="2" s="1"/>
  <c r="Q12" i="2" s="1"/>
  <c r="K12" i="2"/>
  <c r="R27" i="2"/>
  <c r="S112" i="3" l="1"/>
  <c r="S113" i="3" s="1"/>
  <c r="P151" i="3" s="1"/>
  <c r="P115" i="3"/>
  <c r="P123" i="3" s="1"/>
  <c r="P124" i="3" s="1"/>
  <c r="N100" i="3"/>
  <c r="P89" i="3" s="1"/>
  <c r="N92" i="3"/>
  <c r="N104" i="3"/>
  <c r="Q77" i="3"/>
  <c r="Q58" i="3"/>
  <c r="Q75" i="3"/>
  <c r="P88" i="3"/>
  <c r="N106" i="3"/>
  <c r="Y13" i="2"/>
  <c r="AA13" i="2" s="1"/>
  <c r="G13" i="2" s="1"/>
  <c r="P12" i="2"/>
  <c r="X13" i="2" s="1"/>
  <c r="Z13" i="2" s="1"/>
  <c r="J13" i="2" s="1"/>
  <c r="R28" i="2"/>
  <c r="N98" i="3" l="1"/>
  <c r="N96" i="3"/>
  <c r="N146" i="3" s="1"/>
  <c r="Q114" i="3" s="1"/>
  <c r="N105" i="3"/>
  <c r="Q46" i="3"/>
  <c r="Q52" i="3" s="1"/>
  <c r="P119" i="3"/>
  <c r="P121" i="3" s="1"/>
  <c r="P122" i="3" s="1"/>
  <c r="P125" i="3"/>
  <c r="P116" i="3"/>
  <c r="N147" i="3"/>
  <c r="N103" i="3"/>
  <c r="N120" i="3"/>
  <c r="N121" i="3" s="1"/>
  <c r="N122" i="3" s="1"/>
  <c r="Q44" i="3"/>
  <c r="Q57" i="3" s="1"/>
  <c r="P87" i="3"/>
  <c r="Q87" i="3" s="1"/>
  <c r="Q76" i="3"/>
  <c r="K13" i="2"/>
  <c r="F13" i="2"/>
  <c r="U13" i="2" s="1"/>
  <c r="W13" i="2" s="1"/>
  <c r="O13" i="2" s="1"/>
  <c r="Q13" i="2" s="1"/>
  <c r="Y14" i="2" s="1"/>
  <c r="AA14" i="2" s="1"/>
  <c r="G14" i="2" s="1"/>
  <c r="R30" i="2"/>
  <c r="R29" i="2"/>
  <c r="Q115" i="3" l="1"/>
  <c r="P150" i="3"/>
  <c r="Q59" i="3"/>
  <c r="T112" i="3"/>
  <c r="T113" i="3" s="1"/>
  <c r="Q151" i="3" s="1"/>
  <c r="P128" i="3"/>
  <c r="P138" i="3"/>
  <c r="P139" i="3" s="1"/>
  <c r="Q116" i="3"/>
  <c r="Q138" i="3" s="1"/>
  <c r="Q139" i="3" s="1"/>
  <c r="Q61" i="3"/>
  <c r="Q74" i="3"/>
  <c r="P81" i="3" s="1"/>
  <c r="Q50" i="3"/>
  <c r="Q54" i="3" s="1"/>
  <c r="Q48" i="3"/>
  <c r="K14" i="2"/>
  <c r="P13" i="2"/>
  <c r="X14" i="2" s="1"/>
  <c r="Z14" i="2" s="1"/>
  <c r="J14" i="2" s="1"/>
  <c r="Q119" i="3" l="1"/>
  <c r="Q123" i="3"/>
  <c r="Q124" i="3" s="1"/>
  <c r="Q128" i="3"/>
  <c r="Q141" i="3" s="1"/>
  <c r="P141" i="3"/>
  <c r="P83" i="3"/>
  <c r="Q78" i="3"/>
  <c r="Q55" i="3"/>
  <c r="Q150" i="3" s="1"/>
  <c r="P84" i="3"/>
  <c r="P82" i="3"/>
  <c r="F14" i="2"/>
  <c r="U14" i="2" s="1"/>
  <c r="W14" i="2" s="1"/>
  <c r="O14" i="2" s="1"/>
  <c r="P14" i="2" s="1"/>
  <c r="X15" i="2" s="1"/>
  <c r="Z15" i="2" s="1"/>
  <c r="J15" i="2" s="1"/>
  <c r="P142" i="3" l="1"/>
  <c r="P143" i="3" s="1"/>
  <c r="Q125" i="3"/>
  <c r="Q127" i="3" s="1"/>
  <c r="F15" i="2"/>
  <c r="Q14" i="2"/>
  <c r="Y15" i="2" s="1"/>
  <c r="AA15" i="2" s="1"/>
  <c r="G15" i="2" s="1"/>
  <c r="U15" i="2" s="1"/>
  <c r="W15" i="2" s="1"/>
  <c r="O15" i="2" s="1"/>
  <c r="Q15" i="2" s="1"/>
  <c r="Q142" i="3" l="1"/>
  <c r="Q143" i="3" s="1"/>
  <c r="P126" i="3"/>
  <c r="P131" i="3" s="1"/>
  <c r="P132" i="3" s="1"/>
  <c r="P135" i="3" s="1"/>
  <c r="P136" i="3" s="1"/>
  <c r="P127" i="3"/>
  <c r="K15" i="2"/>
  <c r="Y16" i="2" s="1"/>
  <c r="AA16" i="2" s="1"/>
  <c r="G16" i="2" s="1"/>
  <c r="P15" i="2"/>
  <c r="X16" i="2" s="1"/>
  <c r="Z16" i="2" s="1"/>
  <c r="J16" i="2" s="1"/>
  <c r="Q149" i="3" l="1"/>
  <c r="P149" i="3"/>
  <c r="P154" i="3" s="1"/>
  <c r="P133" i="3"/>
  <c r="P134" i="3" s="1"/>
  <c r="Q82" i="3" s="1"/>
  <c r="Q93" i="3" s="1"/>
  <c r="Q99" i="3" s="1"/>
  <c r="Q135" i="3"/>
  <c r="P148" i="3"/>
  <c r="P146" i="3"/>
  <c r="P147" i="3" s="1"/>
  <c r="Q154" i="3"/>
  <c r="K16" i="2"/>
  <c r="F16" i="2"/>
  <c r="U16" i="2" s="1"/>
  <c r="W16" i="2" s="1"/>
  <c r="O16" i="2" s="1"/>
  <c r="P16" i="2" s="1"/>
  <c r="X17" i="2" s="1"/>
  <c r="Z17" i="2" s="1"/>
  <c r="J17" i="2" s="1"/>
  <c r="P156" i="3" l="1"/>
  <c r="P157" i="3" s="1"/>
  <c r="Q83" i="3"/>
  <c r="Q94" i="3" s="1"/>
  <c r="Q81" i="3"/>
  <c r="Q92" i="3" s="1"/>
  <c r="Q98" i="3" s="1"/>
  <c r="S87" i="3" s="1"/>
  <c r="T87" i="3" s="1"/>
  <c r="Q136" i="3"/>
  <c r="Q148" i="3"/>
  <c r="Q84" i="3"/>
  <c r="Q95" i="3" s="1"/>
  <c r="Q101" i="3" s="1"/>
  <c r="S90" i="3" s="1"/>
  <c r="S114" i="3"/>
  <c r="S115" i="3" s="1"/>
  <c r="S123" i="3" s="1"/>
  <c r="S124" i="3" s="1"/>
  <c r="Q100" i="3"/>
  <c r="T46" i="3" s="1"/>
  <c r="T52" i="3" s="1"/>
  <c r="Q104" i="3"/>
  <c r="S88" i="3"/>
  <c r="T45" i="3"/>
  <c r="T51" i="3" s="1"/>
  <c r="Q16" i="2"/>
  <c r="Y17" i="2" s="1"/>
  <c r="AA17" i="2" s="1"/>
  <c r="K17" i="2" s="1"/>
  <c r="F17" i="2"/>
  <c r="Q96" i="3" l="1"/>
  <c r="Q146" i="3" s="1"/>
  <c r="T114" i="3" s="1"/>
  <c r="T44" i="3"/>
  <c r="T50" i="3" s="1"/>
  <c r="T47" i="3"/>
  <c r="T53" i="3" s="1"/>
  <c r="Q106" i="3"/>
  <c r="S89" i="3"/>
  <c r="Q105" i="3"/>
  <c r="V112" i="3"/>
  <c r="V113" i="3" s="1"/>
  <c r="S151" i="3" s="1"/>
  <c r="Q147" i="3"/>
  <c r="Q120" i="3"/>
  <c r="Q121" i="3" s="1"/>
  <c r="Q122" i="3" s="1"/>
  <c r="Q103" i="3"/>
  <c r="T75" i="3"/>
  <c r="T74" i="3"/>
  <c r="T58" i="3"/>
  <c r="T76" i="3"/>
  <c r="T59" i="3"/>
  <c r="G17" i="2"/>
  <c r="U17" i="2" s="1"/>
  <c r="W17" i="2" s="1"/>
  <c r="O17" i="2" s="1"/>
  <c r="P17" i="2" s="1"/>
  <c r="X18" i="2" s="1"/>
  <c r="Z18" i="2" s="1"/>
  <c r="J18" i="2" s="1"/>
  <c r="T54" i="3" l="1"/>
  <c r="T115" i="3"/>
  <c r="T123" i="3" s="1"/>
  <c r="T124" i="3" s="1"/>
  <c r="T48" i="3"/>
  <c r="T77" i="3"/>
  <c r="S84" i="3" s="1"/>
  <c r="T57" i="3"/>
  <c r="T60" i="3"/>
  <c r="W112" i="3"/>
  <c r="W113" i="3" s="1"/>
  <c r="T151" i="3" s="1"/>
  <c r="S125" i="3"/>
  <c r="S119" i="3"/>
  <c r="S121" i="3" s="1"/>
  <c r="S122" i="3" s="1"/>
  <c r="S116" i="3"/>
  <c r="T116" i="3"/>
  <c r="T128" i="3" s="1"/>
  <c r="T119" i="3"/>
  <c r="S82" i="3"/>
  <c r="S81" i="3"/>
  <c r="S83" i="3"/>
  <c r="Q17" i="2"/>
  <c r="Y18" i="2" s="1"/>
  <c r="AA18" i="2" s="1"/>
  <c r="G18" i="2" s="1"/>
  <c r="F18" i="2"/>
  <c r="T55" i="3" l="1"/>
  <c r="T61" i="3"/>
  <c r="T78" i="3"/>
  <c r="T138" i="3"/>
  <c r="S150" i="3"/>
  <c r="S128" i="3"/>
  <c r="S138" i="3"/>
  <c r="S139" i="3" s="1"/>
  <c r="T150" i="3"/>
  <c r="T139" i="3"/>
  <c r="T141" i="3" s="1"/>
  <c r="T125" i="3"/>
  <c r="K18" i="2"/>
  <c r="U18" i="2"/>
  <c r="W18" i="2" s="1"/>
  <c r="O18" i="2" s="1"/>
  <c r="Q18" i="2" s="1"/>
  <c r="S141" i="3" l="1"/>
  <c r="S142" i="3" s="1"/>
  <c r="S127" i="3"/>
  <c r="S126" i="3"/>
  <c r="T127" i="3"/>
  <c r="Y19" i="2"/>
  <c r="AA19" i="2" s="1"/>
  <c r="G19" i="2" s="1"/>
  <c r="P18" i="2"/>
  <c r="X19" i="2" s="1"/>
  <c r="Z19" i="2" s="1"/>
  <c r="J19" i="2" s="1"/>
  <c r="T142" i="3" l="1"/>
  <c r="T143" i="3" s="1"/>
  <c r="S143" i="3"/>
  <c r="T149" i="3"/>
  <c r="S131" i="3"/>
  <c r="S132" i="3" s="1"/>
  <c r="S149" i="3"/>
  <c r="S154" i="3" s="1"/>
  <c r="K19" i="2"/>
  <c r="F19" i="2"/>
  <c r="U19" i="2" s="1"/>
  <c r="W19" i="2" s="1"/>
  <c r="O19" i="2" s="1"/>
  <c r="P19" i="2" s="1"/>
  <c r="X20" i="2" s="1"/>
  <c r="Z20" i="2" s="1"/>
  <c r="T135" i="3" l="1"/>
  <c r="S133" i="3"/>
  <c r="S134" i="3" s="1"/>
  <c r="S135" i="3"/>
  <c r="S136" i="3" s="1"/>
  <c r="T154" i="3"/>
  <c r="Q19" i="2"/>
  <c r="Y20" i="2" s="1"/>
  <c r="AA20" i="2" s="1"/>
  <c r="G20" i="2" s="1"/>
  <c r="J20" i="2"/>
  <c r="F20" i="2"/>
  <c r="T136" i="3" l="1"/>
  <c r="S156" i="3"/>
  <c r="S157" i="3" s="1"/>
  <c r="S148" i="3"/>
  <c r="T81" i="3"/>
  <c r="T92" i="3" s="1"/>
  <c r="T83" i="3"/>
  <c r="T94" i="3" s="1"/>
  <c r="T100" i="3" s="1"/>
  <c r="T84" i="3"/>
  <c r="T95" i="3" s="1"/>
  <c r="T148" i="3"/>
  <c r="S146" i="3"/>
  <c r="T82" i="3"/>
  <c r="T93" i="3" s="1"/>
  <c r="T99" i="3" s="1"/>
  <c r="T104" i="3" s="1"/>
  <c r="K20" i="2"/>
  <c r="U20" i="2"/>
  <c r="W20" i="2" s="1"/>
  <c r="T98" i="3" l="1"/>
  <c r="T103" i="3" s="1"/>
  <c r="T96" i="3"/>
  <c r="T146" i="3" s="1"/>
  <c r="W114" i="3" s="1"/>
  <c r="T101" i="3"/>
  <c r="W47" i="3" s="1"/>
  <c r="W45" i="3"/>
  <c r="W51" i="3" s="1"/>
  <c r="V88" i="3"/>
  <c r="V114" i="3"/>
  <c r="S147" i="3"/>
  <c r="W44" i="3"/>
  <c r="W50" i="3" s="1"/>
  <c r="V90" i="3"/>
  <c r="V89" i="3"/>
  <c r="W46" i="3"/>
  <c r="W52" i="3" s="1"/>
  <c r="V87" i="3"/>
  <c r="W87" i="3" s="1"/>
  <c r="T105" i="3"/>
  <c r="O20" i="2"/>
  <c r="P20" i="2" s="1"/>
  <c r="X21" i="2" s="1"/>
  <c r="Z21" i="2" s="1"/>
  <c r="T106" i="3" l="1"/>
  <c r="T120" i="3"/>
  <c r="T121" i="3" s="1"/>
  <c r="T122" i="3" s="1"/>
  <c r="Y112" i="3"/>
  <c r="Y113" i="3" s="1"/>
  <c r="V151" i="3" s="1"/>
  <c r="V115" i="3"/>
  <c r="V123" i="3" s="1"/>
  <c r="V124" i="3" s="1"/>
  <c r="W58" i="3"/>
  <c r="W75" i="3"/>
  <c r="W74" i="3"/>
  <c r="V81" i="3" s="1"/>
  <c r="W76" i="3"/>
  <c r="T147" i="3"/>
  <c r="W57" i="3"/>
  <c r="W59" i="3"/>
  <c r="W53" i="3"/>
  <c r="W54" i="3" s="1"/>
  <c r="W77" i="3"/>
  <c r="W60" i="3"/>
  <c r="W48" i="3"/>
  <c r="J21" i="2"/>
  <c r="F21" i="2"/>
  <c r="Q20" i="2"/>
  <c r="Y21" i="2" s="1"/>
  <c r="AA21" i="2" s="1"/>
  <c r="G21" i="2" s="1"/>
  <c r="V125" i="3" l="1"/>
  <c r="V116" i="3"/>
  <c r="V128" i="3" s="1"/>
  <c r="V119" i="3"/>
  <c r="V121" i="3" s="1"/>
  <c r="V122" i="3" s="1"/>
  <c r="Z112" i="3"/>
  <c r="Z113" i="3" s="1"/>
  <c r="W151" i="3" s="1"/>
  <c r="W115" i="3"/>
  <c r="V84" i="3"/>
  <c r="V82" i="3"/>
  <c r="V83" i="3"/>
  <c r="W61" i="3"/>
  <c r="V138" i="3"/>
  <c r="V139" i="3" s="1"/>
  <c r="V141" i="3" s="1"/>
  <c r="V150" i="3"/>
  <c r="W116" i="3"/>
  <c r="W78" i="3"/>
  <c r="W55" i="3"/>
  <c r="U21" i="2"/>
  <c r="W21" i="2" s="1"/>
  <c r="O21" i="2" s="1"/>
  <c r="Q21" i="2" s="1"/>
  <c r="K21" i="2"/>
  <c r="W119" i="3" l="1"/>
  <c r="W123" i="3"/>
  <c r="W124" i="3" s="1"/>
  <c r="W150" i="3" s="1"/>
  <c r="W128" i="3"/>
  <c r="W138" i="3"/>
  <c r="W139" i="3" s="1"/>
  <c r="P21" i="2"/>
  <c r="X22" i="2" s="1"/>
  <c r="Z22" i="2" s="1"/>
  <c r="J22" i="2" s="1"/>
  <c r="Y22" i="2"/>
  <c r="AA22" i="2" s="1"/>
  <c r="G22" i="2" s="1"/>
  <c r="F22" i="2"/>
  <c r="U22" i="2" s="1"/>
  <c r="W22" i="2" s="1"/>
  <c r="O22" i="2" s="1"/>
  <c r="Q22" i="2" s="1"/>
  <c r="W125" i="3" l="1"/>
  <c r="V126" i="3" s="1"/>
  <c r="W141" i="3"/>
  <c r="V142" i="3" s="1"/>
  <c r="V143" i="3" s="1"/>
  <c r="K22" i="2"/>
  <c r="Y23" i="2" s="1"/>
  <c r="AA23" i="2" s="1"/>
  <c r="P22" i="2"/>
  <c r="X23" i="2" s="1"/>
  <c r="Z23" i="2" s="1"/>
  <c r="J23" i="2" s="1"/>
  <c r="W127" i="3" l="1"/>
  <c r="W149" i="3" s="1"/>
  <c r="V127" i="3"/>
  <c r="V149" i="3" s="1"/>
  <c r="V154" i="3" s="1"/>
  <c r="V131" i="3"/>
  <c r="V132" i="3" s="1"/>
  <c r="V135" i="3" s="1"/>
  <c r="V136" i="3" s="1"/>
  <c r="W142" i="3"/>
  <c r="W143" i="3" s="1"/>
  <c r="G23" i="2"/>
  <c r="K23" i="2"/>
  <c r="F23" i="2"/>
  <c r="U23" i="2" s="1"/>
  <c r="W23" i="2" s="1"/>
  <c r="O23" i="2" s="1"/>
  <c r="Q23" i="2" s="1"/>
  <c r="Y24" i="2" s="1"/>
  <c r="AA24" i="2" s="1"/>
  <c r="V133" i="3" l="1"/>
  <c r="V134" i="3" s="1"/>
  <c r="W81" i="3" s="1"/>
  <c r="W135" i="3"/>
  <c r="V146" i="3"/>
  <c r="V148" i="3"/>
  <c r="W154" i="3"/>
  <c r="P23" i="2"/>
  <c r="X24" i="2" s="1"/>
  <c r="Z24" i="2" s="1"/>
  <c r="J24" i="2" s="1"/>
  <c r="G24" i="2"/>
  <c r="K24" i="2"/>
  <c r="V156" i="3" l="1"/>
  <c r="V157" i="3" s="1"/>
  <c r="W84" i="3"/>
  <c r="W95" i="3" s="1"/>
  <c r="W83" i="3"/>
  <c r="W94" i="3" s="1"/>
  <c r="W82" i="3"/>
  <c r="W93" i="3" s="1"/>
  <c r="W99" i="3" s="1"/>
  <c r="Z45" i="3" s="1"/>
  <c r="W148" i="3"/>
  <c r="Y114" i="3"/>
  <c r="V147" i="3"/>
  <c r="W136" i="3"/>
  <c r="W92" i="3"/>
  <c r="F24" i="2"/>
  <c r="U24" i="2" s="1"/>
  <c r="W24" i="2" s="1"/>
  <c r="O24" i="2" s="1"/>
  <c r="P24" i="2" s="1"/>
  <c r="X25" i="2" s="1"/>
  <c r="Z25" i="2" s="1"/>
  <c r="J25" i="2" s="1"/>
  <c r="W98" i="3" l="1"/>
  <c r="W96" i="3"/>
  <c r="W146" i="3" s="1"/>
  <c r="Z114" i="3" s="1"/>
  <c r="Y115" i="3"/>
  <c r="W101" i="3"/>
  <c r="W106" i="3" s="1"/>
  <c r="W100" i="3"/>
  <c r="W105" i="3" s="1"/>
  <c r="Y116" i="3"/>
  <c r="Y128" i="3" s="1"/>
  <c r="Z44" i="3"/>
  <c r="Y87" i="3"/>
  <c r="Z87" i="3" s="1"/>
  <c r="Z151" i="3" s="1"/>
  <c r="W103" i="3"/>
  <c r="W104" i="3"/>
  <c r="Z75" i="3"/>
  <c r="Y89" i="3"/>
  <c r="Y88" i="3"/>
  <c r="Z51" i="3"/>
  <c r="Z58" i="3"/>
  <c r="Q24" i="2"/>
  <c r="Y25" i="2" s="1"/>
  <c r="AA25" i="2" s="1"/>
  <c r="G25" i="2" s="1"/>
  <c r="F25" i="2"/>
  <c r="Y119" i="3" l="1"/>
  <c r="Y121" i="3" s="1"/>
  <c r="Y122" i="3" s="1"/>
  <c r="Y123" i="3"/>
  <c r="Z47" i="3"/>
  <c r="Z53" i="3" s="1"/>
  <c r="Z46" i="3"/>
  <c r="Z52" i="3" s="1"/>
  <c r="Y90" i="3"/>
  <c r="W120" i="3"/>
  <c r="W121" i="3" s="1"/>
  <c r="W122" i="3" s="1"/>
  <c r="Y138" i="3"/>
  <c r="Y139" i="3" s="1"/>
  <c r="Y141" i="3" s="1"/>
  <c r="W147" i="3"/>
  <c r="Z76" i="3"/>
  <c r="Z50" i="3"/>
  <c r="Z54" i="3" s="1"/>
  <c r="Z57" i="3"/>
  <c r="Z74" i="3"/>
  <c r="Y81" i="3" s="1"/>
  <c r="Z48" i="3"/>
  <c r="K25" i="2"/>
  <c r="U25" i="2"/>
  <c r="W25" i="2" s="1"/>
  <c r="O25" i="2" s="1"/>
  <c r="Q25" i="2" s="1"/>
  <c r="Y26" i="2" s="1"/>
  <c r="AA26" i="2" s="1"/>
  <c r="G26" i="2" s="1"/>
  <c r="Y124" i="3" l="1"/>
  <c r="Y150" i="3" s="1"/>
  <c r="Z60" i="3"/>
  <c r="Z77" i="3"/>
  <c r="Y84" i="3" s="1"/>
  <c r="Z59" i="3"/>
  <c r="Z61" i="3" s="1"/>
  <c r="Z115" i="3"/>
  <c r="Y83" i="3"/>
  <c r="Y82" i="3"/>
  <c r="Z55" i="3"/>
  <c r="P25" i="2"/>
  <c r="X26" i="2" s="1"/>
  <c r="Z26" i="2" s="1"/>
  <c r="J26" i="2" s="1"/>
  <c r="K26" i="2"/>
  <c r="Z78" i="3" l="1"/>
  <c r="Y125" i="3"/>
  <c r="Z119" i="3"/>
  <c r="Z123" i="3"/>
  <c r="Z124" i="3" s="1"/>
  <c r="Z125" i="3" s="1"/>
  <c r="Z127" i="3" s="1"/>
  <c r="Z116" i="3"/>
  <c r="Z138" i="3" s="1"/>
  <c r="Z139" i="3" s="1"/>
  <c r="F26" i="2"/>
  <c r="U26" i="2" s="1"/>
  <c r="W26" i="2" s="1"/>
  <c r="O26" i="2" s="1"/>
  <c r="Q26" i="2" s="1"/>
  <c r="Y27" i="2" s="1"/>
  <c r="AA27" i="2" s="1"/>
  <c r="Z128" i="3" l="1"/>
  <c r="Z141" i="3" s="1"/>
  <c r="Y142" i="3" s="1"/>
  <c r="Z150" i="3"/>
  <c r="Y126" i="3"/>
  <c r="Y127" i="3"/>
  <c r="P26" i="2"/>
  <c r="X27" i="2" s="1"/>
  <c r="Z27" i="2" s="1"/>
  <c r="J27" i="2" s="1"/>
  <c r="G27" i="2"/>
  <c r="K27" i="2"/>
  <c r="Y131" i="3" l="1"/>
  <c r="Y132" i="3" s="1"/>
  <c r="Z142" i="3"/>
  <c r="Z143" i="3" s="1"/>
  <c r="Y143" i="3"/>
  <c r="Z149" i="3"/>
  <c r="Y149" i="3"/>
  <c r="Y154" i="3" s="1"/>
  <c r="F27" i="2"/>
  <c r="U27" i="2" s="1"/>
  <c r="W27" i="2" s="1"/>
  <c r="O27" i="2" s="1"/>
  <c r="P27" i="2" s="1"/>
  <c r="X28" i="2" s="1"/>
  <c r="Z28" i="2" s="1"/>
  <c r="J28" i="2" s="1"/>
  <c r="Z135" i="3" l="1"/>
  <c r="Y133" i="3"/>
  <c r="Y134" i="3" s="1"/>
  <c r="Z154" i="3" s="1"/>
  <c r="Y135" i="3"/>
  <c r="Q27" i="2"/>
  <c r="Y28" i="2" s="1"/>
  <c r="AA28" i="2" s="1"/>
  <c r="G28" i="2" s="1"/>
  <c r="F28" i="2"/>
  <c r="Y136" i="3" l="1"/>
  <c r="Y156" i="3"/>
  <c r="Y157" i="3" s="1"/>
  <c r="Y146" i="3"/>
  <c r="Y147" i="3" s="1"/>
  <c r="Y148" i="3"/>
  <c r="Z148" i="3"/>
  <c r="Z83" i="3"/>
  <c r="Z94" i="3" s="1"/>
  <c r="Z100" i="3" s="1"/>
  <c r="Z81" i="3"/>
  <c r="Z92" i="3" s="1"/>
  <c r="Z82" i="3"/>
  <c r="Z93" i="3" s="1"/>
  <c r="Z99" i="3" s="1"/>
  <c r="Z84" i="3"/>
  <c r="Z95" i="3" s="1"/>
  <c r="Z101" i="3" s="1"/>
  <c r="Z136" i="3"/>
  <c r="U28" i="2"/>
  <c r="W28" i="2" s="1"/>
  <c r="O28" i="2" s="1"/>
  <c r="Q28" i="2" s="1"/>
  <c r="K28" i="2"/>
  <c r="Z98" i="3" l="1"/>
  <c r="Z120" i="3" s="1"/>
  <c r="Z121" i="3" s="1"/>
  <c r="Z122" i="3" s="1"/>
  <c r="Z96" i="3"/>
  <c r="Z146" i="3" s="1"/>
  <c r="Z147" i="3" s="1"/>
  <c r="Z105" i="3"/>
  <c r="Z106" i="3"/>
  <c r="Z104" i="3"/>
  <c r="Y29" i="2"/>
  <c r="AA29" i="2" s="1"/>
  <c r="G29" i="2" s="1"/>
  <c r="P28" i="2"/>
  <c r="X29" i="2" s="1"/>
  <c r="Z29" i="2" s="1"/>
  <c r="J29" i="2" s="1"/>
  <c r="Z103" i="3" l="1"/>
  <c r="K29" i="2"/>
  <c r="F29" i="2"/>
  <c r="U29" i="2" s="1"/>
  <c r="W29" i="2" s="1"/>
  <c r="O29" i="2" s="1"/>
  <c r="P29" i="2" s="1"/>
  <c r="X30" i="2" s="1"/>
  <c r="Z30" i="2" s="1"/>
  <c r="J30" i="2" s="1"/>
  <c r="F30" i="2" l="1"/>
  <c r="Q29" i="2"/>
  <c r="Y30" i="2" s="1"/>
  <c r="AA30" i="2" s="1"/>
  <c r="G30" i="2" l="1"/>
  <c r="U30" i="2" s="1"/>
  <c r="W30" i="2" s="1"/>
  <c r="O30" i="2" s="1"/>
  <c r="Q30" i="2" s="1"/>
  <c r="K30" i="2"/>
  <c r="P30" i="2" l="1"/>
</calcChain>
</file>

<file path=xl/sharedStrings.xml><?xml version="1.0" encoding="utf-8"?>
<sst xmlns="http://schemas.openxmlformats.org/spreadsheetml/2006/main" count="742" uniqueCount="487">
  <si>
    <t>forest_primary_c_ha</t>
  </si>
  <si>
    <t>forest_secondary_c_ha</t>
  </si>
  <si>
    <t>forest_primary_c_ha_yr</t>
  </si>
  <si>
    <t>forest_secondary_c_ha_yr</t>
  </si>
  <si>
    <t>forest_primary_conv_ha</t>
  </si>
  <si>
    <t>forest_secondary_conv_ha</t>
  </si>
  <si>
    <t>fraction_c_available_for_use</t>
  </si>
  <si>
    <t>c_demand</t>
  </si>
  <si>
    <t>forest_primary_ha</t>
  </si>
  <si>
    <t>forest_secondary_ha</t>
  </si>
  <si>
    <t>fraction_c_converted_available</t>
  </si>
  <si>
    <t>c_stock_loss_conversion_primary</t>
  </si>
  <si>
    <t>c_stock_loss_conversion_secondary</t>
  </si>
  <si>
    <t>c_stock_loss_conversion_available_for_bmass</t>
  </si>
  <si>
    <t>c_stock_available_in_forests</t>
  </si>
  <si>
    <t>fraction_c_loss_to_degrade</t>
  </si>
  <si>
    <t>Assume forest in steady state at t = 0 (def a problem)</t>
  </si>
  <si>
    <t>Stop extraction at floor (30%)</t>
  </si>
  <si>
    <t>Reduce annual sequestration rate after some threshold (70%?)</t>
  </si>
  <si>
    <t>tp0</t>
  </si>
  <si>
    <t>tp1</t>
  </si>
  <si>
    <t>tp2</t>
  </si>
  <si>
    <t>..</t>
  </si>
  <si>
    <t>Initial Area (ha)</t>
  </si>
  <si>
    <t>primary</t>
  </si>
  <si>
    <t>secondary</t>
  </si>
  <si>
    <t>Deforestation</t>
  </si>
  <si>
    <t>Protected Areas</t>
  </si>
  <si>
    <t>Annual Sequestration</t>
  </si>
  <si>
    <t>Area of Original Remaining</t>
  </si>
  <si>
    <t>C stock tonne per ha</t>
  </si>
  <si>
    <t>Removals (tonnes)</t>
  </si>
  <si>
    <t xml:space="preserve"> Demanded</t>
  </si>
  <si>
    <t>seq_curve</t>
  </si>
  <si>
    <t>tp3</t>
  </si>
  <si>
    <t>tp4</t>
  </si>
  <si>
    <t>New Forest Areas -- Assume unavailable for harvesting for at least 20 years</t>
  </si>
  <si>
    <t>stock in new forests</t>
  </si>
  <si>
    <t>seq_cum</t>
  </si>
  <si>
    <t>new</t>
  </si>
  <si>
    <t>tp</t>
  </si>
  <si>
    <t>n_years_to_avail</t>
  </si>
  <si>
    <t>frac_avail_for_use</t>
  </si>
  <si>
    <t>deforestation</t>
  </si>
  <si>
    <t>C from other</t>
  </si>
  <si>
    <t>min_frac_required</t>
  </si>
  <si>
    <t>C total available</t>
  </si>
  <si>
    <t>C at beginning of period</t>
  </si>
  <si>
    <t>C without degradationin init</t>
  </si>
  <si>
    <t xml:space="preserve"> </t>
  </si>
  <si>
    <t>Satisfiable</t>
  </si>
  <si>
    <t>t = 0</t>
  </si>
  <si>
    <t>protected area</t>
  </si>
  <si>
    <t>demanded removals (hwp + fuelwood)</t>
  </si>
  <si>
    <t>frac la conversion available for use</t>
  </si>
  <si>
    <t>land use conversion away</t>
  </si>
  <si>
    <t>Demand</t>
  </si>
  <si>
    <t>calculated variables</t>
  </si>
  <si>
    <t>C stock</t>
  </si>
  <si>
    <t>sequestration_curve</t>
  </si>
  <si>
    <t>function</t>
  </si>
  <si>
    <t>base factor</t>
  </si>
  <si>
    <t>base average stock</t>
  </si>
  <si>
    <t>current average stock</t>
  </si>
  <si>
    <t>t = 1</t>
  </si>
  <si>
    <t>t = 2</t>
  </si>
  <si>
    <t>land conversion into</t>
  </si>
  <si>
    <t>initial area  from steady state</t>
  </si>
  <si>
    <t>nominal annual sequestration (tonna/ha/year)</t>
  </si>
  <si>
    <t>area_from_t1</t>
  </si>
  <si>
    <t>c_stock_t0</t>
  </si>
  <si>
    <t>c_stock_t1</t>
  </si>
  <si>
    <t>c_stock_t2</t>
  </si>
  <si>
    <t>Removals</t>
  </si>
  <si>
    <t>original forest</t>
  </si>
  <si>
    <t>average stock per ha available (accounts for min frac)</t>
  </si>
  <si>
    <t>c available from stock beginning of period</t>
  </si>
  <si>
    <t>after X years, new forests enter the full pool, and it's assumed that wood is pulled uniformly (deal with average sequestration factors)</t>
  </si>
  <si>
    <t>t = 3</t>
  </si>
  <si>
    <t>area_from_t2</t>
  </si>
  <si>
    <t>area_from_t3</t>
  </si>
  <si>
    <t>c_stock_t3</t>
  </si>
  <si>
    <t>…</t>
  </si>
  <si>
    <t>t = 4</t>
  </si>
  <si>
    <t>t = 5</t>
  </si>
  <si>
    <t>T x T</t>
  </si>
  <si>
    <t>NEW FOREST PROTECTION MATRIX</t>
  </si>
  <si>
    <t xml:space="preserve"> (Y) area_from _t0</t>
  </si>
  <si>
    <t>zeros</t>
  </si>
  <si>
    <t>NPP Curve and Young Forest Assumptions</t>
  </si>
  <si>
    <t>sequestration_factor_t0_base</t>
  </si>
  <si>
    <t>sequestration_factor_t1_base</t>
  </si>
  <si>
    <t>sequestration_factor_t2_base</t>
  </si>
  <si>
    <t>sequestration_factor_t3_base</t>
  </si>
  <si>
    <t>unproctected</t>
  </si>
  <si>
    <t>protected</t>
  </si>
  <si>
    <t>orig</t>
  </si>
  <si>
    <t>young</t>
  </si>
  <si>
    <t>avail</t>
  </si>
  <si>
    <t>unavail</t>
  </si>
  <si>
    <t>from original forests, c stock available</t>
  </si>
  <si>
    <t>from original forests, c stock that is unavailable without affecting land use transition</t>
  </si>
  <si>
    <t>from new forests, c stock available</t>
  </si>
  <si>
    <t>from new forests, c stock unavailable</t>
  </si>
  <si>
    <t xml:space="preserve">from original forests, c stock </t>
  </si>
  <si>
    <t xml:space="preserve">from protected forests, c stock </t>
  </si>
  <si>
    <t>last in, last out</t>
  </si>
  <si>
    <t>LILO</t>
  </si>
  <si>
    <t>young_forest_protected</t>
  </si>
  <si>
    <t>if_untouched_c_stock_t0</t>
  </si>
  <si>
    <t>if_untouched_c_stock_t1</t>
  </si>
  <si>
    <t>if_untouched_c_stock_t2</t>
  </si>
  <si>
    <t>if_untouched_c_stock_t3</t>
  </si>
  <si>
    <t>land use conversion away from new forest</t>
  </si>
  <si>
    <t>forest area (start)</t>
  </si>
  <si>
    <t>base tonne C/ha reqd maintained</t>
  </si>
  <si>
    <t>base storage tonne C/ha</t>
  </si>
  <si>
    <t>buffer zone (fraction of stock above dead storage which contributes to slowing removals)</t>
  </si>
  <si>
    <t>some reservoir terms</t>
  </si>
  <si>
    <t>removals allocation</t>
  </si>
  <si>
    <t>removals from original</t>
  </si>
  <si>
    <t>stock to allocate from original pool excluding conversion</t>
  </si>
  <si>
    <t>total accessible pool</t>
  </si>
  <si>
    <t>removals  unmet by original</t>
  </si>
  <si>
    <t>drops</t>
  </si>
  <si>
    <t>cumulative_vals</t>
  </si>
  <si>
    <t>conversion away from new forest</t>
  </si>
  <si>
    <t>c_available_for_removals_mask_t0</t>
  </si>
  <si>
    <t>c_available_for_removals_mask_t1</t>
  </si>
  <si>
    <t>c_available_for_removals_mask_t2</t>
  </si>
  <si>
    <t>c_available_for_removals_mask_t3</t>
  </si>
  <si>
    <t>adjusted_sequestration_factor_t0</t>
  </si>
  <si>
    <t>adjusted_sequestration_factor_t1</t>
  </si>
  <si>
    <t>adjusted_sequestration_factor_t2</t>
  </si>
  <si>
    <t>adjusted_sequestration_factor_t3</t>
  </si>
  <si>
    <t>t = 6</t>
  </si>
  <si>
    <t>adjustment factor</t>
  </si>
  <si>
    <t>(percentage of forest stock available out of full stock not in dead storage ) carbon_stock_factor</t>
  </si>
  <si>
    <t>sequestration adjustment threshold--below this carbon stock depletion level, sequestration factors will start to decline</t>
  </si>
  <si>
    <t>YOUNG FOREST/AFORESTATION</t>
  </si>
  <si>
    <t>STARTING FOREST</t>
  </si>
  <si>
    <t>if_untouched_c_stock</t>
  </si>
  <si>
    <t>average_stock_per_ha</t>
  </si>
  <si>
    <t>area from steady state after conversion away</t>
  </si>
  <si>
    <t>original_forest_protected</t>
  </si>
  <si>
    <t>land use conversion away from new forest without protection</t>
  </si>
  <si>
    <t>removals from young</t>
  </si>
  <si>
    <t>total c available for removals</t>
  </si>
  <si>
    <t>c_stock_removal_allocation_t0</t>
  </si>
  <si>
    <t>c_stock_removal_allocation_t1</t>
  </si>
  <si>
    <t>c_stock_removal_allocation_t2</t>
  </si>
  <si>
    <t>c_stock_removal_allocation_t3</t>
  </si>
  <si>
    <t xml:space="preserve">stock in new forest if no removals (includes changes to area of new forest)
arr_young_stock_if_no_removals
</t>
  </si>
  <si>
    <t>Auxiliary Variables and Notes</t>
  </si>
  <si>
    <t>Variable</t>
  </si>
  <si>
    <t>Python Variable</t>
  </si>
  <si>
    <t>arr_area_remaining_from_orig</t>
  </si>
  <si>
    <t>arr_area</t>
  </si>
  <si>
    <t>arr_area_remaining_from_orig_after_conversion_away</t>
  </si>
  <si>
    <t>arr_area_protected_total</t>
  </si>
  <si>
    <t>arr_area_protected_original</t>
  </si>
  <si>
    <t>Classification (input/output)</t>
  </si>
  <si>
    <t>input</t>
  </si>
  <si>
    <t>output</t>
  </si>
  <si>
    <t>adjustment_factor_sf</t>
  </si>
  <si>
    <t>total removals from original</t>
  </si>
  <si>
    <t>ag c lost from conversion</t>
  </si>
  <si>
    <t>bg c lost from conversion</t>
  </si>
  <si>
    <t>vec_total_removals_demanded</t>
  </si>
  <si>
    <t>Sequestration and Dead Wood/Litter</t>
  </si>
  <si>
    <t>NOTE: assume that PRIMARY forests are in equilibrium, i.e., that the magnitude of carbon sequestered is equal to the magnitude emitted from decomposition. Use this rate as a fraction of the nominal stock, then apply this fraction to forests.</t>
  </si>
  <si>
    <t>decomposition fraction of above ground C stock</t>
  </si>
  <si>
    <t>starting c_stock_total</t>
  </si>
  <si>
    <t>ratio of below ground biomass to above ground</t>
  </si>
  <si>
    <t>internal</t>
  </si>
  <si>
    <t>healthy storage available per ha</t>
  </si>
  <si>
    <t>arr_biomass_c_ag_lost_conversion</t>
  </si>
  <si>
    <t>arr_biomass_c_bg_lost_conversion</t>
  </si>
  <si>
    <t>arr_young_sf_base_by_tp_planted (T x T)</t>
  </si>
  <si>
    <t>T = number of time periods</t>
  </si>
  <si>
    <t>(ref to above)</t>
  </si>
  <si>
    <t>arr_orig_sf_adjustment_factor</t>
  </si>
  <si>
    <t>arr_orig_sf_adjusted</t>
  </si>
  <si>
    <t>arr_orig_biomass_c_allocation_excluding_conversion</t>
  </si>
  <si>
    <t>arr_orig_frac_removables_satisfiable</t>
  </si>
  <si>
    <t>frac_removables_satisfiable</t>
  </si>
  <si>
    <t>arr_orig_biomass_c_allocation_adjusted</t>
  </si>
  <si>
    <t>vec_orig_biomass_c_accessible_pool</t>
  </si>
  <si>
    <t>arr_orig_allocation_removals</t>
  </si>
  <si>
    <t>arr_young_biomass_c_ag_converted_by_tp_planted (T x T)</t>
  </si>
  <si>
    <t>vec_young_biomass_c_ag_converted</t>
  </si>
  <si>
    <t>arr_young_biomass_c_bg_converted_by_tp_planted (T x T)</t>
  </si>
  <si>
    <t>vec_young_biomass_c_bg_converted</t>
  </si>
  <si>
    <t>c_stock_ag_converted_t0</t>
  </si>
  <si>
    <t>c_stock_ag_converted_t1</t>
  </si>
  <si>
    <t>c_stock_ag_converted_t2</t>
  </si>
  <si>
    <t>c_stock_ag_converted_t3</t>
  </si>
  <si>
    <t>c_stock_bg_converted_t0</t>
  </si>
  <si>
    <t>c_stock_bg_converted_t1</t>
  </si>
  <si>
    <t>c_stock_bg_converted_t2</t>
  </si>
  <si>
    <t>c_stock_bg_converted_t3</t>
  </si>
  <si>
    <t>ag biomass loss from deomposition</t>
  </si>
  <si>
    <t>arr_young_biomass_c_loss_from_decomposition (T x T)</t>
  </si>
  <si>
    <t>ag biomass loss from decomposition t0</t>
  </si>
  <si>
    <t>ag biomass loss from decomposition t1</t>
  </si>
  <si>
    <t>ag biomass loss from decomposition t2</t>
  </si>
  <si>
    <t>ag biomass loss from decomposition t3</t>
  </si>
  <si>
    <t>arr_young_biomass_c_ag_stock (T x T)</t>
  </si>
  <si>
    <t>arr_young_biomass_c_bg_stock (T x T)</t>
  </si>
  <si>
    <t>c_stock_bg_t0</t>
  </si>
  <si>
    <t>c_stock_bg_t1</t>
  </si>
  <si>
    <t>c_stock_bg_t2</t>
  </si>
  <si>
    <t>c_stock_bg_t3</t>
  </si>
  <si>
    <t>bg biomass loss from stock removals</t>
  </si>
  <si>
    <t>vec_biomass_c_removed_from_young</t>
  </si>
  <si>
    <t>total starting ag stock</t>
  </si>
  <si>
    <t>total starting ag stock in new</t>
  </si>
  <si>
    <t>total starting ag stock in original</t>
  </si>
  <si>
    <t>total starting bg stock</t>
  </si>
  <si>
    <t>vec_area_conversion_away_young_forest</t>
  </si>
  <si>
    <t>arr_area_conversion_into</t>
  </si>
  <si>
    <t>vec_area_conversion_away_young_forest_no_protection</t>
  </si>
  <si>
    <t>arr_area_conversion_away_total</t>
  </si>
  <si>
    <t>vec_frac_biomass_from_conversion_available_for_use</t>
  </si>
  <si>
    <t>vec_frac_biomass_adjustment_threshold</t>
  </si>
  <si>
    <t xml:space="preserve">dead storage (minimum fraction of original stock that must remain on the land to allow it to remain that land use type). </t>
  </si>
  <si>
    <t>vec_biomass_c_ag_init_stst_storage</t>
  </si>
  <si>
    <t>vec_biomass_c_ag_init_healthy_available</t>
  </si>
  <si>
    <t>vec_biomass_c_bg_to_ag_ratio</t>
  </si>
  <si>
    <t>vec_frac_biomass_ag_decomposition</t>
  </si>
  <si>
    <t>vec_young_sf_curve</t>
  </si>
  <si>
    <t>arr_young_biomass_c_available_for_removals_mask (T x T)</t>
  </si>
  <si>
    <t>vec_young_biomass_c_available_for_removals_total</t>
  </si>
  <si>
    <t>arr_young_biomass_c_ag_stock_if_untouched (T x T)</t>
  </si>
  <si>
    <t>n/a -- refers to vec_annual_sf_nominal</t>
  </si>
  <si>
    <t>arr_orig_biomass_c_ag_if_untouched</t>
  </si>
  <si>
    <t>arr_orig_biomass_c_ag_starting</t>
  </si>
  <si>
    <t>arr_total_biomass_c_ag_starting</t>
  </si>
  <si>
    <t>arr_total_biomass_c_bg_starting</t>
  </si>
  <si>
    <t>arr_orig_biomass_c_ag_average_per_area</t>
  </si>
  <si>
    <t>vec_young_biomass_c_ag_starting</t>
  </si>
  <si>
    <t>n/af ref to arr_orig_biomass_c_ag_starting</t>
  </si>
  <si>
    <t>average stock in target land use classes</t>
  </si>
  <si>
    <t xml:space="preserve">average per area stock of target land use classes, used to restrict removals </t>
  </si>
  <si>
    <t>arr_biomass_c_average_ag_stock_in_conversion_targets</t>
  </si>
  <si>
    <t>c_stock_converted_that_remains_t0</t>
  </si>
  <si>
    <t>stock that is preserved in target land classes that are converted to (based on average)</t>
  </si>
  <si>
    <t>c_stock_converted_that_remains_t1</t>
  </si>
  <si>
    <t>c_stock_converted_that_remains_t2</t>
  </si>
  <si>
    <t>c_stock_converted_that_remains_t3</t>
  </si>
  <si>
    <t>removals from converted land</t>
  </si>
  <si>
    <t>losses</t>
  </si>
  <si>
    <t xml:space="preserve">c available from  conversion </t>
  </si>
  <si>
    <t>vec_biomass_c_removals_from_converted</t>
  </si>
  <si>
    <t>arr_biomass_c_removals_from_converted_land_allocation</t>
  </si>
  <si>
    <t>vec_biomass_c_removals_from_forest_demanded</t>
  </si>
  <si>
    <t>vec_biomass_c_removed_from_original_demanded</t>
  </si>
  <si>
    <t>demanded removals from forest left forest</t>
  </si>
  <si>
    <t>arr_young_biomass_c_ag_preserved_in_conversion_by_tp_planted (T x T)</t>
  </si>
  <si>
    <t>vec_young_biomass_c_ag_preserved_in_conversion</t>
  </si>
  <si>
    <t>arr_orig_biomass_c_ag_preserved_in_conversion</t>
  </si>
  <si>
    <t>vec_young_biomass_c_ag_available_from_conversion</t>
  </si>
  <si>
    <t>TOTAL C CONVERTED FOR COMPARISON TO LAND USE STOCK MATRIX (must use for comparing loss)</t>
  </si>
  <si>
    <t>arr_orig_biomass_c_removed_from_forests</t>
  </si>
  <si>
    <t>orig c converted</t>
  </si>
  <si>
    <t>orig biomass converted that is preserved</t>
  </si>
  <si>
    <t>allocation of removals</t>
  </si>
  <si>
    <t>vec_biomass_c_removed_from_original_unmet</t>
  </si>
  <si>
    <t>arr_biomass_c_removed_from_forests_excluding_conversion</t>
  </si>
  <si>
    <t>arr_biomass_c_ag_lost_decomposition</t>
  </si>
  <si>
    <t>arr_biomass_c_bg_lost_removals</t>
  </si>
  <si>
    <t>arr_orig_frac_stock_available</t>
  </si>
  <si>
    <t>vec_total_removals_met</t>
  </si>
  <si>
    <t>vec_sf_nominal_initial</t>
  </si>
  <si>
    <t>vec_area_protected_young</t>
  </si>
  <si>
    <t>vec_biomass_c_ag_min_reqd_per_area</t>
  </si>
  <si>
    <t>arr_orig_biomass_c_ag_converted_away</t>
  </si>
  <si>
    <t>arr_orig_biomass_c_ag_average_per_area_no_ds</t>
  </si>
  <si>
    <t>arr_total_biomass_c_ag_available_from_conversion</t>
  </si>
  <si>
    <t>A_{in}(t)</t>
  </si>
  <si>
    <t>\hat{a}^{(y)}_{out}(t)</t>
  </si>
  <si>
    <t>a^{(y)}_{out}(t)</t>
  </si>
  <si>
    <t>\hat{\alpha}(t)</t>
  </si>
  <si>
    <t>arr_biomass_c_average_bg_stock_in_conversion_targets</t>
  </si>
  <si>
    <t>arr_biomass_c_total_growth</t>
  </si>
  <si>
    <t>arr_biomass_c_bg_lost_decomposition</t>
  </si>
  <si>
    <t>this has been modified to use a logistic ramp rather than alinear</t>
  </si>
  <si>
    <t>d(t)</t>
  </si>
  <si>
    <t>\overline{Y}_{conv}(t, u)</t>
  </si>
  <si>
    <t>\overline{y}_{conv}(t)</t>
  </si>
  <si>
    <t>\underline{Y}_{conv}(t, u)</t>
  </si>
  <si>
    <t>\underline{y}_{conv}(t)</t>
  </si>
  <si>
    <t>\overline{Y}^*(t, u)</t>
  </si>
  <si>
    <t>-</t>
  </si>
  <si>
    <t xml:space="preserve">Fractional threshold for stock loss (compared to undisturbed forest levels) below which sequestration declines. </t>
  </si>
  <si>
    <t>Area of young forest that would be converted away assuming no protection (counterfactual).</t>
  </si>
  <si>
    <t>Area of young forest converted away.</t>
  </si>
  <si>
    <t>Area of conversion into new forest land (planted or restored).</t>
  </si>
  <si>
    <t>Fraction of biomass in each forest type that's converted to another land use class that is available for use to satisfy fuelwood and harvested wood product demands.</t>
  </si>
  <si>
    <t>Total area of forest protected.</t>
  </si>
  <si>
    <t>Area of young (newly planted) forest that is protected.</t>
  </si>
  <si>
    <t>Area of remaining (from simulation initialization) forest that is protected.</t>
  </si>
  <si>
    <t>Fraction of biomass per time period lost to decomposition. This is estimated from the NPP fit funtion under the assumption that primary forests exist in steady state (i.e., that there is no net growth of biomass if left undistributed).</t>
  </si>
  <si>
    <t>Total biomass (mass units) removals needed to satisfy fuelwood and harvested wood products demands.</t>
  </si>
  <si>
    <t>Latex Variable</t>
  </si>
  <si>
    <t>Variable Description</t>
  </si>
  <si>
    <t>arr_young_area_by_tp_planted (T x T)   [e.g., col K]</t>
  </si>
  <si>
    <t>arr_young_area_by_tp_planted_cumvals (T x T)   [e.g., col I]</t>
  </si>
  <si>
    <t>arr_young_area_by_tp_planted_drops (T x T)   [e.g., col J]</t>
  </si>
  <si>
    <t>\overline{Y}_{alloc}(t, u)</t>
  </si>
  <si>
    <t>\Psi^{(y)}(t, u)</t>
  </si>
  <si>
    <t>\overline{Y}(t, u)</t>
  </si>
  <si>
    <t>\Delta_0\overline{Y}(t, u)</t>
  </si>
  <si>
    <t>\Delta\overline{Y}(t, u)</t>
  </si>
  <si>
    <t>\underline{Y}(t, u)</t>
  </si>
  <si>
    <t>L</t>
  </si>
  <si>
    <t>A^{(y)}(t, u)</t>
  </si>
  <si>
    <t>\hat{A}^{(y)}(t, u)</t>
  </si>
  <si>
    <t>\chi(t)</t>
  </si>
  <si>
    <t>M</t>
  </si>
  <si>
    <t>\overline{y}(t)</t>
  </si>
  <si>
    <t>\Delta_0\overline{b}</t>
  </si>
  <si>
    <t>Vector (length 2) storing nominal sequestration factor (mass of biomass growth per time period) associated with forests. Used in NPP fit from integration target.</t>
  </si>
  <si>
    <t>\overline{y}_{availconv}(t)</t>
  </si>
  <si>
    <t>\overline{y}_{presconv}(t)</t>
  </si>
  <si>
    <t>\overline{Y}_{presconv}(t, u)</t>
  </si>
  <si>
    <t>r</t>
  </si>
  <si>
    <t>r_{conv}(t)</t>
  </si>
  <si>
    <t>Mass of biomass removals from converted land at time $t$.</t>
  </si>
  <si>
    <t>Matrix storing total biomass available (i.e., excluding dead storage) in original forests by type (column) excluding land converted out at time period $t$. Excludes young forests.</t>
  </si>
  <si>
    <t>u</t>
  </si>
  <si>
    <t>Vector ($T $) giving adjusted--based on availability in buffer zone--total quantity of biomass available for removals.</t>
  </si>
  <si>
    <t>\Phi_{avail}</t>
  </si>
  <si>
    <t>\Psi^{(0)}_{rmvsat}</t>
  </si>
  <si>
    <t>\underline{L}_{conv}</t>
  </si>
  <si>
    <t>\tilde{A}^{(y)}(t, u)</t>
  </si>
  <si>
    <t>\underline{L}_{rmv}(t, v)</t>
  </si>
  <si>
    <t>\overline{L}_{conv}(t, v)</t>
  </si>
  <si>
    <t>G(t, v)</t>
  </si>
  <si>
    <t>s_{rmv}(t)</t>
  </si>
  <si>
    <t>A</t>
  </si>
  <si>
    <t>a</t>
  </si>
  <si>
    <t>G</t>
  </si>
  <si>
    <t>B</t>
  </si>
  <si>
    <t>b</t>
  </si>
  <si>
    <t>d</t>
  </si>
  <si>
    <t>Y</t>
  </si>
  <si>
    <t>y</t>
  </si>
  <si>
    <t>R</t>
  </si>
  <si>
    <t>s</t>
  </si>
  <si>
    <t>Sort Class</t>
  </si>
  <si>
    <t>z:\chi</t>
  </si>
  <si>
    <t>z:\eta</t>
  </si>
  <si>
    <t>z:\alpha</t>
  </si>
  <si>
    <t>z:\gamma</t>
  </si>
  <si>
    <t>z:\delta</t>
  </si>
  <si>
    <t>z:\Psi</t>
  </si>
  <si>
    <t>z:\Phi</t>
  </si>
  <si>
    <t>\overline{Y}_{avail}(t, u)</t>
  </si>
  <si>
    <t>\tilde{\Psi}^{(0)}(t, v)</t>
  </si>
  <si>
    <t>\tilde{b}^{(0)}</t>
  </si>
  <si>
    <t>n_tps_no_withdrawals_new_growth</t>
  </si>
  <si>
    <t>n_{wait}</t>
  </si>
  <si>
    <t>Number (integer) giving number of time periods that must pass after planting a forest to allow withdrawals.</t>
  </si>
  <si>
    <t>n</t>
  </si>
  <si>
    <t>Total of land converted away from type during time $t$. $A(0)$ is an input vector.</t>
  </si>
  <si>
    <t xml:space="preserve">Matrix ($n_T \times 2$) storing area remaining from land use type at beginning of simulation at beginning of time $t$.  </t>
  </si>
  <si>
    <t>Matrix ($n_T \times 2$) storing area of land use at beginning of time $t$. $A(0)$ is an input vector.</t>
  </si>
  <si>
    <t>Matrix ($n_T \times 2$) storing average above ground stock contained In land use classes that forests transition into; used to estimate above-ground conversion losses of stock.</t>
  </si>
  <si>
    <t>Matrix ($n_T \times 2$) soring average below ground stock contained In land use classes that forests transition into; used to estimate below-ground conversion losses of stock.</t>
  </si>
  <si>
    <t>Matrix ($n_T \times 2$) storing above ground biomass stock left from start of simulation if untouched (without degradation).</t>
  </si>
  <si>
    <t xml:space="preserve">Matrix ($n_T \times 2$) storing adjustment factor for sequestration; responds to stock level compared to steady-state level. </t>
  </si>
  <si>
    <t>Matrix ($n_T \times 2$) storing sequestration factor in original forests (as adjusted due to degradation).</t>
  </si>
  <si>
    <t>Matrix ($n_T \times 2$) storing biomass stock remaining from forests present at the start of the simulation.</t>
  </si>
  <si>
    <t>Matrix ($n_T \times 2$) storing average (mass per unit area) biomass stock remaining from forests present at the start of the simulation.</t>
  </si>
  <si>
    <t>Matrix ($n_T \times 2$) storing average (mass per unit area) biomass stock remaining from forests present at the start of the simulation \emph{excluding} dead storage.</t>
  </si>
  <si>
    <t>Matrix ($n_T \times 2$) storing total mass of biomass from original forests converted away in each time period.</t>
  </si>
  <si>
    <t>Row-stochastic matrix ($n_T \times 2$) storing allocation of removals by forest type (column) at time $t$ (row).</t>
  </si>
  <si>
    <t>Matrix ($n_T \times 2$) storing removals from original forests by type (columns), excluding conversions.</t>
  </si>
  <si>
    <t>Matrix ($n_T \times 2$) giving fraction of original forest stock available when compared to healthy (unperturbed) baseline.</t>
  </si>
  <si>
    <t>Matrix ($n_T \times 2$) giving fraction of removals satisfiable at time $t$ for forest type $v$.</t>
  </si>
  <si>
    <t>Matrix ($n_T \times 2$) giving adjusted--based on availability in buffer zone--quantity of biomass available for removals by forest type.</t>
  </si>
  <si>
    <t>Matrix ($n_T \times 2$) giving allocation of adjusted--based on availability in buffer zone--quantity of biomass available for removals by forest type.</t>
  </si>
  <si>
    <t>Matrix ($n_T \times 2$) giving total loss of above-ground biomass stock due to decomposition at time $t$ for forest type $v$.</t>
  </si>
  <si>
    <t>Matrix ($n_T \times 2$) giving total loss of below-ground biomass stock due to decomposition at time $t$ for forest type $v$.</t>
  </si>
  <si>
    <t>Matrix ($n_T \times 2$) giving total loss of below-ground biomass stock due to above-ground removals at time $t$ for forest type $v$.</t>
  </si>
  <si>
    <t>Matrix ($n_T \times 2$) giving total loss of above-ground biomass stock due to land use conversion at time $t$ for forest type $v$.</t>
  </si>
  <si>
    <t>Matrix ($n_T \times 2$) giving total loss of below-ground biomass stock due to land use conversion at time $t$ for forest type $v$.</t>
  </si>
  <si>
    <t>Matrix ($n_T \times 2$) giving total growth of above-ground biomass stock during time $t$ for forest type $v$.</t>
  </si>
  <si>
    <t>Matrix ($n_T \times n_T$) storing cumulative area in young forests at time $t$. Used to determine how much area is removed from each young forest area if conversion is applicable.</t>
  </si>
  <si>
    <t>Matrix ($n_T \times n_T$) storing how much area of young forest planted in time $t$ remains in time $u$.</t>
  </si>
  <si>
    <t>Matrix ($n_T \times n_T$) storing how much forest area in each time period (column $u$) has to be dropped due to conversion into young forests. Only applicable if all other secondary forest has been elimnated.</t>
  </si>
  <si>
    <t>Matrix ($n_T \times n_T$) storing total mass of biomass in young forests converted away in each time period by time period planted. Used to help ensure that earliest plantations are converted first.</t>
  </si>
  <si>
    <t>Matrix ($n_T \times n_T$) storing total above-ground mass of biomass preserved in each area of young forest planted by time period planted $u$.</t>
  </si>
  <si>
    <t xml:space="preserve">Matrix ($n_T \times n_T$) storing total young biomass that is converted to other (non-forest) land use types by time period planted. </t>
  </si>
  <si>
    <t>Matrix ($n_T \times n_T$) storing the sequestration factors (which come from AFOLU NPP curve estimates) for unperturbed young forests by time period planted.</t>
  </si>
  <si>
    <t>Matrix ($n_T \times n_T$) storing counterfactual for young biomass above-ground stock if untouched at time $t$ for biomass planted at time $u$.</t>
  </si>
  <si>
    <t>Matrix ($n_T \times n_T$) used to determine whether young biomass is available for harvest. Determined based on number of years of growth required to make biomass available.</t>
  </si>
  <si>
    <t>Matrix ($n_T \times n_T$) storing total above-ground mass of biomas allocated for removal in time $t$ from biomass planted at time $u$.</t>
  </si>
  <si>
    <t>Matrix ($n_T \times n_T$) used in auxialiary calculations for total above-ground mass of biomas allocated for removal in time $t$ from biomass planted at time $u$.</t>
  </si>
  <si>
    <t>Matrix ($n_T \times n_T$) storing the adjusted sequestration factors (which come from AFOLU NPP curve estimates) for forests by time period planted. Adjustments are based off of the level of average stock depletion.</t>
  </si>
  <si>
    <t>Matrix ($n_T \times n_T$) storing the loss of biomass in young forests due to decomposition. Decomposition rates are determined as a function of the NPP curve and an assumption that primary forests are in steady state.</t>
  </si>
  <si>
    <t>Matrix ($n_T \times n_T$) storing total above-ground biomass stock at time $t$ for young forests planted at time $u$.</t>
  </si>
  <si>
    <t>Matrix ($n_T \times n_T$) storing total below-ground biomass stock at time $t$ for young forests planted at time $u$.</t>
  </si>
  <si>
    <t xml:space="preserve">Vector ($n_T$) storing total mass of above-ground biomass in young forests converted in time $t$. </t>
  </si>
  <si>
    <t>Vector ($n_T$) storing total above-ground mass of biomass preserved in each time period.</t>
  </si>
  <si>
    <t>Vector ($n_T$) storing total biomass from conversion that is available to satisfy harvested wood product (HWP) and fuelwood (FW) demands.</t>
  </si>
  <si>
    <t>Vector ($n_T$)  storing total young biomass that is converted to other (non-forest) land use types at time $t$.</t>
  </si>
  <si>
    <t>Vector ($n_T$) storing how much biomass is available at time $t$ from young forests.</t>
  </si>
  <si>
    <t>Vector ($n_T$) storing total above-ground biomass stock in young forests at the start of time period $t$.</t>
  </si>
  <si>
    <t xml:space="preserve">Vector ($n_T$) storing demand for removals from all forests, excluding those from conversions. </t>
  </si>
  <si>
    <t>Vector ($n_T$) storing removals from original forests, excluding conversions.  Always $\leq d_{rmv}$.</t>
  </si>
  <si>
    <t>Vector ($n_T$) storing unmet demand for removals from original forests.</t>
  </si>
  <si>
    <t>Vector ($n_T$) storing removals from young forests, excluding conversions.  Always $\leq d_{rmv}$.</t>
  </si>
  <si>
    <t>Vector ($n_T$) giving total removals supplied.</t>
  </si>
  <si>
    <t>arr_frac_biomass_dead_storage</t>
  </si>
  <si>
    <t>arr_frac_biomass_buffer</t>
  </si>
  <si>
    <t>\check{\alpha}(t, v)</t>
  </si>
  <si>
    <t>\bar{\alpha}(t, v)</t>
  </si>
  <si>
    <t>Matrix ($n_T \times 2$)  storing fraction of biomass that represents dead storage. Is set in SISEPUEDE to be max of exogenous specification and amount implied by average stock in conversion targets (cannot have biomass below transition targets and remain forest).</t>
  </si>
  <si>
    <t xml:space="preserve">Matrix ($n_T \times 2$) storing fraction of biomass in buffer zone; dead storage + buffer gives the fractional threshold for slowing removals. </t>
  </si>
  <si>
    <t>written</t>
  </si>
  <si>
    <t>x</t>
  </si>
  <si>
    <t>a^{(y)}_{prot}(t)</t>
  </si>
  <si>
    <t>A_{prot}(t, v)</t>
  </si>
  <si>
    <t>A_{prot}^*(t, v)</t>
  </si>
  <si>
    <t>\Delta_0\overline{y}(u)</t>
  </si>
  <si>
    <t>Vector ($n_T$) storing the sequestration factors for young forests $u$ time periods after planting.</t>
  </si>
  <si>
    <t>vec_young_sf_curve_specification (T)</t>
  </si>
  <si>
    <t>z:\tau</t>
  </si>
  <si>
    <t>\delta</t>
  </si>
  <si>
    <t xml:space="preserve">Matrix ($n_T \times n_T$) storing the adjustment factor for young forest factors; applied to unadjusted young forest sequestration factor $R^{(y)}_0(t, u)$ based on depletion levels. </t>
  </si>
  <si>
    <t>arr_young_sf_adjustment_factor (T x T)   [e.g., col J]</t>
  </si>
  <si>
    <t>arr_young_sf_adjusted_by_tp_planted (T x T)   [e.g., col K]</t>
  </si>
  <si>
    <t>arr_young_biomass_c_stock_removal_allocation_aux (T x T)   [e.g., col G]</t>
  </si>
  <si>
    <t>arr_young_biomass_c_stock_removal_allocation (T x T)   [e.g., col H]</t>
  </si>
  <si>
    <t>\overline{y}_{avail}(t)</t>
  </si>
  <si>
    <t>r^{(y)}_{rmv}(t)</t>
  </si>
  <si>
    <t>R^{(0)}_{rmv}(t, v)</t>
  </si>
  <si>
    <t>R_{rmv}(t, v)</t>
  </si>
  <si>
    <t>u^{(0)}_{rmv}(t)</t>
  </si>
  <si>
    <t>r^{(0)}_{rmv}(t)</t>
  </si>
  <si>
    <t>d_{rmv}(t)</t>
  </si>
  <si>
    <t>\overline{Y}_{aux}(t, u)</t>
  </si>
  <si>
    <t>Matrix ($n_T \times 2$) storing removals from all forests by type (columns), excluding conversions. Removals from young secondary forests are added to those removals from original secondary forests.</t>
  </si>
  <si>
    <t>\Psi^{(0)}(t, v)</t>
  </si>
  <si>
    <t>A^*(t, v)</t>
  </si>
  <si>
    <t>A(t, v)</t>
  </si>
  <si>
    <t>A_{out}(t, v)</t>
  </si>
  <si>
    <t>A^*(t + 1, v)</t>
  </si>
  <si>
    <t>\overline{\eta}(t, v)</t>
  </si>
  <si>
    <t>\underline{\eta}(t, v)</t>
  </si>
  <si>
    <t>\overline{b}^{(0)}(v)</t>
  </si>
  <si>
    <t>\overline{L}_{dcmp}(t, v)</t>
  </si>
  <si>
    <t>\underline{L}_{dcmp}(t, v)</t>
  </si>
  <si>
    <t>vec_young_biomass_c_loss_from_decomposition (T)</t>
  </si>
  <si>
    <t>Vector ($n_T$) storing the total loss of biomass in young forests due to decomposition.</t>
  </si>
  <si>
    <t>l</t>
  </si>
  <si>
    <t>\overline{l}^{(y)}_{dcmp}(t)</t>
  </si>
  <si>
    <t>\overline{L}^{(y)}_{dcmp}(t, u)</t>
  </si>
  <si>
    <t>Matrix ($n_T \times 2$) storing total above-ground biomass stock in all forests at the start of time period $t$.</t>
  </si>
  <si>
    <t>Matrix ($n_T \times 2$) storing total below-ground biomass stock in all forests at the start of time period $t$.</t>
  </si>
  <si>
    <t>\underline{M}(t, v)</t>
  </si>
  <si>
    <t>\overline{M}(t, v)</t>
  </si>
  <si>
    <t>\overline{\overline{B}}(t, v)</t>
  </si>
  <si>
    <t>\overline{\overline{B}}'(t, v)</t>
  </si>
  <si>
    <t>\Delta\overline{B}(t, v)</t>
  </si>
  <si>
    <t>\overline{M}_0^*(t, v)</t>
  </si>
  <si>
    <t>\overline{M}_0(t, v)</t>
  </si>
  <si>
    <t>\tau(v)</t>
  </si>
  <si>
    <t>Vector (dim $2$) storing avrage biomass stock per unit area required to be considered forest.</t>
  </si>
  <si>
    <t>\overline{B_{avail}}(v)</t>
  </si>
  <si>
    <t>\gamma(v)</t>
  </si>
  <si>
    <t>Vector (dim $2$) storing available stock factor per unit area in healthy forest. Used to determine when average stocks fall below thresholds.</t>
  </si>
  <si>
    <t xml:space="preserve">Vector (dim $2$) storing initial steady-state storage in each class. Used in integration targets for NPP curve and as initial carbon storage condition. </t>
  </si>
  <si>
    <t>Vector (dim $2$) storing ratio of below-ground carbon stock to above-ground carbon stock in each forest type.</t>
  </si>
  <si>
    <t>A^{(0)}_{out}(t, v)</t>
  </si>
  <si>
    <t>Matrix ($n_T \times 2$) storing area of mature forests that are converted away.</t>
  </si>
  <si>
    <t>arr_area_conversion_away_mature_forest</t>
  </si>
  <si>
    <t>Matrix ($n_T \times 2$) storing total mass of biomass from original forests that is preserved in conversion.</t>
  </si>
  <si>
    <t>Matrix ($n_T \times 2$) storing total mass of biomass from all forests converted away in each time period that is available for satisfying removal demands.</t>
  </si>
  <si>
    <t>\overline{M}_{conv}(t, v)</t>
  </si>
  <si>
    <t>\overline{M}_{presconv}(t, v)</t>
  </si>
  <si>
    <t>\overline{M}_{avail}(t, v)</t>
  </si>
  <si>
    <t>\overline{M}^{(0)}_{avail}(t, v)</t>
  </si>
  <si>
    <t>\tilde{M}^{(0)}_{avail}</t>
  </si>
  <si>
    <t>\Phi_{conv}(t, 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</si>
</sst>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Aptos Narrow"/>
      <family val="2"/>
      <scheme val="minor"/>
    </font>
    <font>
      <sz val="12"/>
      <color rgb="FF000000"/>
      <name val="Aptos Narrow"/>
      <family val="2"/>
      <scheme val="minor"/>
    </font>
    <font>
      <b/>
      <sz val="12"/>
      <color theme="1"/>
      <name val="Aptos Narrow"/>
      <scheme val="minor"/>
    </font>
    <font>
      <b/>
      <sz val="12"/>
      <color theme="0"/>
      <name val="Aptos Narrow"/>
      <scheme val="minor"/>
    </font>
    <font>
      <sz val="12"/>
      <color theme="1"/>
      <name val="Aptos Narrow"/>
      <scheme val="minor"/>
    </font>
    <font>
      <sz val="8"/>
      <name val="Aptos Narrow"/>
      <family val="2"/>
      <scheme val="minor"/>
    </font>
    <font>
      <b/>
      <sz val="12"/>
      <color rgb="FFFFFFFF"/>
      <name val="Aptos Narrow"/>
      <scheme val="minor"/>
    </font>
  </fonts>
  <fills count="16">
    <fill>
      <patternFill patternType="none"/>
    </fill>
    <fill>
      <patternFill patternType="gray125"/>
    </fill>
    <fill>
      <patternFill patternType="solid">
        <fgColor theme="9" tint="0.79998168889431442"/>
        <bgColor indexed="64"/>
      </patternFill>
    </fill>
    <fill>
      <patternFill patternType="solid">
        <fgColor theme="0"/>
        <bgColor indexed="64"/>
      </patternFill>
    </fill>
    <fill>
      <patternFill patternType="solid">
        <fgColor theme="9" tint="0.59999389629810485"/>
        <bgColor indexed="64"/>
      </patternFill>
    </fill>
    <fill>
      <patternFill patternType="solid">
        <fgColor theme="9" tint="-0.249977111117893"/>
        <bgColor indexed="64"/>
      </patternFill>
    </fill>
    <fill>
      <patternFill patternType="solid">
        <fgColor theme="2" tint="-0.89999084444715716"/>
        <bgColor indexed="64"/>
      </patternFill>
    </fill>
    <fill>
      <patternFill patternType="solid">
        <fgColor theme="3" tint="0.49998474074526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rgb="FF44B3E1"/>
        <bgColor rgb="FF000000"/>
      </patternFill>
    </fill>
    <fill>
      <patternFill patternType="solid">
        <fgColor theme="3" tint="9.9978637043366805E-2"/>
        <bgColor indexed="64"/>
      </patternFill>
    </fill>
    <fill>
      <patternFill patternType="solid">
        <fgColor theme="1"/>
        <bgColor indexed="64"/>
      </patternFill>
    </fill>
    <fill>
      <patternFill patternType="solid">
        <fgColor theme="6" tint="-0.249977111117893"/>
        <bgColor indexed="64"/>
      </patternFill>
    </fill>
    <fill>
      <patternFill patternType="solid">
        <fgColor rgb="FF12501A"/>
        <bgColor rgb="FF000000"/>
      </patternFill>
    </fill>
    <fill>
      <patternFill patternType="solid">
        <fgColor theme="5" tint="-0.249977111117893"/>
        <bgColor indexed="64"/>
      </patternFill>
    </fill>
  </fills>
  <borders count="1">
    <border>
      <left/>
      <right/>
      <top/>
      <bottom/>
      <diagonal/>
    </border>
  </borders>
  <cellStyleXfs count="1">
    <xf numFmtId="0" fontId="0" fillId="0" borderId="0"/>
  </cellStyleXfs>
  <cellXfs count="62">
    <xf numFmtId="0" fontId="0" fillId="0" borderId="0" xfId="0"/>
    <xf numFmtId="0" fontId="0" fillId="0" borderId="0" xfId="0" applyAlignment="1">
      <alignment horizontal="center"/>
    </xf>
    <xf numFmtId="0" fontId="0" fillId="2" borderId="0" xfId="0" applyFill="1" applyAlignment="1">
      <alignment horizontal="center"/>
    </xf>
    <xf numFmtId="0" fontId="0" fillId="3" borderId="0" xfId="0" applyFill="1" applyAlignment="1">
      <alignment horizontal="center"/>
    </xf>
    <xf numFmtId="0" fontId="0" fillId="2" borderId="0" xfId="0" applyFill="1" applyAlignment="1">
      <alignment horizontal="center" vertical="center"/>
    </xf>
    <xf numFmtId="0" fontId="0" fillId="3" borderId="0" xfId="0" applyFill="1" applyAlignment="1">
      <alignment horizontal="center" vertical="center"/>
    </xf>
    <xf numFmtId="0" fontId="1" fillId="3" borderId="0" xfId="0" applyFont="1" applyFill="1" applyAlignment="1">
      <alignment horizontal="center"/>
    </xf>
    <xf numFmtId="0" fontId="0" fillId="3" borderId="0" xfId="0" applyFill="1"/>
    <xf numFmtId="0" fontId="0" fillId="4" borderId="0" xfId="0" applyFill="1" applyAlignment="1">
      <alignment horizontal="center" vertical="center"/>
    </xf>
    <xf numFmtId="0" fontId="0" fillId="4" borderId="0" xfId="0" applyFill="1" applyAlignment="1">
      <alignment horizontal="center"/>
    </xf>
    <xf numFmtId="0" fontId="0" fillId="3" borderId="0" xfId="0" applyFill="1" applyAlignment="1">
      <alignment horizontal="right" wrapText="1"/>
    </xf>
    <xf numFmtId="0" fontId="3" fillId="5" borderId="0" xfId="0" applyFont="1" applyFill="1" applyAlignment="1">
      <alignment horizontal="right" wrapText="1"/>
    </xf>
    <xf numFmtId="0" fontId="0" fillId="5" borderId="0" xfId="0" applyFill="1" applyAlignment="1">
      <alignment horizontal="center" vertical="center"/>
    </xf>
    <xf numFmtId="0" fontId="3" fillId="3" borderId="0" xfId="0" applyFont="1" applyFill="1" applyAlignment="1">
      <alignment horizontal="right" wrapText="1"/>
    </xf>
    <xf numFmtId="0" fontId="4" fillId="3" borderId="0" xfId="0" applyFont="1" applyFill="1" applyAlignment="1">
      <alignment horizontal="right" wrapText="1"/>
    </xf>
    <xf numFmtId="0" fontId="2" fillId="4" borderId="0" xfId="0" applyFont="1" applyFill="1" applyAlignment="1">
      <alignment horizontal="right" wrapText="1"/>
    </xf>
    <xf numFmtId="0" fontId="2" fillId="3" borderId="0" xfId="0" applyFont="1" applyFill="1" applyAlignment="1">
      <alignment vertical="center"/>
    </xf>
    <xf numFmtId="0" fontId="0" fillId="3" borderId="0" xfId="0" applyFill="1" applyAlignment="1">
      <alignment vertical="center"/>
    </xf>
    <xf numFmtId="0" fontId="2" fillId="3" borderId="0" xfId="0" applyFont="1" applyFill="1" applyAlignment="1">
      <alignment horizontal="center" vertical="center"/>
    </xf>
    <xf numFmtId="0" fontId="0" fillId="2" borderId="0" xfId="0" applyFill="1"/>
    <xf numFmtId="0" fontId="2" fillId="4" borderId="0" xfId="0" applyFont="1" applyFill="1" applyAlignment="1">
      <alignment horizontal="center" vertical="center"/>
    </xf>
    <xf numFmtId="0" fontId="2" fillId="4" borderId="0" xfId="0" applyFont="1" applyFill="1"/>
    <xf numFmtId="0" fontId="0" fillId="3" borderId="0" xfId="0" applyFill="1" applyAlignment="1">
      <alignment horizontal="center" vertical="center" wrapText="1"/>
    </xf>
    <xf numFmtId="0" fontId="3" fillId="6" borderId="0" xfId="0" applyFont="1" applyFill="1" applyAlignment="1">
      <alignment horizontal="right"/>
    </xf>
    <xf numFmtId="0" fontId="3" fillId="6" borderId="0" xfId="0" applyFont="1" applyFill="1" applyAlignment="1">
      <alignment horizontal="right" vertical="center"/>
    </xf>
    <xf numFmtId="0" fontId="0" fillId="3" borderId="0" xfId="0" applyFill="1" applyAlignment="1">
      <alignment horizontal="right" vertical="center" wrapText="1"/>
    </xf>
    <xf numFmtId="0" fontId="0" fillId="3" borderId="0" xfId="0" applyFill="1" applyAlignment="1">
      <alignment vertical="center" wrapText="1"/>
    </xf>
    <xf numFmtId="0" fontId="3" fillId="6" borderId="0" xfId="0" applyFont="1" applyFill="1" applyAlignment="1">
      <alignment horizontal="center" vertical="center"/>
    </xf>
    <xf numFmtId="0" fontId="3" fillId="9" borderId="0" xfId="0" applyFont="1" applyFill="1" applyAlignment="1">
      <alignment horizontal="center" vertical="center"/>
    </xf>
    <xf numFmtId="0" fontId="3" fillId="6" borderId="0" xfId="0" applyFont="1" applyFill="1" applyAlignment="1">
      <alignment horizontal="right" vertical="center" wrapText="1"/>
    </xf>
    <xf numFmtId="0" fontId="3" fillId="6" borderId="0" xfId="0" applyFont="1" applyFill="1" applyAlignment="1">
      <alignment horizontal="center" vertical="center" wrapText="1"/>
    </xf>
    <xf numFmtId="0" fontId="3" fillId="7" borderId="0" xfId="0" applyFont="1" applyFill="1" applyAlignment="1">
      <alignment horizontal="center" vertical="center"/>
    </xf>
    <xf numFmtId="0" fontId="6" fillId="10" borderId="0" xfId="0" applyFont="1" applyFill="1" applyAlignment="1">
      <alignment horizontal="center" vertical="center"/>
    </xf>
    <xf numFmtId="0" fontId="3" fillId="8" borderId="0" xfId="0" applyFont="1" applyFill="1" applyAlignment="1">
      <alignment horizontal="center" vertical="center"/>
    </xf>
    <xf numFmtId="0" fontId="3" fillId="11" borderId="0" xfId="0" applyFont="1" applyFill="1" applyAlignment="1">
      <alignment horizontal="center" vertical="center"/>
    </xf>
    <xf numFmtId="0" fontId="3" fillId="12" borderId="0" xfId="0" applyFont="1" applyFill="1" applyAlignment="1">
      <alignment horizontal="center" vertical="center"/>
    </xf>
    <xf numFmtId="0" fontId="3" fillId="12" borderId="0" xfId="0" applyFont="1" applyFill="1"/>
    <xf numFmtId="0" fontId="3" fillId="13" borderId="0" xfId="0" applyFont="1" applyFill="1" applyAlignment="1">
      <alignment horizontal="right" vertical="center" wrapText="1"/>
    </xf>
    <xf numFmtId="0" fontId="3" fillId="13" borderId="0" xfId="0" applyFont="1" applyFill="1" applyAlignment="1">
      <alignment horizontal="right" vertical="center"/>
    </xf>
    <xf numFmtId="0" fontId="6" fillId="14" borderId="0" xfId="0" applyFont="1" applyFill="1" applyAlignment="1">
      <alignment horizontal="right" vertical="center"/>
    </xf>
    <xf numFmtId="0" fontId="3" fillId="6" borderId="0" xfId="0" applyFont="1" applyFill="1" applyAlignment="1">
      <alignment vertical="center"/>
    </xf>
    <xf numFmtId="0" fontId="3" fillId="13" borderId="0" xfId="0" applyFont="1" applyFill="1" applyAlignment="1">
      <alignment vertical="center" wrapText="1"/>
    </xf>
    <xf numFmtId="0" fontId="3" fillId="13" borderId="0" xfId="0" applyFont="1" applyFill="1" applyAlignment="1">
      <alignment vertical="center"/>
    </xf>
    <xf numFmtId="0" fontId="3" fillId="13" borderId="0" xfId="0" applyFont="1" applyFill="1" applyAlignment="1">
      <alignment horizontal="center" vertical="center"/>
    </xf>
    <xf numFmtId="0" fontId="6" fillId="14" borderId="0" xfId="0" applyFont="1" applyFill="1" applyAlignment="1">
      <alignment horizontal="center" vertical="center"/>
    </xf>
    <xf numFmtId="0" fontId="3" fillId="13" borderId="0" xfId="0" applyFont="1" applyFill="1" applyAlignment="1">
      <alignment horizontal="right"/>
    </xf>
    <xf numFmtId="0" fontId="3" fillId="13" borderId="0" xfId="0" applyFont="1" applyFill="1" applyAlignment="1">
      <alignment horizontal="left" vertical="center"/>
    </xf>
    <xf numFmtId="0" fontId="3" fillId="0" borderId="0" xfId="0" applyFont="1" applyAlignment="1">
      <alignment vertical="center"/>
    </xf>
    <xf numFmtId="0" fontId="3" fillId="0" borderId="0" xfId="0" applyFont="1" applyAlignment="1">
      <alignment horizontal="center" vertical="center"/>
    </xf>
    <xf numFmtId="0" fontId="3" fillId="3" borderId="0" xfId="0" applyFont="1" applyFill="1" applyAlignment="1">
      <alignment horizontal="center" vertical="center"/>
    </xf>
    <xf numFmtId="0" fontId="3" fillId="15" borderId="0" xfId="0" applyFont="1" applyFill="1" applyAlignment="1">
      <alignment horizontal="center" vertical="center"/>
    </xf>
    <xf numFmtId="0" fontId="0" fillId="3" borderId="0" xfId="0" applyFill="1" applyAlignment="1">
      <alignment horizontal="center" vertical="center" wrapText="1"/>
    </xf>
    <xf numFmtId="0" fontId="2" fillId="4" borderId="0" xfId="0" applyFont="1" applyFill="1" applyAlignment="1">
      <alignment horizontal="center" vertical="center"/>
    </xf>
    <xf numFmtId="0" fontId="2" fillId="4" borderId="0" xfId="0" applyFont="1" applyFill="1" applyAlignment="1">
      <alignment horizontal="center"/>
    </xf>
    <xf numFmtId="0" fontId="0" fillId="3" borderId="0" xfId="0" applyFill="1" applyAlignment="1">
      <alignment horizontal="center" vertical="center"/>
    </xf>
    <xf numFmtId="0" fontId="3" fillId="9" borderId="0" xfId="0" applyFont="1" applyFill="1" applyAlignment="1">
      <alignment horizontal="center" vertical="center"/>
    </xf>
    <xf numFmtId="0" fontId="3" fillId="13" borderId="0" xfId="0" applyFont="1" applyFill="1" applyAlignment="1">
      <alignment horizontal="right" vertical="center"/>
    </xf>
    <xf numFmtId="0" fontId="3" fillId="13" borderId="0" xfId="0" applyFont="1" applyFill="1" applyAlignment="1">
      <alignment horizontal="right" vertical="center" wrapText="1"/>
    </xf>
    <xf numFmtId="0" fontId="0" fillId="3" borderId="0" xfId="0" applyFill="1" applyAlignment="1">
      <alignment horizontal="center"/>
    </xf>
    <xf numFmtId="0" fontId="0" fillId="2" borderId="0" xfId="0" applyFill="1" applyAlignment="1">
      <alignment horizontal="center"/>
    </xf>
    <xf numFmtId="0" fontId="0" fillId="2" borderId="0" xfId="0" applyFill="1" applyAlignment="1">
      <alignment horizontal="center" vertical="center"/>
    </xf>
    <xf numFmtId="0" fontId="0" fillId="4" borderId="0" xfId="0"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C682B-8E9E-524B-A713-F464F2F373DE}">
  <dimension ref="A1:L22"/>
  <sheetViews>
    <sheetView workbookViewId="0">
      <selection activeCell="F11" sqref="F11"/>
    </sheetView>
  </sheetViews>
  <sheetFormatPr baseColWidth="10" defaultRowHeight="16" x14ac:dyDescent="0.2"/>
  <cols>
    <col min="1" max="1" width="31.33203125" customWidth="1"/>
    <col min="2" max="2" width="17.6640625" bestFit="1" customWidth="1"/>
    <col min="3" max="3" width="19.83203125" bestFit="1" customWidth="1"/>
    <col min="4" max="4" width="15.6640625" bestFit="1" customWidth="1"/>
    <col min="5" max="5" width="19.83203125" bestFit="1" customWidth="1"/>
    <col min="6" max="6" width="20" bestFit="1" customWidth="1"/>
    <col min="7" max="7" width="22.33203125" bestFit="1" customWidth="1"/>
    <col min="8" max="8" width="20.5" bestFit="1" customWidth="1"/>
    <col min="9" max="9" width="22.83203125" bestFit="1" customWidth="1"/>
    <col min="10" max="10" width="14.6640625" customWidth="1"/>
  </cols>
  <sheetData>
    <row r="1" spans="1:12" x14ac:dyDescent="0.2">
      <c r="L1" t="s">
        <v>6</v>
      </c>
    </row>
    <row r="3" spans="1:12" x14ac:dyDescent="0.2">
      <c r="B3">
        <v>0</v>
      </c>
    </row>
    <row r="4" spans="1:12" x14ac:dyDescent="0.2">
      <c r="A4" t="s">
        <v>0</v>
      </c>
      <c r="B4">
        <v>100</v>
      </c>
    </row>
    <row r="5" spans="1:12" x14ac:dyDescent="0.2">
      <c r="A5" t="s">
        <v>1</v>
      </c>
      <c r="B5">
        <v>35</v>
      </c>
    </row>
    <row r="6" spans="1:12" x14ac:dyDescent="0.2">
      <c r="A6" t="s">
        <v>8</v>
      </c>
      <c r="B6">
        <v>100000</v>
      </c>
    </row>
    <row r="7" spans="1:12" x14ac:dyDescent="0.2">
      <c r="A7" t="s">
        <v>9</v>
      </c>
      <c r="B7">
        <v>400000</v>
      </c>
    </row>
    <row r="8" spans="1:12" x14ac:dyDescent="0.2">
      <c r="A8" t="s">
        <v>2</v>
      </c>
      <c r="B8">
        <v>0.1</v>
      </c>
      <c r="F8" t="s">
        <v>16</v>
      </c>
    </row>
    <row r="9" spans="1:12" x14ac:dyDescent="0.2">
      <c r="A9" t="s">
        <v>3</v>
      </c>
      <c r="B9">
        <v>0.5</v>
      </c>
      <c r="F9" t="s">
        <v>17</v>
      </c>
    </row>
    <row r="10" spans="1:12" x14ac:dyDescent="0.2">
      <c r="A10" t="s">
        <v>4</v>
      </c>
      <c r="B10">
        <v>10</v>
      </c>
      <c r="F10" t="s">
        <v>18</v>
      </c>
    </row>
    <row r="11" spans="1:12" x14ac:dyDescent="0.2">
      <c r="A11" t="s">
        <v>5</v>
      </c>
      <c r="B11">
        <v>6</v>
      </c>
    </row>
    <row r="12" spans="1:12" x14ac:dyDescent="0.2">
      <c r="A12" t="s">
        <v>7</v>
      </c>
      <c r="B12">
        <v>4000</v>
      </c>
    </row>
    <row r="13" spans="1:12" x14ac:dyDescent="0.2">
      <c r="A13" t="s">
        <v>10</v>
      </c>
      <c r="B13">
        <v>0.5</v>
      </c>
    </row>
    <row r="17" spans="1:2" x14ac:dyDescent="0.2">
      <c r="A17" t="s">
        <v>11</v>
      </c>
      <c r="B17">
        <f>B10*B4</f>
        <v>1000</v>
      </c>
    </row>
    <row r="18" spans="1:2" x14ac:dyDescent="0.2">
      <c r="A18" t="s">
        <v>12</v>
      </c>
      <c r="B18">
        <f>B11*B5</f>
        <v>210</v>
      </c>
    </row>
    <row r="19" spans="1:2" x14ac:dyDescent="0.2">
      <c r="A19" t="s">
        <v>13</v>
      </c>
      <c r="B19">
        <f>B13*(B17+B18)</f>
        <v>605</v>
      </c>
    </row>
    <row r="20" spans="1:2" x14ac:dyDescent="0.2">
      <c r="A20" t="s">
        <v>14</v>
      </c>
      <c r="B20">
        <f>B4*(B6-B10)+B5*(B7-B11)</f>
        <v>23998790</v>
      </c>
    </row>
    <row r="22" spans="1:2" x14ac:dyDescent="0.2">
      <c r="A22" t="s">
        <v>15</v>
      </c>
      <c r="B22">
        <v>0.7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B73C-8C04-4845-96FD-F75302BA5D7D}">
  <dimension ref="A1:AX31"/>
  <sheetViews>
    <sheetView topLeftCell="M1" workbookViewId="0">
      <selection activeCell="W5" sqref="W5"/>
    </sheetView>
  </sheetViews>
  <sheetFormatPr baseColWidth="10" defaultRowHeight="16" x14ac:dyDescent="0.2"/>
  <cols>
    <col min="1" max="1" width="7.33203125" style="3" bestFit="1" customWidth="1"/>
    <col min="2" max="2" width="9.5" style="3" bestFit="1" customWidth="1"/>
    <col min="3" max="3" width="7.33203125" style="2" bestFit="1" customWidth="1"/>
    <col min="4" max="4" width="9.5" style="2" bestFit="1" customWidth="1"/>
    <col min="5" max="5" width="13.33203125" style="2" customWidth="1"/>
    <col min="6" max="6" width="7.33203125" style="3" bestFit="1" customWidth="1"/>
    <col min="7" max="7" width="9.5" style="3" bestFit="1" customWidth="1"/>
    <col min="8" max="8" width="17.6640625" style="2" customWidth="1"/>
    <col min="9" max="9" width="12.83203125" style="2" customWidth="1"/>
    <col min="10" max="10" width="14.1640625" style="3" customWidth="1"/>
    <col min="11" max="11" width="10.83203125" style="3"/>
    <col min="12" max="13" width="13.1640625" style="4" customWidth="1"/>
    <col min="14" max="14" width="14.33203125" style="5" bestFit="1" customWidth="1"/>
    <col min="15" max="15" width="10.6640625" style="5" bestFit="1" customWidth="1"/>
    <col min="16" max="16" width="8.1640625" style="5" customWidth="1"/>
    <col min="17" max="17" width="9.5" style="5" bestFit="1" customWidth="1"/>
    <col min="18" max="20" width="12.1640625" style="4" customWidth="1"/>
    <col min="21" max="22" width="12.1640625" style="8" customWidth="1"/>
    <col min="23" max="24" width="12.1640625" style="4" customWidth="1"/>
    <col min="25" max="25" width="15.83203125" style="4" customWidth="1"/>
    <col min="26" max="27" width="15.83203125" style="5" customWidth="1"/>
    <col min="28" max="28" width="12.1640625" style="4" customWidth="1"/>
    <col min="29" max="33" width="10.83203125" style="3"/>
    <col min="34" max="34" width="15.1640625" style="3" customWidth="1"/>
    <col min="35" max="39" width="10.83203125" style="3"/>
    <col min="40" max="40" width="23.5" style="3" customWidth="1"/>
    <col min="41" max="41" width="4.33203125" customWidth="1"/>
    <col min="48" max="48" width="4.1640625" customWidth="1"/>
    <col min="50" max="50" width="9.1640625" customWidth="1"/>
    <col min="51" max="51" width="3.33203125" customWidth="1"/>
  </cols>
  <sheetData>
    <row r="1" spans="1:50" x14ac:dyDescent="0.2">
      <c r="A1" s="58" t="s">
        <v>23</v>
      </c>
      <c r="B1" s="58"/>
      <c r="C1" s="59" t="s">
        <v>26</v>
      </c>
      <c r="D1" s="59"/>
      <c r="E1" s="59"/>
      <c r="F1" s="58" t="s">
        <v>30</v>
      </c>
      <c r="G1" s="58"/>
      <c r="H1" s="59" t="s">
        <v>27</v>
      </c>
      <c r="I1" s="59"/>
      <c r="J1" s="58" t="s">
        <v>28</v>
      </c>
      <c r="K1" s="58"/>
      <c r="L1" s="60" t="s">
        <v>29</v>
      </c>
      <c r="M1" s="60"/>
      <c r="N1" s="54" t="s">
        <v>31</v>
      </c>
      <c r="O1" s="54"/>
      <c r="P1" s="54"/>
      <c r="Q1" s="54"/>
      <c r="R1" s="60" t="s">
        <v>48</v>
      </c>
      <c r="S1" s="60"/>
      <c r="T1" s="60"/>
      <c r="U1" s="61" t="s">
        <v>44</v>
      </c>
      <c r="V1" s="61"/>
      <c r="W1" s="4" t="s">
        <v>46</v>
      </c>
      <c r="X1" s="4" t="s">
        <v>47</v>
      </c>
      <c r="AC1" s="58" t="s">
        <v>36</v>
      </c>
      <c r="AD1" s="58"/>
      <c r="AE1" s="58"/>
      <c r="AF1" s="58"/>
      <c r="AG1" s="58"/>
      <c r="AH1" s="58"/>
      <c r="AI1" s="7" t="s">
        <v>37</v>
      </c>
      <c r="AJ1" s="1"/>
      <c r="AK1" s="1"/>
      <c r="AL1" s="1"/>
      <c r="AM1" s="1"/>
      <c r="AN1"/>
      <c r="AP1" t="s">
        <v>33</v>
      </c>
      <c r="AQ1" t="s">
        <v>38</v>
      </c>
      <c r="AR1" t="s">
        <v>41</v>
      </c>
    </row>
    <row r="2" spans="1:50" x14ac:dyDescent="0.2">
      <c r="A2" s="3" t="s">
        <v>24</v>
      </c>
      <c r="B2" s="3" t="s">
        <v>25</v>
      </c>
      <c r="C2" s="2" t="s">
        <v>24</v>
      </c>
      <c r="D2" s="2" t="s">
        <v>25</v>
      </c>
      <c r="E2" s="2" t="s">
        <v>42</v>
      </c>
      <c r="F2" s="3" t="s">
        <v>24</v>
      </c>
      <c r="G2" s="3" t="s">
        <v>25</v>
      </c>
      <c r="H2" s="2" t="s">
        <v>24</v>
      </c>
      <c r="I2" s="2" t="s">
        <v>25</v>
      </c>
      <c r="J2" s="3" t="s">
        <v>24</v>
      </c>
      <c r="K2" s="3" t="s">
        <v>25</v>
      </c>
      <c r="L2" s="4" t="s">
        <v>24</v>
      </c>
      <c r="M2" s="4" t="s">
        <v>25</v>
      </c>
      <c r="N2" s="5" t="s">
        <v>32</v>
      </c>
      <c r="O2" s="5" t="s">
        <v>50</v>
      </c>
      <c r="P2" s="5" t="s">
        <v>24</v>
      </c>
      <c r="Q2" s="5" t="s">
        <v>25</v>
      </c>
      <c r="R2" s="4" t="s">
        <v>24</v>
      </c>
      <c r="S2" s="4" t="s">
        <v>25</v>
      </c>
      <c r="T2" s="4" t="s">
        <v>45</v>
      </c>
      <c r="U2" s="8" t="s">
        <v>43</v>
      </c>
      <c r="V2" s="8" t="s">
        <v>39</v>
      </c>
      <c r="X2" s="4" t="s">
        <v>24</v>
      </c>
      <c r="Y2" s="4" t="s">
        <v>25</v>
      </c>
      <c r="AA2" s="5" t="s">
        <v>49</v>
      </c>
      <c r="AB2" s="4" t="s">
        <v>40</v>
      </c>
      <c r="AC2" s="3" t="s">
        <v>19</v>
      </c>
      <c r="AD2" s="3" t="s">
        <v>20</v>
      </c>
      <c r="AE2" s="3" t="s">
        <v>21</v>
      </c>
      <c r="AF2" s="3" t="s">
        <v>34</v>
      </c>
      <c r="AG2" s="3" t="s">
        <v>35</v>
      </c>
      <c r="AH2" s="3" t="s">
        <v>22</v>
      </c>
      <c r="AI2" s="3" t="s">
        <v>19</v>
      </c>
      <c r="AJ2" s="3" t="s">
        <v>20</v>
      </c>
      <c r="AK2" s="3" t="s">
        <v>21</v>
      </c>
      <c r="AL2" s="3" t="s">
        <v>34</v>
      </c>
      <c r="AM2" s="3" t="s">
        <v>35</v>
      </c>
      <c r="AN2" s="3" t="s">
        <v>22</v>
      </c>
      <c r="AP2">
        <v>0</v>
      </c>
      <c r="AQ2">
        <f>SUM(AP$2:AP2)</f>
        <v>0</v>
      </c>
      <c r="AR2">
        <v>20</v>
      </c>
    </row>
    <row r="3" spans="1:50" x14ac:dyDescent="0.2">
      <c r="A3" s="3">
        <v>10000</v>
      </c>
      <c r="B3" s="3">
        <v>250000</v>
      </c>
      <c r="C3" s="2">
        <v>50</v>
      </c>
      <c r="D3" s="2">
        <v>100</v>
      </c>
      <c r="E3" s="2">
        <v>0.7</v>
      </c>
      <c r="F3" s="3">
        <v>150</v>
      </c>
      <c r="G3" s="3">
        <v>100</v>
      </c>
      <c r="H3" s="2">
        <v>5000</v>
      </c>
      <c r="I3" s="2">
        <v>50000</v>
      </c>
      <c r="J3" s="3">
        <v>1</v>
      </c>
      <c r="K3" s="3">
        <v>3</v>
      </c>
      <c r="L3" s="4">
        <f>A3</f>
        <v>10000</v>
      </c>
      <c r="M3" s="4">
        <f>B3</f>
        <v>250000</v>
      </c>
      <c r="N3" s="5">
        <v>1000000</v>
      </c>
      <c r="O3" s="5">
        <f>INT(Z3&gt;T3)*MIN(N3,W3)</f>
        <v>1000000</v>
      </c>
      <c r="P3" s="5">
        <f>$O3*R3/($R3+$S3)</f>
        <v>36144.578313253012</v>
      </c>
      <c r="Q3" s="5">
        <f>$O3*S3/($R3+$S3)</f>
        <v>963855.42168674699</v>
      </c>
      <c r="R3" s="2">
        <f>MAX(L3-H3,0)*F$3</f>
        <v>750000</v>
      </c>
      <c r="S3" s="2">
        <f>MAX(M3-I3, 0)*G$3</f>
        <v>20000000</v>
      </c>
      <c r="T3" s="2">
        <v>0.3</v>
      </c>
      <c r="U3" s="9">
        <f>(C3*F3 + D3*G3)*E3</f>
        <v>12250</v>
      </c>
      <c r="V3" s="9">
        <f>IF(AB3&gt;$AR$2,AI3)+IF(AB3&gt;$AR$2+1,AJ3)+IF(AB3&gt;$AR$2+2,AK3)+IF(AB3&gt;$AR$2+3,AL3)+IF(AB3&gt;$AR$2+4,AM3)</f>
        <v>0</v>
      </c>
      <c r="W3" s="2">
        <f>(X3+Y3)*(1-T3)+U3</f>
        <v>14537250</v>
      </c>
      <c r="X3" s="2">
        <f>R3</f>
        <v>750000</v>
      </c>
      <c r="Y3" s="2">
        <f>S3</f>
        <v>20000000</v>
      </c>
      <c r="Z3" s="3">
        <v>1</v>
      </c>
      <c r="AA3" s="3">
        <v>1</v>
      </c>
      <c r="AB3" s="2">
        <v>0</v>
      </c>
      <c r="AC3" s="3">
        <v>0</v>
      </c>
      <c r="AD3" s="3">
        <v>0</v>
      </c>
      <c r="AE3" s="3">
        <v>0</v>
      </c>
      <c r="AF3" s="3">
        <v>0</v>
      </c>
      <c r="AG3" s="3">
        <v>0</v>
      </c>
      <c r="AI3" s="3">
        <f t="shared" ref="AI3:AN3" si="0">AC3*$AQ2</f>
        <v>0</v>
      </c>
      <c r="AJ3" s="3">
        <f t="shared" si="0"/>
        <v>0</v>
      </c>
      <c r="AK3" s="3">
        <f t="shared" si="0"/>
        <v>0</v>
      </c>
      <c r="AL3" s="3">
        <f t="shared" si="0"/>
        <v>0</v>
      </c>
      <c r="AM3" s="3">
        <f t="shared" si="0"/>
        <v>0</v>
      </c>
      <c r="AN3" s="3">
        <f t="shared" si="0"/>
        <v>0</v>
      </c>
      <c r="AP3">
        <v>0.01</v>
      </c>
      <c r="AQ3">
        <f>SUM(AP$2:AP3)</f>
        <v>0.01</v>
      </c>
      <c r="AR3">
        <v>20</v>
      </c>
      <c r="AW3" s="5">
        <v>4000000</v>
      </c>
      <c r="AX3">
        <f>ROUND(AW3/4,0)</f>
        <v>1000000</v>
      </c>
    </row>
    <row r="4" spans="1:50" x14ac:dyDescent="0.2">
      <c r="C4" s="2">
        <v>50</v>
      </c>
      <c r="D4" s="2">
        <v>100</v>
      </c>
      <c r="E4" s="2">
        <v>0.7</v>
      </c>
      <c r="F4" s="3">
        <f>F$3*Z4</f>
        <v>146.22331751247413</v>
      </c>
      <c r="G4" s="3">
        <f>G$3*AA4</f>
        <v>98.978712247690112</v>
      </c>
      <c r="H4" s="2">
        <v>5000</v>
      </c>
      <c r="I4" s="2">
        <v>50000</v>
      </c>
      <c r="J4" s="3">
        <f>J$3*Z4</f>
        <v>0.97482211674982755</v>
      </c>
      <c r="K4" s="3">
        <f>K$3*AA4</f>
        <v>2.9693613674307033</v>
      </c>
      <c r="L4" s="4">
        <f>MAX(L3-C3,H3)</f>
        <v>9950</v>
      </c>
      <c r="M4" s="4">
        <f>MAX(M3-D3,I3)</f>
        <v>249900</v>
      </c>
      <c r="N4" s="5">
        <v>1025000</v>
      </c>
      <c r="O4" s="5">
        <f>INT(Z4&gt;T4)*MIN(N4,W4)</f>
        <v>1025000</v>
      </c>
      <c r="P4" s="5">
        <f t="shared" ref="P4:P5" si="1">$O4*R4/($R4+$S4)</f>
        <v>36708.669962619075</v>
      </c>
      <c r="Q4" s="5">
        <f t="shared" ref="Q4:Q7" si="2">$O4*S4/($R4+$S4)</f>
        <v>988291.33003738092</v>
      </c>
      <c r="R4" s="2">
        <f>MAX(L4-H4,0)*F$3</f>
        <v>742500</v>
      </c>
      <c r="S4" s="2">
        <f>MAX(M4-I4, 0)*G$3</f>
        <v>19990000</v>
      </c>
      <c r="T4" s="2">
        <v>0.3</v>
      </c>
      <c r="U4" s="9">
        <f t="shared" ref="U4:U30" si="3">(C4*F4 + D4*G4)*E4</f>
        <v>12046.325970274902</v>
      </c>
      <c r="V4" s="9">
        <f t="shared" ref="V4:V30" si="4">IF(AB4&gt;$AR$2,AI4)+IF(AB4&gt;$AR$2+1,AJ4)+IF(AB4&gt;$AR$2+2,AK4)+IF(AB4&gt;$AR$2+3,AL4)+IF(AB4&gt;$AR$2+4,AM4)</f>
        <v>0</v>
      </c>
      <c r="W4" s="2">
        <f>(X4+Y4)*(1-T4)+U4</f>
        <v>14368801.325970275</v>
      </c>
      <c r="X4" s="2">
        <f>X3-P3+L4*J3</f>
        <v>723805.42168674699</v>
      </c>
      <c r="Y4" s="2">
        <f>Y3-Q3+M4*K3</f>
        <v>19785844.578313254</v>
      </c>
      <c r="Z4" s="3">
        <f>X4/R4</f>
        <v>0.97482211674982755</v>
      </c>
      <c r="AA4" s="3">
        <f>Y4/S4</f>
        <v>0.98978712247690115</v>
      </c>
      <c r="AB4" s="2">
        <v>1</v>
      </c>
      <c r="AC4" s="3">
        <v>100</v>
      </c>
      <c r="AD4" s="3">
        <v>0</v>
      </c>
      <c r="AE4" s="3">
        <v>0</v>
      </c>
      <c r="AF4" s="3">
        <v>0</v>
      </c>
      <c r="AG4" s="3">
        <v>0</v>
      </c>
      <c r="AI4" s="3">
        <f>AC4*$AQ2</f>
        <v>0</v>
      </c>
      <c r="AJ4" s="3">
        <f t="shared" ref="AJ4:AM4" si="5">AD4*$AQ2</f>
        <v>0</v>
      </c>
      <c r="AK4" s="3">
        <f t="shared" si="5"/>
        <v>0</v>
      </c>
      <c r="AL4" s="3">
        <f t="shared" si="5"/>
        <v>0</v>
      </c>
      <c r="AM4" s="3">
        <f t="shared" si="5"/>
        <v>0</v>
      </c>
      <c r="AN4" s="3">
        <f>AH4*$AQ2</f>
        <v>0</v>
      </c>
      <c r="AP4">
        <v>0.05</v>
      </c>
      <c r="AQ4">
        <f>SUM(AP$2:AP4)</f>
        <v>6.0000000000000005E-2</v>
      </c>
      <c r="AR4">
        <v>20</v>
      </c>
      <c r="AW4" s="5">
        <v>4100000</v>
      </c>
      <c r="AX4">
        <f t="shared" ref="AX4:AX30" si="6">ROUND(AW4/4,0)</f>
        <v>1025000</v>
      </c>
    </row>
    <row r="5" spans="1:50" x14ac:dyDescent="0.2">
      <c r="C5" s="2">
        <v>40</v>
      </c>
      <c r="D5" s="2">
        <v>120</v>
      </c>
      <c r="E5" s="2">
        <v>0.7</v>
      </c>
      <c r="F5" s="3">
        <f>F$3*Z5</f>
        <v>142.193365444888</v>
      </c>
      <c r="G5" s="3">
        <f t="shared" ref="G5:G30" si="7">G$3*AA5</f>
        <v>97.794292882182489</v>
      </c>
      <c r="H5" s="2">
        <v>5000</v>
      </c>
      <c r="I5" s="2">
        <v>50000</v>
      </c>
      <c r="J5" s="3">
        <f t="shared" ref="J5:J30" si="8">J$3*Z5</f>
        <v>0.94795576963258665</v>
      </c>
      <c r="K5" s="3">
        <f t="shared" ref="K5:K30" si="9">K$3*AA5</f>
        <v>2.9338287864654746</v>
      </c>
      <c r="L5" s="4">
        <f>MAX(L4-C4,H4)</f>
        <v>9900</v>
      </c>
      <c r="M5" s="4">
        <f t="shared" ref="M5:M30" si="10">MAX(M4-D4,I4)</f>
        <v>249800</v>
      </c>
      <c r="N5" s="5">
        <v>1062500</v>
      </c>
      <c r="O5" s="5">
        <f t="shared" ref="O5:O30" si="11">INT(Z5&gt;T5)*MIN(N5,W5)</f>
        <v>1062500</v>
      </c>
      <c r="P5" s="5">
        <f t="shared" si="1"/>
        <v>37699.131064446054</v>
      </c>
      <c r="Q5" s="5">
        <f t="shared" si="2"/>
        <v>1024800.8689355539</v>
      </c>
      <c r="R5" s="2">
        <f t="shared" ref="R5:R30" si="12">MAX(L5-H5,0)*F$3</f>
        <v>735000</v>
      </c>
      <c r="S5" s="2">
        <f t="shared" ref="S5:S30" si="13">MAX(M5-I5, 0)*G$3</f>
        <v>19980000</v>
      </c>
      <c r="T5" s="2">
        <v>0.3</v>
      </c>
      <c r="U5" s="9">
        <f t="shared" si="3"/>
        <v>12196.134834560195</v>
      </c>
      <c r="V5" s="9">
        <f t="shared" si="4"/>
        <v>0</v>
      </c>
      <c r="W5" s="2">
        <f>(X5+Y5)*(1-T5)+U5</f>
        <v>14177429.180812567</v>
      </c>
      <c r="X5" s="2">
        <f>X4-P4+L5*J4</f>
        <v>696747.49067995115</v>
      </c>
      <c r="Y5" s="2">
        <f>Y4-Q4+M5*K4</f>
        <v>19539299.717860062</v>
      </c>
      <c r="Z5" s="3">
        <f>X5/R5</f>
        <v>0.94795576963258665</v>
      </c>
      <c r="AA5" s="3">
        <f>Y5/S5</f>
        <v>0.97794292882182488</v>
      </c>
      <c r="AB5" s="2">
        <v>2</v>
      </c>
      <c r="AC5" s="3">
        <v>100</v>
      </c>
      <c r="AD5" s="3">
        <v>100</v>
      </c>
      <c r="AE5" s="3">
        <v>0</v>
      </c>
      <c r="AF5" s="3">
        <v>0</v>
      </c>
      <c r="AG5" s="3">
        <v>0</v>
      </c>
      <c r="AI5" s="3">
        <f>AC5*$AQ3</f>
        <v>1</v>
      </c>
      <c r="AJ5" s="3">
        <f t="shared" ref="AJ5:AJ30" si="14">AD5*$AQ3</f>
        <v>1</v>
      </c>
      <c r="AK5" s="3">
        <f t="shared" ref="AK5:AK30" si="15">AE5*$AQ3</f>
        <v>0</v>
      </c>
      <c r="AL5" s="3">
        <f t="shared" ref="AL5:AL30" si="16">AF5*$AQ3</f>
        <v>0</v>
      </c>
      <c r="AM5" s="3">
        <f t="shared" ref="AM5:AM30" si="17">AG5*$AQ3</f>
        <v>0</v>
      </c>
      <c r="AN5" s="3">
        <f>AH5*$AQ3</f>
        <v>0</v>
      </c>
      <c r="AP5">
        <v>0.2</v>
      </c>
      <c r="AQ5">
        <f>SUM(AP$2:AP5)</f>
        <v>0.26</v>
      </c>
      <c r="AR5">
        <v>20</v>
      </c>
      <c r="AW5" s="5">
        <v>4250000</v>
      </c>
      <c r="AX5">
        <f t="shared" si="6"/>
        <v>1062500</v>
      </c>
    </row>
    <row r="6" spans="1:50" x14ac:dyDescent="0.2">
      <c r="C6" s="2">
        <v>45</v>
      </c>
      <c r="D6" s="2">
        <v>120</v>
      </c>
      <c r="E6" s="2">
        <v>0.7</v>
      </c>
      <c r="F6" s="3">
        <f t="shared" ref="F6:F30" si="18">F$3*Z6</f>
        <v>137.52987726421449</v>
      </c>
      <c r="G6" s="3">
        <f t="shared" si="7"/>
        <v>96.389308996039688</v>
      </c>
      <c r="H6" s="2">
        <v>5000</v>
      </c>
      <c r="I6" s="2">
        <v>50000</v>
      </c>
      <c r="J6" s="3">
        <f t="shared" si="8"/>
        <v>0.9168658484280966</v>
      </c>
      <c r="K6" s="3">
        <f t="shared" si="9"/>
        <v>2.8916792698811906</v>
      </c>
      <c r="L6" s="4">
        <f t="shared" ref="L6:L30" si="19">MAX(L5-C5,H5)</f>
        <v>9860</v>
      </c>
      <c r="M6" s="4">
        <f t="shared" si="10"/>
        <v>249680</v>
      </c>
      <c r="N6" s="5">
        <v>1100000</v>
      </c>
      <c r="O6" s="5">
        <f t="shared" si="11"/>
        <v>1100000</v>
      </c>
      <c r="P6" s="5">
        <f>$O6*R6/($R6+$S6)</f>
        <v>38744.745615306565</v>
      </c>
      <c r="Q6" s="5">
        <f>$O6*S6/($R6+$S6)</f>
        <v>1061255.2543846935</v>
      </c>
      <c r="R6" s="2">
        <f>MAX(L6-H6,0)*F$3</f>
        <v>729000</v>
      </c>
      <c r="S6" s="2">
        <f t="shared" si="13"/>
        <v>19968000</v>
      </c>
      <c r="T6" s="2">
        <v>0.3</v>
      </c>
      <c r="U6" s="9">
        <f t="shared" si="3"/>
        <v>12428.89308949009</v>
      </c>
      <c r="V6" s="9">
        <f t="shared" si="4"/>
        <v>0</v>
      </c>
      <c r="W6" s="2">
        <f t="shared" ref="W6:W30" si="20">(R6+S6)*(1-T6)+U6</f>
        <v>14500328.89308949</v>
      </c>
      <c r="X6" s="2">
        <f t="shared" ref="X6:X30" si="21">X5-P5+L6*J5</f>
        <v>668395.2035040824</v>
      </c>
      <c r="Y6" s="2">
        <f t="shared" ref="Y6:Y30" si="22">Y5-Q5+M6*K5</f>
        <v>19247017.220329206</v>
      </c>
      <c r="Z6" s="3">
        <f t="shared" ref="Z6:Z30" si="23">X6/R6</f>
        <v>0.9168658484280966</v>
      </c>
      <c r="AA6" s="3">
        <f t="shared" ref="AA6:AA30" si="24">Y6/S6</f>
        <v>0.96389308996039691</v>
      </c>
      <c r="AB6" s="2">
        <v>3</v>
      </c>
      <c r="AC6" s="3">
        <v>100</v>
      </c>
      <c r="AD6" s="3">
        <v>100</v>
      </c>
      <c r="AE6" s="6">
        <v>130</v>
      </c>
      <c r="AF6" s="3">
        <v>0</v>
      </c>
      <c r="AG6" s="3">
        <v>0</v>
      </c>
      <c r="AI6" s="3">
        <f t="shared" ref="AI6:AI30" si="25">AC6*$AQ4</f>
        <v>6.0000000000000009</v>
      </c>
      <c r="AJ6" s="3">
        <f t="shared" si="14"/>
        <v>6.0000000000000009</v>
      </c>
      <c r="AK6" s="3">
        <f t="shared" si="15"/>
        <v>7.8000000000000007</v>
      </c>
      <c r="AL6" s="3">
        <f t="shared" si="16"/>
        <v>0</v>
      </c>
      <c r="AM6" s="3">
        <f t="shared" si="17"/>
        <v>0</v>
      </c>
      <c r="AN6" s="3">
        <f t="shared" ref="AN6:AN30" si="26">AH6*$AQ4</f>
        <v>0</v>
      </c>
      <c r="AP6">
        <v>0.6</v>
      </c>
      <c r="AQ6">
        <f>SUM(AP$2:AP6)</f>
        <v>0.86</v>
      </c>
      <c r="AR6">
        <v>20</v>
      </c>
      <c r="AW6" s="5">
        <v>4400000</v>
      </c>
      <c r="AX6">
        <f t="shared" si="6"/>
        <v>1100000</v>
      </c>
    </row>
    <row r="7" spans="1:50" x14ac:dyDescent="0.2">
      <c r="C7" s="2">
        <v>45</v>
      </c>
      <c r="D7" s="2">
        <v>120</v>
      </c>
      <c r="E7" s="2">
        <v>0.7</v>
      </c>
      <c r="F7" s="3">
        <f t="shared" si="18"/>
        <v>132.6374862286807</v>
      </c>
      <c r="G7" s="3">
        <f t="shared" si="7"/>
        <v>94.745487294728719</v>
      </c>
      <c r="H7" s="2">
        <v>5000</v>
      </c>
      <c r="I7" s="2">
        <v>50000</v>
      </c>
      <c r="J7" s="3">
        <f t="shared" si="8"/>
        <v>0.88424990819120475</v>
      </c>
      <c r="K7" s="3">
        <f t="shared" si="9"/>
        <v>2.8423646188418616</v>
      </c>
      <c r="L7" s="4">
        <f t="shared" si="19"/>
        <v>9815</v>
      </c>
      <c r="M7" s="4">
        <f t="shared" si="10"/>
        <v>249560</v>
      </c>
      <c r="N7" s="5">
        <v>1105000</v>
      </c>
      <c r="O7" s="5">
        <f>INT(Z7&gt;T7)*MIN(N7,W7)</f>
        <v>1105000</v>
      </c>
      <c r="P7" s="5">
        <f>$O7*R7/($R7+$S7)</f>
        <v>38595.444488774439</v>
      </c>
      <c r="Q7" s="5">
        <f t="shared" si="2"/>
        <v>1066404.5555112255</v>
      </c>
      <c r="R7" s="2">
        <f t="shared" si="12"/>
        <v>722250</v>
      </c>
      <c r="S7" s="2">
        <f t="shared" si="13"/>
        <v>19956000</v>
      </c>
      <c r="T7" s="2">
        <v>0.3</v>
      </c>
      <c r="U7" s="9">
        <f t="shared" si="3"/>
        <v>12136.701748960653</v>
      </c>
      <c r="V7" s="9">
        <f t="shared" si="4"/>
        <v>0</v>
      </c>
      <c r="W7" s="2">
        <f>(R7+S7)*(1-T7)+U7</f>
        <v>14486911.701748962</v>
      </c>
      <c r="X7" s="2">
        <f>X6-P6+L7*J6</f>
        <v>638649.49619109766</v>
      </c>
      <c r="Y7" s="2">
        <f t="shared" si="22"/>
        <v>18907409.444536064</v>
      </c>
      <c r="Z7" s="3">
        <f t="shared" si="23"/>
        <v>0.88424990819120475</v>
      </c>
      <c r="AA7" s="3">
        <f t="shared" si="24"/>
        <v>0.94745487294728725</v>
      </c>
      <c r="AB7" s="4">
        <v>4</v>
      </c>
      <c r="AC7" s="3">
        <v>100</v>
      </c>
      <c r="AD7" s="3">
        <v>100</v>
      </c>
      <c r="AE7" s="6">
        <v>130</v>
      </c>
      <c r="AF7" s="3">
        <v>200</v>
      </c>
      <c r="AG7" s="3">
        <v>0</v>
      </c>
      <c r="AI7" s="3">
        <f t="shared" si="25"/>
        <v>26</v>
      </c>
      <c r="AJ7" s="3">
        <f t="shared" si="14"/>
        <v>26</v>
      </c>
      <c r="AK7" s="3">
        <f t="shared" si="15"/>
        <v>33.800000000000004</v>
      </c>
      <c r="AL7" s="3">
        <f t="shared" si="16"/>
        <v>52</v>
      </c>
      <c r="AM7" s="3">
        <f t="shared" si="17"/>
        <v>0</v>
      </c>
      <c r="AN7" s="3">
        <f t="shared" si="26"/>
        <v>0</v>
      </c>
      <c r="AP7">
        <v>1.8</v>
      </c>
      <c r="AQ7">
        <f>SUM(AP$2:AP7)</f>
        <v>2.66</v>
      </c>
      <c r="AR7">
        <v>20</v>
      </c>
      <c r="AW7" s="5">
        <v>4420000</v>
      </c>
      <c r="AX7">
        <f t="shared" si="6"/>
        <v>1105000</v>
      </c>
    </row>
    <row r="8" spans="1:50" x14ac:dyDescent="0.2">
      <c r="C8" s="2">
        <v>40</v>
      </c>
      <c r="D8" s="2">
        <v>120</v>
      </c>
      <c r="E8" s="2">
        <v>0.7</v>
      </c>
      <c r="F8" s="3">
        <f t="shared" si="18"/>
        <v>127.60863172019944</v>
      </c>
      <c r="G8" s="3">
        <f t="shared" si="7"/>
        <v>93.01045086015219</v>
      </c>
      <c r="H8" s="2">
        <v>5000</v>
      </c>
      <c r="I8" s="2">
        <v>50000</v>
      </c>
      <c r="J8" s="3">
        <f t="shared" si="8"/>
        <v>0.85072421146799626</v>
      </c>
      <c r="K8" s="3">
        <f t="shared" si="9"/>
        <v>2.7903135258045655</v>
      </c>
      <c r="L8" s="4">
        <f t="shared" si="19"/>
        <v>9770</v>
      </c>
      <c r="M8" s="4">
        <f t="shared" si="10"/>
        <v>249440</v>
      </c>
      <c r="N8" s="5">
        <v>1127100</v>
      </c>
      <c r="O8" s="5">
        <f>INT(Z8&gt;T8)*MIN(N8,W8)</f>
        <v>1127100</v>
      </c>
      <c r="P8" s="5">
        <f t="shared" ref="P8:P30" si="27">$O8*R8/($R8+$S8)</f>
        <v>39034.829013286864</v>
      </c>
      <c r="Q8" s="5">
        <f t="shared" ref="Q8:Q30" si="28">$O8*S8/($R8+$S8)</f>
        <v>1088065.1709867131</v>
      </c>
      <c r="R8" s="2">
        <f t="shared" si="12"/>
        <v>715500</v>
      </c>
      <c r="S8" s="2">
        <f t="shared" si="13"/>
        <v>19944000</v>
      </c>
      <c r="T8" s="2">
        <v>0.3</v>
      </c>
      <c r="U8" s="9">
        <f>(C8*F8 + D8*G8)*E8</f>
        <v>11385.919560418368</v>
      </c>
      <c r="V8" s="9">
        <f t="shared" si="4"/>
        <v>0</v>
      </c>
      <c r="W8" s="2">
        <f t="shared" si="20"/>
        <v>14473035.919560418</v>
      </c>
      <c r="X8" s="2">
        <f>X7-P7+L8*J7</f>
        <v>608693.17330535129</v>
      </c>
      <c r="Y8" s="2">
        <f t="shared" si="22"/>
        <v>18550004.319548752</v>
      </c>
      <c r="Z8" s="3">
        <f t="shared" si="23"/>
        <v>0.85072421146799626</v>
      </c>
      <c r="AA8" s="3">
        <f t="shared" si="24"/>
        <v>0.93010450860152183</v>
      </c>
      <c r="AB8" s="4">
        <v>5</v>
      </c>
      <c r="AC8" s="3">
        <v>100</v>
      </c>
      <c r="AD8" s="3">
        <v>100</v>
      </c>
      <c r="AE8" s="6">
        <v>130</v>
      </c>
      <c r="AF8" s="3">
        <v>200</v>
      </c>
      <c r="AG8" s="3">
        <v>200</v>
      </c>
      <c r="AI8" s="3">
        <f t="shared" si="25"/>
        <v>86</v>
      </c>
      <c r="AJ8" s="3">
        <f t="shared" si="14"/>
        <v>86</v>
      </c>
      <c r="AK8" s="3">
        <f t="shared" si="15"/>
        <v>111.8</v>
      </c>
      <c r="AL8" s="3">
        <f t="shared" si="16"/>
        <v>172</v>
      </c>
      <c r="AM8" s="3">
        <f t="shared" si="17"/>
        <v>172</v>
      </c>
      <c r="AN8" s="3">
        <f t="shared" si="26"/>
        <v>0</v>
      </c>
      <c r="AP8">
        <v>3</v>
      </c>
      <c r="AQ8">
        <f>SUM(AP$2:AP8)</f>
        <v>5.66</v>
      </c>
      <c r="AR8">
        <v>20</v>
      </c>
      <c r="AW8" s="5">
        <v>4508400</v>
      </c>
      <c r="AX8">
        <f t="shared" si="6"/>
        <v>1127100</v>
      </c>
    </row>
    <row r="9" spans="1:50" x14ac:dyDescent="0.2">
      <c r="C9" s="2">
        <v>50</v>
      </c>
      <c r="D9" s="2">
        <v>120</v>
      </c>
      <c r="E9" s="2">
        <v>0.7</v>
      </c>
      <c r="F9" s="3">
        <f t="shared" si="18"/>
        <v>122.18517777370995</v>
      </c>
      <c r="G9" s="3">
        <f t="shared" si="7"/>
        <v>91.097833217016017</v>
      </c>
      <c r="H9" s="2">
        <v>5000</v>
      </c>
      <c r="I9" s="2">
        <v>50000</v>
      </c>
      <c r="J9" s="3">
        <f t="shared" si="8"/>
        <v>0.81456785182473301</v>
      </c>
      <c r="K9" s="3">
        <f t="shared" si="9"/>
        <v>2.7329349965104806</v>
      </c>
      <c r="L9" s="4">
        <f t="shared" si="19"/>
        <v>9730</v>
      </c>
      <c r="M9" s="4">
        <f t="shared" si="10"/>
        <v>249320</v>
      </c>
      <c r="N9" s="5">
        <v>1149643</v>
      </c>
      <c r="O9" s="5">
        <f t="shared" si="11"/>
        <v>1149643</v>
      </c>
      <c r="P9" s="5">
        <f t="shared" si="27"/>
        <v>39516.10631494804</v>
      </c>
      <c r="Q9" s="5">
        <f t="shared" si="28"/>
        <v>1110126.8936850519</v>
      </c>
      <c r="R9" s="2">
        <f t="shared" si="12"/>
        <v>709500</v>
      </c>
      <c r="S9" s="2">
        <f t="shared" si="13"/>
        <v>19932000</v>
      </c>
      <c r="T9" s="2">
        <v>0.3</v>
      </c>
      <c r="U9" s="9">
        <f t="shared" si="3"/>
        <v>11928.699212309191</v>
      </c>
      <c r="V9" s="9">
        <f t="shared" si="4"/>
        <v>0</v>
      </c>
      <c r="W9" s="2">
        <f t="shared" si="20"/>
        <v>14460978.699212309</v>
      </c>
      <c r="X9" s="2">
        <f t="shared" si="21"/>
        <v>577935.89086964808</v>
      </c>
      <c r="Y9" s="2">
        <f t="shared" si="22"/>
        <v>18157620.116815634</v>
      </c>
      <c r="Z9" s="3">
        <f t="shared" si="23"/>
        <v>0.81456785182473301</v>
      </c>
      <c r="AA9" s="3">
        <f t="shared" si="24"/>
        <v>0.91097833217016022</v>
      </c>
      <c r="AB9" s="2">
        <v>6</v>
      </c>
      <c r="AC9" s="3">
        <v>100</v>
      </c>
      <c r="AD9" s="3">
        <v>100</v>
      </c>
      <c r="AE9" s="6">
        <v>130</v>
      </c>
      <c r="AF9" s="3">
        <v>200</v>
      </c>
      <c r="AG9" s="3">
        <v>200</v>
      </c>
      <c r="AH9" s="3">
        <v>200</v>
      </c>
      <c r="AI9" s="3">
        <f t="shared" si="25"/>
        <v>266</v>
      </c>
      <c r="AJ9" s="3">
        <f t="shared" si="14"/>
        <v>266</v>
      </c>
      <c r="AK9" s="3">
        <f t="shared" si="15"/>
        <v>345.8</v>
      </c>
      <c r="AL9" s="3">
        <f t="shared" si="16"/>
        <v>532</v>
      </c>
      <c r="AM9" s="3">
        <f t="shared" si="17"/>
        <v>532</v>
      </c>
      <c r="AN9" s="3">
        <f t="shared" si="26"/>
        <v>532</v>
      </c>
      <c r="AP9">
        <v>6</v>
      </c>
      <c r="AQ9">
        <f>SUM(AP$2:AP9)</f>
        <v>11.66</v>
      </c>
      <c r="AR9">
        <v>20</v>
      </c>
      <c r="AW9" s="5">
        <v>4598570</v>
      </c>
      <c r="AX9">
        <f t="shared" si="6"/>
        <v>1149643</v>
      </c>
    </row>
    <row r="10" spans="1:50" x14ac:dyDescent="0.2">
      <c r="C10" s="2">
        <v>60</v>
      </c>
      <c r="D10" s="2">
        <v>120</v>
      </c>
      <c r="E10" s="2">
        <v>0.7</v>
      </c>
      <c r="F10" s="3">
        <f t="shared" si="18"/>
        <v>116.73179516247083</v>
      </c>
      <c r="G10" s="3">
        <f t="shared" si="7"/>
        <v>88.9986979129568</v>
      </c>
      <c r="H10" s="2">
        <v>5000</v>
      </c>
      <c r="I10" s="2">
        <v>50000</v>
      </c>
      <c r="J10" s="3">
        <f t="shared" si="8"/>
        <v>0.7782119677498055</v>
      </c>
      <c r="K10" s="3">
        <f t="shared" si="9"/>
        <v>2.6699609373887041</v>
      </c>
      <c r="L10" s="4">
        <f t="shared" si="19"/>
        <v>9680</v>
      </c>
      <c r="M10" s="4">
        <f t="shared" si="10"/>
        <v>249200</v>
      </c>
      <c r="N10" s="5">
        <v>1172635</v>
      </c>
      <c r="O10" s="5">
        <f t="shared" si="11"/>
        <v>1172635</v>
      </c>
      <c r="P10" s="5">
        <f t="shared" si="27"/>
        <v>39918.037532732036</v>
      </c>
      <c r="Q10" s="5">
        <f t="shared" si="28"/>
        <v>1132716.9624672679</v>
      </c>
      <c r="R10" s="2">
        <f t="shared" si="12"/>
        <v>702000</v>
      </c>
      <c r="S10" s="2">
        <f t="shared" si="13"/>
        <v>19920000</v>
      </c>
      <c r="T10" s="2">
        <v>0.3</v>
      </c>
      <c r="U10" s="9">
        <f t="shared" si="3"/>
        <v>12378.626021512144</v>
      </c>
      <c r="V10" s="9">
        <f t="shared" si="4"/>
        <v>0</v>
      </c>
      <c r="W10" s="2">
        <f t="shared" si="20"/>
        <v>14447778.626021512</v>
      </c>
      <c r="X10" s="2">
        <f t="shared" si="21"/>
        <v>546304.80136036349</v>
      </c>
      <c r="Y10" s="2">
        <f t="shared" si="22"/>
        <v>17728540.624260996</v>
      </c>
      <c r="Z10" s="3">
        <f t="shared" si="23"/>
        <v>0.7782119677498055</v>
      </c>
      <c r="AA10" s="3">
        <f t="shared" si="24"/>
        <v>0.88998697912956803</v>
      </c>
      <c r="AB10" s="4">
        <v>7</v>
      </c>
      <c r="AC10" s="3">
        <v>100</v>
      </c>
      <c r="AD10" s="3">
        <v>100</v>
      </c>
      <c r="AE10" s="6">
        <v>130</v>
      </c>
      <c r="AF10" s="3">
        <v>200</v>
      </c>
      <c r="AG10" s="3">
        <v>200</v>
      </c>
      <c r="AH10" s="3">
        <v>200</v>
      </c>
      <c r="AI10" s="3">
        <f t="shared" si="25"/>
        <v>566</v>
      </c>
      <c r="AJ10" s="3">
        <f t="shared" si="14"/>
        <v>566</v>
      </c>
      <c r="AK10" s="3">
        <f t="shared" si="15"/>
        <v>735.80000000000007</v>
      </c>
      <c r="AL10" s="3">
        <f t="shared" si="16"/>
        <v>1132</v>
      </c>
      <c r="AM10" s="3">
        <f t="shared" si="17"/>
        <v>1132</v>
      </c>
      <c r="AN10" s="3">
        <f t="shared" si="26"/>
        <v>1132</v>
      </c>
      <c r="AP10">
        <v>10</v>
      </c>
      <c r="AQ10">
        <f>SUM(AP$2:AP10)</f>
        <v>21.66</v>
      </c>
      <c r="AR10">
        <v>20</v>
      </c>
      <c r="AW10" s="5">
        <v>4690540</v>
      </c>
      <c r="AX10">
        <f t="shared" si="6"/>
        <v>1172635</v>
      </c>
    </row>
    <row r="11" spans="1:50" x14ac:dyDescent="0.2">
      <c r="C11" s="2">
        <v>100</v>
      </c>
      <c r="D11" s="2">
        <v>120</v>
      </c>
      <c r="E11" s="2">
        <v>0.7</v>
      </c>
      <c r="F11" s="3">
        <f t="shared" si="18"/>
        <v>111.22795735008324</v>
      </c>
      <c r="G11" s="3">
        <f t="shared" si="7"/>
        <v>86.703122021692309</v>
      </c>
      <c r="H11" s="2">
        <v>5000</v>
      </c>
      <c r="I11" s="2">
        <v>50000</v>
      </c>
      <c r="J11" s="3">
        <f t="shared" si="8"/>
        <v>0.74151971566722163</v>
      </c>
      <c r="K11" s="3">
        <f t="shared" si="9"/>
        <v>2.6010936606507693</v>
      </c>
      <c r="L11" s="4">
        <f t="shared" si="19"/>
        <v>9620</v>
      </c>
      <c r="M11" s="4">
        <f t="shared" si="10"/>
        <v>249080</v>
      </c>
      <c r="N11" s="5">
        <v>1196088</v>
      </c>
      <c r="O11" s="5">
        <f t="shared" si="11"/>
        <v>1196088</v>
      </c>
      <c r="P11" s="5">
        <f t="shared" si="27"/>
        <v>40235.376146788993</v>
      </c>
      <c r="Q11" s="5">
        <f t="shared" si="28"/>
        <v>1155852.6238532111</v>
      </c>
      <c r="R11" s="2">
        <f t="shared" si="12"/>
        <v>693000</v>
      </c>
      <c r="S11" s="2">
        <f t="shared" si="13"/>
        <v>19908000</v>
      </c>
      <c r="T11" s="2">
        <v>0.3</v>
      </c>
      <c r="U11" s="9">
        <f t="shared" si="3"/>
        <v>15069.019264327979</v>
      </c>
      <c r="V11" s="9">
        <f t="shared" si="4"/>
        <v>0</v>
      </c>
      <c r="W11" s="2">
        <f t="shared" si="20"/>
        <v>14435769.019264327</v>
      </c>
      <c r="X11" s="2">
        <f t="shared" si="21"/>
        <v>513873.1629573846</v>
      </c>
      <c r="Y11" s="2">
        <f t="shared" si="22"/>
        <v>17260857.532078505</v>
      </c>
      <c r="Z11" s="3">
        <f t="shared" si="23"/>
        <v>0.74151971566722163</v>
      </c>
      <c r="AA11" s="3">
        <f t="shared" si="24"/>
        <v>0.86703122021692303</v>
      </c>
      <c r="AB11" s="4">
        <v>8</v>
      </c>
      <c r="AC11" s="3">
        <v>100</v>
      </c>
      <c r="AD11" s="3">
        <v>100</v>
      </c>
      <c r="AE11" s="6">
        <v>130</v>
      </c>
      <c r="AF11" s="3">
        <v>200</v>
      </c>
      <c r="AG11" s="3">
        <v>200</v>
      </c>
      <c r="AH11" s="3">
        <v>200</v>
      </c>
      <c r="AI11" s="3">
        <f t="shared" si="25"/>
        <v>1166</v>
      </c>
      <c r="AJ11" s="3">
        <f t="shared" si="14"/>
        <v>1166</v>
      </c>
      <c r="AK11" s="3">
        <f t="shared" si="15"/>
        <v>1515.8</v>
      </c>
      <c r="AL11" s="3">
        <f t="shared" si="16"/>
        <v>2332</v>
      </c>
      <c r="AM11" s="3">
        <f t="shared" si="17"/>
        <v>2332</v>
      </c>
      <c r="AN11" s="3">
        <f t="shared" si="26"/>
        <v>2332</v>
      </c>
      <c r="AP11">
        <v>12</v>
      </c>
      <c r="AQ11">
        <f>SUM(AP$2:AP11)</f>
        <v>33.659999999999997</v>
      </c>
      <c r="AR11">
        <v>20</v>
      </c>
      <c r="AW11" s="5">
        <v>4784350</v>
      </c>
      <c r="AX11">
        <f t="shared" si="6"/>
        <v>1196088</v>
      </c>
    </row>
    <row r="12" spans="1:50" x14ac:dyDescent="0.2">
      <c r="C12" s="2">
        <v>100</v>
      </c>
      <c r="D12" s="2">
        <v>120</v>
      </c>
      <c r="E12" s="2">
        <v>0.7</v>
      </c>
      <c r="F12" s="3">
        <f t="shared" si="18"/>
        <v>106.34890586366096</v>
      </c>
      <c r="G12" s="3">
        <f t="shared" si="7"/>
        <v>84.200709619928176</v>
      </c>
      <c r="H12" s="2">
        <v>5000</v>
      </c>
      <c r="I12" s="2">
        <v>50000</v>
      </c>
      <c r="J12" s="3">
        <f t="shared" si="8"/>
        <v>0.70899270575773976</v>
      </c>
      <c r="K12" s="3">
        <f t="shared" si="9"/>
        <v>2.5260212885978452</v>
      </c>
      <c r="L12" s="4">
        <f t="shared" si="19"/>
        <v>9520</v>
      </c>
      <c r="M12" s="4">
        <f t="shared" si="10"/>
        <v>248960</v>
      </c>
      <c r="N12" s="5">
        <v>1220010</v>
      </c>
      <c r="O12" s="5">
        <f t="shared" si="11"/>
        <v>1220010</v>
      </c>
      <c r="P12" s="5">
        <f t="shared" si="27"/>
        <v>40204.470691163602</v>
      </c>
      <c r="Q12" s="5">
        <f t="shared" si="28"/>
        <v>1179805.5293088364</v>
      </c>
      <c r="R12" s="2">
        <f t="shared" si="12"/>
        <v>678000</v>
      </c>
      <c r="S12" s="2">
        <f t="shared" si="13"/>
        <v>19896000</v>
      </c>
      <c r="T12" s="2">
        <v>0.3</v>
      </c>
      <c r="U12" s="9">
        <f t="shared" si="3"/>
        <v>14517.283018530235</v>
      </c>
      <c r="V12" s="9">
        <f t="shared" si="4"/>
        <v>0</v>
      </c>
      <c r="W12" s="2">
        <f t="shared" si="20"/>
        <v>14416317.283018529</v>
      </c>
      <c r="X12" s="2">
        <f t="shared" si="21"/>
        <v>480697.05450374755</v>
      </c>
      <c r="Y12" s="2">
        <f>Y11-Q11+M12*K11</f>
        <v>16752573.18598091</v>
      </c>
      <c r="Z12" s="3">
        <f t="shared" si="23"/>
        <v>0.70899270575773976</v>
      </c>
      <c r="AA12" s="3">
        <f t="shared" si="24"/>
        <v>0.84200709619928182</v>
      </c>
      <c r="AB12" s="2">
        <v>9</v>
      </c>
      <c r="AC12" s="3">
        <v>100</v>
      </c>
      <c r="AD12" s="3">
        <v>100</v>
      </c>
      <c r="AE12" s="6">
        <v>130</v>
      </c>
      <c r="AF12" s="3">
        <v>200</v>
      </c>
      <c r="AG12" s="3">
        <v>200</v>
      </c>
      <c r="AH12" s="3">
        <v>200</v>
      </c>
      <c r="AI12" s="3">
        <f t="shared" si="25"/>
        <v>2166</v>
      </c>
      <c r="AJ12" s="3">
        <f t="shared" si="14"/>
        <v>2166</v>
      </c>
      <c r="AK12" s="3">
        <f t="shared" si="15"/>
        <v>2815.8</v>
      </c>
      <c r="AL12" s="3">
        <f t="shared" si="16"/>
        <v>4332</v>
      </c>
      <c r="AM12" s="3">
        <f t="shared" si="17"/>
        <v>4332</v>
      </c>
      <c r="AN12" s="3">
        <f t="shared" si="26"/>
        <v>4332</v>
      </c>
      <c r="AP12">
        <v>13.5</v>
      </c>
      <c r="AQ12">
        <f>SUM(AP$2:AP12)</f>
        <v>47.16</v>
      </c>
      <c r="AR12">
        <v>20</v>
      </c>
      <c r="AW12" s="5">
        <v>4880040</v>
      </c>
      <c r="AX12">
        <f t="shared" si="6"/>
        <v>1220010</v>
      </c>
    </row>
    <row r="13" spans="1:50" x14ac:dyDescent="0.2">
      <c r="C13" s="2">
        <v>100</v>
      </c>
      <c r="D13" s="2">
        <v>120</v>
      </c>
      <c r="E13" s="2">
        <v>0.7</v>
      </c>
      <c r="F13" s="3">
        <f t="shared" si="18"/>
        <v>101.16997626715425</v>
      </c>
      <c r="G13" s="3">
        <f t="shared" si="7"/>
        <v>81.479293875109448</v>
      </c>
      <c r="H13" s="2">
        <v>5000</v>
      </c>
      <c r="I13" s="2">
        <v>50000</v>
      </c>
      <c r="J13" s="3">
        <f t="shared" si="8"/>
        <v>0.67446650844769507</v>
      </c>
      <c r="K13" s="3">
        <f t="shared" si="9"/>
        <v>2.4443788162532836</v>
      </c>
      <c r="L13" s="4">
        <f t="shared" si="19"/>
        <v>9420</v>
      </c>
      <c r="M13" s="4">
        <f t="shared" si="10"/>
        <v>248840</v>
      </c>
      <c r="N13" s="5">
        <v>1244410</v>
      </c>
      <c r="O13" s="5">
        <f t="shared" si="11"/>
        <v>1244410</v>
      </c>
      <c r="P13" s="5">
        <f t="shared" si="27"/>
        <v>40153.980143086585</v>
      </c>
      <c r="Q13" s="5">
        <f t="shared" si="28"/>
        <v>1204256.0198569135</v>
      </c>
      <c r="R13" s="2">
        <f t="shared" si="12"/>
        <v>663000</v>
      </c>
      <c r="S13" s="2">
        <f t="shared" si="13"/>
        <v>19884000</v>
      </c>
      <c r="T13" s="2">
        <v>0.3</v>
      </c>
      <c r="U13" s="9">
        <f t="shared" si="3"/>
        <v>13926.15902420999</v>
      </c>
      <c r="V13" s="9">
        <f t="shared" si="4"/>
        <v>0</v>
      </c>
      <c r="W13" s="2">
        <f t="shared" si="20"/>
        <v>14396826.159024211</v>
      </c>
      <c r="X13" s="2">
        <f t="shared" si="21"/>
        <v>447171.29510082182</v>
      </c>
      <c r="Y13" s="2">
        <f t="shared" si="22"/>
        <v>16201342.794126762</v>
      </c>
      <c r="Z13" s="3">
        <f t="shared" si="23"/>
        <v>0.67446650844769507</v>
      </c>
      <c r="AA13" s="3">
        <f t="shared" si="24"/>
        <v>0.81479293875109449</v>
      </c>
      <c r="AB13" s="4">
        <v>10</v>
      </c>
      <c r="AC13" s="3">
        <v>100</v>
      </c>
      <c r="AD13" s="3">
        <v>100</v>
      </c>
      <c r="AE13" s="6">
        <v>130</v>
      </c>
      <c r="AF13" s="3">
        <v>200</v>
      </c>
      <c r="AG13" s="3">
        <v>200</v>
      </c>
      <c r="AH13" s="3">
        <v>200</v>
      </c>
      <c r="AI13" s="3">
        <f t="shared" si="25"/>
        <v>3365.9999999999995</v>
      </c>
      <c r="AJ13" s="3">
        <f t="shared" si="14"/>
        <v>3365.9999999999995</v>
      </c>
      <c r="AK13" s="3">
        <f t="shared" si="15"/>
        <v>4375.7999999999993</v>
      </c>
      <c r="AL13" s="3">
        <f t="shared" si="16"/>
        <v>6731.9999999999991</v>
      </c>
      <c r="AM13" s="3">
        <f t="shared" si="17"/>
        <v>6731.9999999999991</v>
      </c>
      <c r="AN13" s="3">
        <f t="shared" si="26"/>
        <v>6731.9999999999991</v>
      </c>
      <c r="AP13">
        <v>12</v>
      </c>
      <c r="AQ13">
        <f>SUM(AP$2:AP13)</f>
        <v>59.16</v>
      </c>
      <c r="AR13">
        <v>20</v>
      </c>
      <c r="AW13" s="5">
        <v>4977640</v>
      </c>
      <c r="AX13">
        <f t="shared" si="6"/>
        <v>1244410</v>
      </c>
    </row>
    <row r="14" spans="1:50" x14ac:dyDescent="0.2">
      <c r="C14" s="2">
        <v>80</v>
      </c>
      <c r="D14" s="2">
        <v>120</v>
      </c>
      <c r="E14" s="2">
        <v>0.7</v>
      </c>
      <c r="F14" s="3">
        <f t="shared" si="18"/>
        <v>95.672070096404568</v>
      </c>
      <c r="G14" s="3">
        <f t="shared" si="7"/>
        <v>78.527841553182185</v>
      </c>
      <c r="H14" s="2">
        <v>5000</v>
      </c>
      <c r="I14" s="2">
        <v>50000</v>
      </c>
      <c r="J14" s="3">
        <f t="shared" si="8"/>
        <v>0.6378138006426971</v>
      </c>
      <c r="K14" s="3">
        <f t="shared" si="9"/>
        <v>2.3558352465954657</v>
      </c>
      <c r="L14" s="4">
        <f t="shared" si="19"/>
        <v>9320</v>
      </c>
      <c r="M14" s="4">
        <f t="shared" si="10"/>
        <v>248720</v>
      </c>
      <c r="N14" s="5">
        <v>1269298</v>
      </c>
      <c r="O14" s="5">
        <f t="shared" si="11"/>
        <v>1269298</v>
      </c>
      <c r="P14" s="5">
        <f t="shared" si="27"/>
        <v>40083.094736842104</v>
      </c>
      <c r="Q14" s="5">
        <f t="shared" si="28"/>
        <v>1229214.9052631578</v>
      </c>
      <c r="R14" s="2">
        <f t="shared" si="12"/>
        <v>648000</v>
      </c>
      <c r="S14" s="2">
        <f t="shared" si="13"/>
        <v>19872000</v>
      </c>
      <c r="T14" s="2">
        <v>0.3</v>
      </c>
      <c r="U14" s="9">
        <f t="shared" si="3"/>
        <v>11953.974615865958</v>
      </c>
      <c r="V14" s="9">
        <f t="shared" si="4"/>
        <v>0</v>
      </c>
      <c r="W14" s="2">
        <f t="shared" si="20"/>
        <v>14375953.974615866</v>
      </c>
      <c r="X14" s="2">
        <f t="shared" si="21"/>
        <v>413303.34281646775</v>
      </c>
      <c r="Y14" s="2">
        <f t="shared" si="22"/>
        <v>15605052.673448365</v>
      </c>
      <c r="Z14" s="3">
        <f t="shared" si="23"/>
        <v>0.6378138006426971</v>
      </c>
      <c r="AA14" s="3">
        <f t="shared" si="24"/>
        <v>0.78527841553182187</v>
      </c>
      <c r="AB14" s="4">
        <v>11</v>
      </c>
      <c r="AC14" s="3">
        <v>100</v>
      </c>
      <c r="AD14" s="3">
        <v>100</v>
      </c>
      <c r="AE14" s="6">
        <v>130</v>
      </c>
      <c r="AF14" s="3">
        <v>200</v>
      </c>
      <c r="AG14" s="3">
        <v>200</v>
      </c>
      <c r="AH14" s="3">
        <v>200</v>
      </c>
      <c r="AI14" s="3">
        <f t="shared" si="25"/>
        <v>4716</v>
      </c>
      <c r="AJ14" s="3">
        <f t="shared" si="14"/>
        <v>4716</v>
      </c>
      <c r="AK14" s="3">
        <f t="shared" si="15"/>
        <v>6130.7999999999993</v>
      </c>
      <c r="AL14" s="3">
        <f t="shared" si="16"/>
        <v>9432</v>
      </c>
      <c r="AM14" s="3">
        <f t="shared" si="17"/>
        <v>9432</v>
      </c>
      <c r="AN14" s="3">
        <f t="shared" si="26"/>
        <v>9432</v>
      </c>
      <c r="AP14">
        <v>10</v>
      </c>
      <c r="AQ14">
        <f>SUM(AP$2:AP14)</f>
        <v>69.16</v>
      </c>
      <c r="AR14">
        <v>20</v>
      </c>
      <c r="AW14" s="5">
        <v>5077190</v>
      </c>
      <c r="AX14">
        <f t="shared" si="6"/>
        <v>1269298</v>
      </c>
    </row>
    <row r="15" spans="1:50" x14ac:dyDescent="0.2">
      <c r="C15" s="2">
        <v>75</v>
      </c>
      <c r="D15" s="2">
        <v>120</v>
      </c>
      <c r="E15" s="2">
        <v>0.7</v>
      </c>
      <c r="F15" s="3">
        <f t="shared" si="18"/>
        <v>89.413596131500981</v>
      </c>
      <c r="G15" s="3">
        <f t="shared" si="7"/>
        <v>75.334835903770596</v>
      </c>
      <c r="H15" s="2">
        <v>5000</v>
      </c>
      <c r="I15" s="2">
        <v>50000</v>
      </c>
      <c r="J15" s="3">
        <f t="shared" si="8"/>
        <v>0.59609064087667318</v>
      </c>
      <c r="K15" s="3">
        <f t="shared" si="9"/>
        <v>2.2600450771131175</v>
      </c>
      <c r="L15" s="4">
        <f t="shared" si="19"/>
        <v>9240</v>
      </c>
      <c r="M15" s="4">
        <f t="shared" si="10"/>
        <v>248600</v>
      </c>
      <c r="N15" s="5">
        <v>1294683</v>
      </c>
      <c r="O15" s="5">
        <f t="shared" si="11"/>
        <v>1294683</v>
      </c>
      <c r="P15" s="5">
        <f t="shared" si="27"/>
        <v>40174.589578454332</v>
      </c>
      <c r="Q15" s="5">
        <f t="shared" si="28"/>
        <v>1254508.4104215456</v>
      </c>
      <c r="R15" s="2">
        <f t="shared" si="12"/>
        <v>636000</v>
      </c>
      <c r="S15" s="2">
        <f t="shared" si="13"/>
        <v>19860000</v>
      </c>
      <c r="T15" s="2">
        <v>0.3</v>
      </c>
      <c r="U15" s="9">
        <f t="shared" si="3"/>
        <v>11022.34001282053</v>
      </c>
      <c r="V15" s="9">
        <f t="shared" si="4"/>
        <v>0</v>
      </c>
      <c r="W15" s="2">
        <f t="shared" si="20"/>
        <v>14358222.34001282</v>
      </c>
      <c r="X15" s="2">
        <f t="shared" si="21"/>
        <v>379113.64759756415</v>
      </c>
      <c r="Y15" s="2">
        <f t="shared" si="22"/>
        <v>14961498.41048884</v>
      </c>
      <c r="Z15" s="3">
        <f t="shared" si="23"/>
        <v>0.59609064087667318</v>
      </c>
      <c r="AA15" s="3">
        <f t="shared" si="24"/>
        <v>0.75334835903770592</v>
      </c>
      <c r="AB15" s="2">
        <v>12</v>
      </c>
      <c r="AC15" s="3">
        <v>100</v>
      </c>
      <c r="AD15" s="3">
        <v>100</v>
      </c>
      <c r="AE15" s="6">
        <v>130</v>
      </c>
      <c r="AF15" s="3">
        <v>200</v>
      </c>
      <c r="AG15" s="3">
        <v>200</v>
      </c>
      <c r="AH15" s="3">
        <v>200</v>
      </c>
      <c r="AI15" s="3">
        <f t="shared" si="25"/>
        <v>5916</v>
      </c>
      <c r="AJ15" s="3">
        <f t="shared" si="14"/>
        <v>5916</v>
      </c>
      <c r="AK15" s="3">
        <f t="shared" si="15"/>
        <v>7690.7999999999993</v>
      </c>
      <c r="AL15" s="3">
        <f t="shared" si="16"/>
        <v>11832</v>
      </c>
      <c r="AM15" s="3">
        <f t="shared" si="17"/>
        <v>11832</v>
      </c>
      <c r="AN15" s="3">
        <f t="shared" si="26"/>
        <v>11832</v>
      </c>
      <c r="AP15">
        <v>6</v>
      </c>
      <c r="AQ15">
        <f>SUM(AP$2:AP15)</f>
        <v>75.16</v>
      </c>
      <c r="AR15">
        <v>20</v>
      </c>
      <c r="AW15" s="5">
        <v>5178730</v>
      </c>
      <c r="AX15">
        <f t="shared" si="6"/>
        <v>1294683</v>
      </c>
    </row>
    <row r="16" spans="1:50" x14ac:dyDescent="0.2">
      <c r="C16" s="2">
        <v>60</v>
      </c>
      <c r="D16" s="2">
        <v>120</v>
      </c>
      <c r="E16" s="2">
        <v>0.7</v>
      </c>
      <c r="F16" s="3">
        <f t="shared" si="18"/>
        <v>82.689610742555715</v>
      </c>
      <c r="G16" s="3">
        <f t="shared" si="7"/>
        <v>71.88918783166244</v>
      </c>
      <c r="H16" s="2">
        <v>5000</v>
      </c>
      <c r="I16" s="2">
        <v>50000</v>
      </c>
      <c r="J16" s="3">
        <f t="shared" si="8"/>
        <v>0.55126407161703805</v>
      </c>
      <c r="K16" s="3">
        <f t="shared" si="9"/>
        <v>2.156675634949873</v>
      </c>
      <c r="L16" s="4">
        <f t="shared" si="19"/>
        <v>9165</v>
      </c>
      <c r="M16" s="4">
        <f t="shared" si="10"/>
        <v>248480</v>
      </c>
      <c r="N16" s="5">
        <v>1320575</v>
      </c>
      <c r="O16" s="5">
        <f t="shared" si="11"/>
        <v>1320575</v>
      </c>
      <c r="P16" s="5">
        <f t="shared" si="27"/>
        <v>40298.896398871671</v>
      </c>
      <c r="Q16" s="5">
        <f t="shared" si="28"/>
        <v>1280276.1036011283</v>
      </c>
      <c r="R16" s="2">
        <f t="shared" si="12"/>
        <v>624750</v>
      </c>
      <c r="S16" s="2">
        <f t="shared" si="13"/>
        <v>19848000</v>
      </c>
      <c r="T16" s="2">
        <v>0.3</v>
      </c>
      <c r="U16" s="9">
        <f t="shared" si="3"/>
        <v>9511.655429046983</v>
      </c>
      <c r="V16" s="9">
        <f t="shared" si="4"/>
        <v>0</v>
      </c>
      <c r="W16" s="2">
        <f t="shared" si="20"/>
        <v>14340436.655429047</v>
      </c>
      <c r="X16" s="2">
        <f t="shared" si="21"/>
        <v>344402.22874274454</v>
      </c>
      <c r="Y16" s="2">
        <f t="shared" si="22"/>
        <v>14268566.000828361</v>
      </c>
      <c r="Z16" s="3">
        <f t="shared" si="23"/>
        <v>0.55126407161703805</v>
      </c>
      <c r="AA16" s="3">
        <f t="shared" si="24"/>
        <v>0.71889187831662438</v>
      </c>
      <c r="AB16" s="4">
        <v>13</v>
      </c>
      <c r="AC16" s="3">
        <v>100</v>
      </c>
      <c r="AD16" s="3">
        <v>100</v>
      </c>
      <c r="AE16" s="6">
        <v>130</v>
      </c>
      <c r="AF16" s="3">
        <v>200</v>
      </c>
      <c r="AG16" s="3">
        <v>200</v>
      </c>
      <c r="AH16" s="3">
        <v>200</v>
      </c>
      <c r="AI16" s="3">
        <f t="shared" si="25"/>
        <v>6916</v>
      </c>
      <c r="AJ16" s="3">
        <f t="shared" si="14"/>
        <v>6916</v>
      </c>
      <c r="AK16" s="3">
        <f t="shared" si="15"/>
        <v>8990.7999999999993</v>
      </c>
      <c r="AL16" s="3">
        <f t="shared" si="16"/>
        <v>13832</v>
      </c>
      <c r="AM16" s="3">
        <f t="shared" si="17"/>
        <v>13832</v>
      </c>
      <c r="AN16" s="3">
        <f t="shared" si="26"/>
        <v>13832</v>
      </c>
      <c r="AP16">
        <v>3</v>
      </c>
      <c r="AQ16">
        <f>SUM(AP$2:AP16)</f>
        <v>78.16</v>
      </c>
      <c r="AR16">
        <v>20</v>
      </c>
      <c r="AW16" s="5">
        <v>5282300</v>
      </c>
      <c r="AX16">
        <f t="shared" si="6"/>
        <v>1320575</v>
      </c>
    </row>
    <row r="17" spans="3:50" x14ac:dyDescent="0.2">
      <c r="C17" s="2">
        <v>40</v>
      </c>
      <c r="D17" s="2">
        <v>120</v>
      </c>
      <c r="E17" s="2">
        <v>0.7</v>
      </c>
      <c r="F17" s="3">
        <f t="shared" si="18"/>
        <v>75.303920028245059</v>
      </c>
      <c r="G17" s="3">
        <f t="shared" si="7"/>
        <v>68.17867441985976</v>
      </c>
      <c r="H17" s="2">
        <v>5000</v>
      </c>
      <c r="I17" s="2">
        <v>50000</v>
      </c>
      <c r="J17" s="3">
        <f t="shared" si="8"/>
        <v>0.50202613352163372</v>
      </c>
      <c r="K17" s="3">
        <f t="shared" si="9"/>
        <v>2.0453602325957929</v>
      </c>
      <c r="L17" s="4">
        <f t="shared" si="19"/>
        <v>9105</v>
      </c>
      <c r="M17" s="4">
        <f t="shared" si="10"/>
        <v>248360</v>
      </c>
      <c r="N17" s="5">
        <v>1346988</v>
      </c>
      <c r="O17" s="5">
        <f t="shared" si="11"/>
        <v>1346988</v>
      </c>
      <c r="P17" s="5">
        <f t="shared" si="27"/>
        <v>40554.371190729398</v>
      </c>
      <c r="Q17" s="5">
        <f t="shared" si="28"/>
        <v>1306433.6288092707</v>
      </c>
      <c r="R17" s="2">
        <f t="shared" si="12"/>
        <v>615750</v>
      </c>
      <c r="S17" s="2">
        <f t="shared" si="13"/>
        <v>19836000</v>
      </c>
      <c r="T17" s="2">
        <v>0.3</v>
      </c>
      <c r="U17" s="9">
        <f t="shared" si="3"/>
        <v>7835.5184120590802</v>
      </c>
      <c r="V17" s="9">
        <f t="shared" si="4"/>
        <v>0</v>
      </c>
      <c r="W17" s="2">
        <f t="shared" si="20"/>
        <v>14324060.518412059</v>
      </c>
      <c r="X17" s="2">
        <f t="shared" si="21"/>
        <v>309122.59171594598</v>
      </c>
      <c r="Y17" s="2">
        <f t="shared" si="22"/>
        <v>13523921.857923383</v>
      </c>
      <c r="Z17" s="3">
        <f t="shared" si="23"/>
        <v>0.50202613352163372</v>
      </c>
      <c r="AA17" s="3">
        <f t="shared" si="24"/>
        <v>0.68178674419859764</v>
      </c>
      <c r="AB17" s="4">
        <v>14</v>
      </c>
      <c r="AC17" s="3">
        <v>100</v>
      </c>
      <c r="AD17" s="3">
        <v>100</v>
      </c>
      <c r="AE17" s="6">
        <v>130</v>
      </c>
      <c r="AF17" s="3">
        <v>200</v>
      </c>
      <c r="AG17" s="3">
        <v>200</v>
      </c>
      <c r="AH17" s="3">
        <v>200</v>
      </c>
      <c r="AI17" s="3">
        <f t="shared" si="25"/>
        <v>7516</v>
      </c>
      <c r="AJ17" s="3">
        <f t="shared" si="14"/>
        <v>7516</v>
      </c>
      <c r="AK17" s="3">
        <f t="shared" si="15"/>
        <v>9770.7999999999993</v>
      </c>
      <c r="AL17" s="3">
        <f t="shared" si="16"/>
        <v>15032</v>
      </c>
      <c r="AM17" s="3">
        <f t="shared" si="17"/>
        <v>15032</v>
      </c>
      <c r="AN17" s="3">
        <f t="shared" si="26"/>
        <v>15032</v>
      </c>
      <c r="AP17">
        <v>1.8</v>
      </c>
      <c r="AQ17">
        <f>SUM(AP$2:AP17)</f>
        <v>79.959999999999994</v>
      </c>
      <c r="AR17">
        <v>20</v>
      </c>
      <c r="AW17" s="5">
        <v>5387950</v>
      </c>
      <c r="AX17">
        <f t="shared" si="6"/>
        <v>1346988</v>
      </c>
    </row>
    <row r="18" spans="3:50" x14ac:dyDescent="0.2">
      <c r="C18" s="2">
        <v>20</v>
      </c>
      <c r="D18" s="2">
        <v>120</v>
      </c>
      <c r="E18" s="2">
        <v>0.7</v>
      </c>
      <c r="F18" s="3">
        <f t="shared" si="18"/>
        <v>67.187967386369053</v>
      </c>
      <c r="G18" s="3">
        <f t="shared" si="7"/>
        <v>64.191023271053737</v>
      </c>
      <c r="H18" s="2">
        <v>5000</v>
      </c>
      <c r="I18" s="2">
        <v>50000</v>
      </c>
      <c r="J18" s="3">
        <f t="shared" si="8"/>
        <v>0.44791978257579368</v>
      </c>
      <c r="K18" s="3">
        <f t="shared" si="9"/>
        <v>1.9257306981316122</v>
      </c>
      <c r="L18" s="4">
        <f t="shared" si="19"/>
        <v>9065</v>
      </c>
      <c r="M18" s="4">
        <f t="shared" si="10"/>
        <v>248240</v>
      </c>
      <c r="N18" s="5">
        <v>1373928</v>
      </c>
      <c r="O18" s="5">
        <f t="shared" si="11"/>
        <v>1373928</v>
      </c>
      <c r="P18" s="5">
        <f t="shared" si="27"/>
        <v>40998.475463387775</v>
      </c>
      <c r="Q18" s="5">
        <f t="shared" si="28"/>
        <v>1332929.5245366122</v>
      </c>
      <c r="R18" s="2">
        <f t="shared" si="12"/>
        <v>609750</v>
      </c>
      <c r="S18" s="2">
        <f t="shared" si="13"/>
        <v>19824000</v>
      </c>
      <c r="T18" s="2">
        <v>0.3</v>
      </c>
      <c r="U18" s="9">
        <f t="shared" si="3"/>
        <v>6332.6774981776807</v>
      </c>
      <c r="V18" s="9">
        <f t="shared" si="4"/>
        <v>0</v>
      </c>
      <c r="W18" s="2">
        <f t="shared" si="20"/>
        <v>14309957.677498179</v>
      </c>
      <c r="X18" s="2">
        <f t="shared" si="21"/>
        <v>273119.0874255902</v>
      </c>
      <c r="Y18" s="2">
        <f t="shared" si="22"/>
        <v>12725228.453253692</v>
      </c>
      <c r="Z18" s="3">
        <f t="shared" si="23"/>
        <v>0.44791978257579368</v>
      </c>
      <c r="AA18" s="3">
        <f t="shared" si="24"/>
        <v>0.64191023271053738</v>
      </c>
      <c r="AB18" s="2">
        <v>15</v>
      </c>
      <c r="AC18" s="3">
        <v>100</v>
      </c>
      <c r="AD18" s="3">
        <v>100</v>
      </c>
      <c r="AE18" s="6">
        <v>130</v>
      </c>
      <c r="AF18" s="3">
        <v>200</v>
      </c>
      <c r="AG18" s="3">
        <v>200</v>
      </c>
      <c r="AH18" s="3">
        <v>200</v>
      </c>
      <c r="AI18" s="3">
        <f t="shared" si="25"/>
        <v>7816</v>
      </c>
      <c r="AJ18" s="3">
        <f t="shared" si="14"/>
        <v>7816</v>
      </c>
      <c r="AK18" s="3">
        <f t="shared" si="15"/>
        <v>10160.799999999999</v>
      </c>
      <c r="AL18" s="3">
        <f t="shared" si="16"/>
        <v>15632</v>
      </c>
      <c r="AM18" s="3">
        <f t="shared" si="17"/>
        <v>15632</v>
      </c>
      <c r="AN18" s="3">
        <f t="shared" si="26"/>
        <v>15632</v>
      </c>
      <c r="AP18">
        <v>1.1000000000000001</v>
      </c>
      <c r="AQ18">
        <f>SUM(AP$2:AP18)</f>
        <v>81.059999999999988</v>
      </c>
      <c r="AR18">
        <v>20</v>
      </c>
      <c r="AW18" s="5">
        <v>5495710</v>
      </c>
      <c r="AX18">
        <f t="shared" si="6"/>
        <v>1373928</v>
      </c>
    </row>
    <row r="19" spans="3:50" x14ac:dyDescent="0.2">
      <c r="C19" s="2">
        <v>20</v>
      </c>
      <c r="D19" s="2">
        <v>120</v>
      </c>
      <c r="E19" s="2">
        <v>0.7</v>
      </c>
      <c r="F19" s="3">
        <f t="shared" si="18"/>
        <v>58.386167217700972</v>
      </c>
      <c r="G19" s="3">
        <f t="shared" si="7"/>
        <v>59.913745354015226</v>
      </c>
      <c r="H19" s="2">
        <v>5000</v>
      </c>
      <c r="I19" s="2">
        <v>50000</v>
      </c>
      <c r="J19" s="3">
        <f t="shared" si="8"/>
        <v>0.38924111478467316</v>
      </c>
      <c r="K19" s="3">
        <f t="shared" si="9"/>
        <v>1.7974123606204566</v>
      </c>
      <c r="L19" s="4">
        <f t="shared" si="19"/>
        <v>9045</v>
      </c>
      <c r="M19" s="4">
        <f t="shared" si="10"/>
        <v>248120</v>
      </c>
      <c r="N19" s="5">
        <v>1401405</v>
      </c>
      <c r="O19" s="5">
        <f t="shared" si="11"/>
        <v>1401405</v>
      </c>
      <c r="P19" s="5">
        <f t="shared" si="27"/>
        <v>41643.219283746555</v>
      </c>
      <c r="Q19" s="5">
        <f t="shared" si="28"/>
        <v>1359761.7807162534</v>
      </c>
      <c r="R19" s="2">
        <f t="shared" si="12"/>
        <v>606750</v>
      </c>
      <c r="S19" s="2">
        <f t="shared" si="13"/>
        <v>19812000</v>
      </c>
      <c r="T19" s="2">
        <v>0.3</v>
      </c>
      <c r="U19" s="9">
        <f t="shared" si="3"/>
        <v>5850.1609507850926</v>
      </c>
      <c r="V19" s="9">
        <f t="shared" si="4"/>
        <v>0</v>
      </c>
      <c r="W19" s="2">
        <f t="shared" si="20"/>
        <v>14298975.160950786</v>
      </c>
      <c r="X19" s="2">
        <f t="shared" si="21"/>
        <v>236172.04639560045</v>
      </c>
      <c r="Y19" s="2">
        <f t="shared" si="22"/>
        <v>11870111.229537496</v>
      </c>
      <c r="Z19" s="3">
        <f t="shared" si="23"/>
        <v>0.38924111478467316</v>
      </c>
      <c r="AA19" s="3">
        <f t="shared" si="24"/>
        <v>0.59913745354015224</v>
      </c>
      <c r="AB19" s="4">
        <v>16</v>
      </c>
      <c r="AC19" s="3">
        <v>100</v>
      </c>
      <c r="AD19" s="3">
        <v>100</v>
      </c>
      <c r="AE19" s="6">
        <v>130</v>
      </c>
      <c r="AF19" s="3">
        <v>200</v>
      </c>
      <c r="AG19" s="3">
        <v>200</v>
      </c>
      <c r="AH19" s="3">
        <v>200</v>
      </c>
      <c r="AI19" s="3">
        <f t="shared" si="25"/>
        <v>7995.9999999999991</v>
      </c>
      <c r="AJ19" s="3">
        <f t="shared" si="14"/>
        <v>7995.9999999999991</v>
      </c>
      <c r="AK19" s="3">
        <f t="shared" si="15"/>
        <v>10394.799999999999</v>
      </c>
      <c r="AL19" s="3">
        <f t="shared" si="16"/>
        <v>15991.999999999998</v>
      </c>
      <c r="AM19" s="3">
        <f t="shared" si="17"/>
        <v>15991.999999999998</v>
      </c>
      <c r="AN19" s="3">
        <f t="shared" si="26"/>
        <v>15991.999999999998</v>
      </c>
      <c r="AP19">
        <v>0.5</v>
      </c>
      <c r="AQ19">
        <f>SUM(AP$2:AP19)</f>
        <v>81.559999999999988</v>
      </c>
      <c r="AR19">
        <v>20</v>
      </c>
      <c r="AW19" s="5">
        <v>5605620</v>
      </c>
      <c r="AX19">
        <f t="shared" si="6"/>
        <v>1401405</v>
      </c>
    </row>
    <row r="20" spans="3:50" x14ac:dyDescent="0.2">
      <c r="C20" s="2">
        <v>20</v>
      </c>
      <c r="D20" s="2">
        <v>120</v>
      </c>
      <c r="E20" s="2">
        <v>0.7</v>
      </c>
      <c r="F20" s="3">
        <f t="shared" si="18"/>
        <v>49.202913831747971</v>
      </c>
      <c r="G20" s="3">
        <f t="shared" si="7"/>
        <v>55.333877344722815</v>
      </c>
      <c r="H20" s="2">
        <v>5000</v>
      </c>
      <c r="I20" s="2">
        <v>50000</v>
      </c>
      <c r="J20" s="3">
        <f t="shared" si="8"/>
        <v>0.32801942554498648</v>
      </c>
      <c r="K20" s="3">
        <f t="shared" si="9"/>
        <v>1.6600163203416844</v>
      </c>
      <c r="L20" s="4">
        <f t="shared" si="19"/>
        <v>9025</v>
      </c>
      <c r="M20" s="4">
        <f t="shared" si="10"/>
        <v>248000</v>
      </c>
      <c r="N20" s="5">
        <v>1429433</v>
      </c>
      <c r="O20" s="5">
        <f>INT(Z20&gt;T20)*MIN(N20,W20)</f>
        <v>1429433</v>
      </c>
      <c r="P20" s="5">
        <f t="shared" si="27"/>
        <v>42297.135269251972</v>
      </c>
      <c r="Q20" s="5">
        <f t="shared" si="28"/>
        <v>1387135.8647307481</v>
      </c>
      <c r="R20" s="2">
        <f t="shared" si="12"/>
        <v>603750</v>
      </c>
      <c r="S20" s="2">
        <f t="shared" si="13"/>
        <v>19800000</v>
      </c>
      <c r="T20" s="2">
        <v>0.3</v>
      </c>
      <c r="U20" s="9">
        <f t="shared" si="3"/>
        <v>5336.8864906011868</v>
      </c>
      <c r="V20" s="9">
        <f t="shared" si="4"/>
        <v>0</v>
      </c>
      <c r="W20" s="2">
        <f t="shared" si="20"/>
        <v>14287961.886490602</v>
      </c>
      <c r="X20" s="2">
        <f t="shared" si="21"/>
        <v>198041.72817278557</v>
      </c>
      <c r="Y20" s="2">
        <f t="shared" si="22"/>
        <v>10956107.714255117</v>
      </c>
      <c r="Z20" s="3">
        <f t="shared" si="23"/>
        <v>0.32801942554498648</v>
      </c>
      <c r="AA20" s="3">
        <f t="shared" si="24"/>
        <v>0.55333877344722815</v>
      </c>
      <c r="AB20" s="4">
        <v>17</v>
      </c>
      <c r="AC20" s="3">
        <v>100</v>
      </c>
      <c r="AD20" s="3">
        <v>100</v>
      </c>
      <c r="AE20" s="6">
        <v>130</v>
      </c>
      <c r="AF20" s="3">
        <v>200</v>
      </c>
      <c r="AG20" s="3">
        <v>200</v>
      </c>
      <c r="AH20" s="3">
        <v>200</v>
      </c>
      <c r="AI20" s="3">
        <f t="shared" si="25"/>
        <v>8105.9999999999991</v>
      </c>
      <c r="AJ20" s="3">
        <f t="shared" si="14"/>
        <v>8105.9999999999991</v>
      </c>
      <c r="AK20" s="3">
        <f t="shared" si="15"/>
        <v>10537.8</v>
      </c>
      <c r="AL20" s="3">
        <f t="shared" si="16"/>
        <v>16211.999999999998</v>
      </c>
      <c r="AM20" s="3">
        <f t="shared" si="17"/>
        <v>16211.999999999998</v>
      </c>
      <c r="AN20" s="3">
        <f t="shared" si="26"/>
        <v>16211.999999999998</v>
      </c>
      <c r="AP20">
        <v>0.3</v>
      </c>
      <c r="AQ20">
        <f>SUM(AP$2:AP20)</f>
        <v>81.859999999999985</v>
      </c>
      <c r="AR20">
        <v>20</v>
      </c>
      <c r="AW20" s="5">
        <v>5717730</v>
      </c>
      <c r="AX20">
        <f t="shared" si="6"/>
        <v>1429433</v>
      </c>
    </row>
    <row r="21" spans="3:50" x14ac:dyDescent="0.2">
      <c r="C21" s="2">
        <v>20</v>
      </c>
      <c r="D21" s="2">
        <v>120</v>
      </c>
      <c r="E21" s="2">
        <v>0.7</v>
      </c>
      <c r="F21" s="3">
        <f t="shared" si="18"/>
        <v>39.625070619367335</v>
      </c>
      <c r="G21" s="3">
        <f t="shared" si="7"/>
        <v>50.436914771632637</v>
      </c>
      <c r="H21" s="2">
        <v>5000</v>
      </c>
      <c r="I21" s="2">
        <v>50000</v>
      </c>
      <c r="J21" s="3">
        <f t="shared" si="8"/>
        <v>0.26416713746244891</v>
      </c>
      <c r="K21" s="3">
        <f t="shared" si="9"/>
        <v>1.513107443148979</v>
      </c>
      <c r="L21" s="4">
        <f t="shared" si="19"/>
        <v>9005</v>
      </c>
      <c r="M21" s="4">
        <f t="shared" si="10"/>
        <v>247880</v>
      </c>
      <c r="N21" s="5">
        <v>1458020</v>
      </c>
      <c r="O21" s="5">
        <f t="shared" si="11"/>
        <v>0</v>
      </c>
      <c r="P21" s="5">
        <f t="shared" si="27"/>
        <v>0</v>
      </c>
      <c r="Q21" s="5">
        <f t="shared" si="28"/>
        <v>0</v>
      </c>
      <c r="R21" s="2">
        <f t="shared" si="12"/>
        <v>600750</v>
      </c>
      <c r="S21" s="2">
        <f t="shared" si="13"/>
        <v>19788000</v>
      </c>
      <c r="T21" s="2">
        <v>0.3</v>
      </c>
      <c r="U21" s="9">
        <f t="shared" si="3"/>
        <v>4791.4518294882846</v>
      </c>
      <c r="V21" s="9">
        <f t="shared" si="4"/>
        <v>0</v>
      </c>
      <c r="W21" s="2">
        <f t="shared" si="20"/>
        <v>14276916.451829487</v>
      </c>
      <c r="X21" s="2">
        <f t="shared" si="21"/>
        <v>158698.4078305662</v>
      </c>
      <c r="Y21" s="2">
        <f t="shared" si="22"/>
        <v>9980456.6950106658</v>
      </c>
      <c r="Z21" s="3">
        <f t="shared" si="23"/>
        <v>0.26416713746244891</v>
      </c>
      <c r="AA21" s="3">
        <f t="shared" si="24"/>
        <v>0.50436914771632635</v>
      </c>
      <c r="AB21" s="2">
        <v>18</v>
      </c>
      <c r="AC21" s="3">
        <v>100</v>
      </c>
      <c r="AD21" s="3">
        <v>100</v>
      </c>
      <c r="AE21" s="6">
        <v>130</v>
      </c>
      <c r="AF21" s="3">
        <v>200</v>
      </c>
      <c r="AG21" s="3">
        <v>200</v>
      </c>
      <c r="AH21" s="3">
        <v>200</v>
      </c>
      <c r="AI21" s="3">
        <f t="shared" si="25"/>
        <v>8155.9999999999991</v>
      </c>
      <c r="AJ21" s="3">
        <f t="shared" si="14"/>
        <v>8155.9999999999991</v>
      </c>
      <c r="AK21" s="3">
        <f t="shared" si="15"/>
        <v>10602.8</v>
      </c>
      <c r="AL21" s="3">
        <f t="shared" si="16"/>
        <v>16311.999999999998</v>
      </c>
      <c r="AM21" s="3">
        <f t="shared" si="17"/>
        <v>16311.999999999998</v>
      </c>
      <c r="AN21" s="3">
        <f t="shared" si="26"/>
        <v>16311.999999999998</v>
      </c>
      <c r="AP21">
        <v>0.2</v>
      </c>
      <c r="AQ21">
        <f>SUM(AP$2:AP21)</f>
        <v>82.059999999999988</v>
      </c>
      <c r="AR21">
        <v>20</v>
      </c>
      <c r="AW21" s="5">
        <v>5832080</v>
      </c>
      <c r="AX21">
        <f t="shared" si="6"/>
        <v>1458020</v>
      </c>
    </row>
    <row r="22" spans="3:50" x14ac:dyDescent="0.2">
      <c r="C22" s="2">
        <v>20</v>
      </c>
      <c r="D22" s="2">
        <v>120</v>
      </c>
      <c r="E22" s="2">
        <v>0.7</v>
      </c>
      <c r="F22" s="3">
        <f t="shared" si="18"/>
        <v>40.419560742952648</v>
      </c>
      <c r="G22" s="3">
        <f t="shared" si="7"/>
        <v>52.363188688942444</v>
      </c>
      <c r="H22" s="2">
        <v>5000</v>
      </c>
      <c r="I22" s="2">
        <v>50000</v>
      </c>
      <c r="J22" s="3">
        <f t="shared" si="8"/>
        <v>0.26946373828635101</v>
      </c>
      <c r="K22" s="3">
        <f t="shared" si="9"/>
        <v>1.5708956606682731</v>
      </c>
      <c r="L22" s="4">
        <f t="shared" si="19"/>
        <v>8985</v>
      </c>
      <c r="M22" s="4">
        <f t="shared" si="10"/>
        <v>247760</v>
      </c>
      <c r="N22" s="5">
        <v>1487180</v>
      </c>
      <c r="O22" s="5">
        <f t="shared" si="11"/>
        <v>0</v>
      </c>
      <c r="P22" s="5">
        <f t="shared" si="27"/>
        <v>0</v>
      </c>
      <c r="Q22" s="5">
        <f t="shared" si="28"/>
        <v>0</v>
      </c>
      <c r="R22" s="2">
        <f t="shared" si="12"/>
        <v>597750</v>
      </c>
      <c r="S22" s="2">
        <f t="shared" si="13"/>
        <v>19776000</v>
      </c>
      <c r="T22" s="2">
        <v>0.3</v>
      </c>
      <c r="U22" s="9">
        <f t="shared" si="3"/>
        <v>4964.3817002725018</v>
      </c>
      <c r="V22" s="9">
        <f t="shared" si="4"/>
        <v>0</v>
      </c>
      <c r="W22" s="2">
        <f t="shared" si="20"/>
        <v>14266589.381700272</v>
      </c>
      <c r="X22" s="2">
        <f t="shared" si="21"/>
        <v>161071.94956066631</v>
      </c>
      <c r="Y22" s="2">
        <f t="shared" si="22"/>
        <v>10355344.195125258</v>
      </c>
      <c r="Z22" s="3">
        <f t="shared" si="23"/>
        <v>0.26946373828635101</v>
      </c>
      <c r="AA22" s="3">
        <f t="shared" si="24"/>
        <v>0.52363188688942441</v>
      </c>
      <c r="AB22" s="4">
        <v>19</v>
      </c>
      <c r="AC22" s="3">
        <v>100</v>
      </c>
      <c r="AD22" s="3">
        <v>100</v>
      </c>
      <c r="AE22" s="6">
        <v>130</v>
      </c>
      <c r="AF22" s="3">
        <v>200</v>
      </c>
      <c r="AG22" s="3">
        <v>200</v>
      </c>
      <c r="AH22" s="3">
        <v>200</v>
      </c>
      <c r="AI22" s="3">
        <f t="shared" si="25"/>
        <v>8185.9999999999982</v>
      </c>
      <c r="AJ22" s="3">
        <f t="shared" si="14"/>
        <v>8185.9999999999982</v>
      </c>
      <c r="AK22" s="3">
        <f t="shared" si="15"/>
        <v>10641.799999999997</v>
      </c>
      <c r="AL22" s="3">
        <f t="shared" si="16"/>
        <v>16371.999999999996</v>
      </c>
      <c r="AM22" s="3">
        <f t="shared" si="17"/>
        <v>16371.999999999996</v>
      </c>
      <c r="AN22" s="3">
        <f t="shared" si="26"/>
        <v>16371.999999999996</v>
      </c>
      <c r="AP22">
        <v>0.18</v>
      </c>
      <c r="AQ22">
        <f>SUM(AP$2:AP22)</f>
        <v>82.24</v>
      </c>
      <c r="AR22">
        <v>20</v>
      </c>
      <c r="AW22" s="5">
        <v>5948720</v>
      </c>
      <c r="AX22">
        <f t="shared" si="6"/>
        <v>1487180</v>
      </c>
    </row>
    <row r="23" spans="3:50" x14ac:dyDescent="0.2">
      <c r="C23" s="2">
        <v>20</v>
      </c>
      <c r="D23" s="2">
        <v>120</v>
      </c>
      <c r="E23" s="2">
        <v>0.7</v>
      </c>
      <c r="F23" s="3">
        <f t="shared" si="18"/>
        <v>41.23270919909293</v>
      </c>
      <c r="G23" s="3">
        <f t="shared" si="7"/>
        <v>54.36329081427418</v>
      </c>
      <c r="H23" s="2">
        <v>5000</v>
      </c>
      <c r="I23" s="2">
        <v>50000</v>
      </c>
      <c r="J23" s="3">
        <f t="shared" si="8"/>
        <v>0.27488472799395286</v>
      </c>
      <c r="K23" s="3">
        <f t="shared" si="9"/>
        <v>1.6308987244282254</v>
      </c>
      <c r="L23" s="4">
        <f t="shared" si="19"/>
        <v>8965</v>
      </c>
      <c r="M23" s="4">
        <f t="shared" si="10"/>
        <v>247640</v>
      </c>
      <c r="N23" s="5">
        <v>1516923</v>
      </c>
      <c r="O23" s="5">
        <f t="shared" si="11"/>
        <v>0</v>
      </c>
      <c r="P23" s="5">
        <f t="shared" si="27"/>
        <v>0</v>
      </c>
      <c r="Q23" s="5">
        <f t="shared" si="28"/>
        <v>0</v>
      </c>
      <c r="R23" s="2">
        <f t="shared" si="12"/>
        <v>594750</v>
      </c>
      <c r="S23" s="2">
        <f t="shared" si="13"/>
        <v>19764000</v>
      </c>
      <c r="T23" s="2">
        <v>0.3</v>
      </c>
      <c r="U23" s="9">
        <f t="shared" si="3"/>
        <v>5143.7743571863321</v>
      </c>
      <c r="V23" s="9">
        <f t="shared" si="4"/>
        <v>0</v>
      </c>
      <c r="W23" s="2">
        <f t="shared" si="20"/>
        <v>14256268.774357187</v>
      </c>
      <c r="X23" s="2">
        <f t="shared" si="21"/>
        <v>163487.69197440345</v>
      </c>
      <c r="Y23" s="2">
        <f t="shared" si="22"/>
        <v>10744360.796533149</v>
      </c>
      <c r="Z23" s="3">
        <f t="shared" si="23"/>
        <v>0.27488472799395286</v>
      </c>
      <c r="AA23" s="3">
        <f t="shared" si="24"/>
        <v>0.54363290814274179</v>
      </c>
      <c r="AB23" s="4">
        <v>20</v>
      </c>
      <c r="AC23" s="3">
        <v>100</v>
      </c>
      <c r="AD23" s="3">
        <v>100</v>
      </c>
      <c r="AE23" s="6">
        <v>130</v>
      </c>
      <c r="AF23" s="3">
        <v>200</v>
      </c>
      <c r="AG23" s="3">
        <v>200</v>
      </c>
      <c r="AH23" s="3">
        <v>200</v>
      </c>
      <c r="AI23" s="3">
        <f t="shared" si="25"/>
        <v>8205.9999999999982</v>
      </c>
      <c r="AJ23" s="3">
        <f t="shared" si="14"/>
        <v>8205.9999999999982</v>
      </c>
      <c r="AK23" s="3">
        <f t="shared" si="15"/>
        <v>10667.8</v>
      </c>
      <c r="AL23" s="3">
        <f t="shared" si="16"/>
        <v>16411.999999999996</v>
      </c>
      <c r="AM23" s="3">
        <f t="shared" si="17"/>
        <v>16411.999999999996</v>
      </c>
      <c r="AN23" s="3">
        <f t="shared" si="26"/>
        <v>16411.999999999996</v>
      </c>
      <c r="AP23">
        <v>0.17</v>
      </c>
      <c r="AQ23">
        <f>SUM(AP$2:AP23)</f>
        <v>82.41</v>
      </c>
      <c r="AR23">
        <v>20</v>
      </c>
      <c r="AW23" s="5">
        <v>6067690</v>
      </c>
      <c r="AX23">
        <f t="shared" si="6"/>
        <v>1516923</v>
      </c>
    </row>
    <row r="24" spans="3:50" x14ac:dyDescent="0.2">
      <c r="C24" s="2">
        <v>20</v>
      </c>
      <c r="D24" s="2">
        <v>120</v>
      </c>
      <c r="E24" s="2">
        <v>0.7</v>
      </c>
      <c r="F24" s="3">
        <f t="shared" si="18"/>
        <v>42.065028102993502</v>
      </c>
      <c r="G24" s="3">
        <f t="shared" si="7"/>
        <v>56.440061000423356</v>
      </c>
      <c r="H24" s="2">
        <v>5000</v>
      </c>
      <c r="I24" s="2">
        <v>50000</v>
      </c>
      <c r="J24" s="3">
        <f t="shared" si="8"/>
        <v>0.28043352068662336</v>
      </c>
      <c r="K24" s="3">
        <f t="shared" si="9"/>
        <v>1.6932018300127007</v>
      </c>
      <c r="L24" s="4">
        <f t="shared" si="19"/>
        <v>8945</v>
      </c>
      <c r="M24" s="4">
        <f t="shared" si="10"/>
        <v>247520</v>
      </c>
      <c r="N24" s="5">
        <v>1547260</v>
      </c>
      <c r="O24" s="5">
        <f t="shared" si="11"/>
        <v>0</v>
      </c>
      <c r="P24" s="5">
        <f t="shared" si="27"/>
        <v>0</v>
      </c>
      <c r="Q24" s="5">
        <f t="shared" si="28"/>
        <v>0</v>
      </c>
      <c r="R24" s="2">
        <f t="shared" si="12"/>
        <v>591750</v>
      </c>
      <c r="S24" s="2">
        <f t="shared" si="13"/>
        <v>19752000</v>
      </c>
      <c r="T24" s="2">
        <v>0.3</v>
      </c>
      <c r="U24" s="9">
        <f t="shared" si="3"/>
        <v>5329.8755174774706</v>
      </c>
      <c r="V24" s="9">
        <f t="shared" si="4"/>
        <v>8224</v>
      </c>
      <c r="W24" s="2">
        <f t="shared" si="20"/>
        <v>14245954.875517478</v>
      </c>
      <c r="X24" s="2">
        <f t="shared" si="21"/>
        <v>165946.53586630936</v>
      </c>
      <c r="Y24" s="2">
        <f t="shared" si="22"/>
        <v>11148040.848803623</v>
      </c>
      <c r="Z24" s="3">
        <f t="shared" si="23"/>
        <v>0.28043352068662336</v>
      </c>
      <c r="AA24" s="3">
        <f t="shared" si="24"/>
        <v>0.56440061000423358</v>
      </c>
      <c r="AB24" s="2">
        <v>21</v>
      </c>
      <c r="AC24" s="3">
        <v>100</v>
      </c>
      <c r="AD24" s="3">
        <v>100</v>
      </c>
      <c r="AE24" s="6">
        <v>130</v>
      </c>
      <c r="AF24" s="3">
        <v>200</v>
      </c>
      <c r="AG24" s="3">
        <v>200</v>
      </c>
      <c r="AH24" s="3">
        <v>200</v>
      </c>
      <c r="AI24" s="3">
        <f t="shared" si="25"/>
        <v>8224</v>
      </c>
      <c r="AJ24" s="3">
        <f t="shared" si="14"/>
        <v>8224</v>
      </c>
      <c r="AK24" s="3">
        <f t="shared" si="15"/>
        <v>10691.199999999999</v>
      </c>
      <c r="AL24" s="3">
        <f t="shared" si="16"/>
        <v>16448</v>
      </c>
      <c r="AM24" s="3">
        <f t="shared" si="17"/>
        <v>16448</v>
      </c>
      <c r="AN24" s="3">
        <f t="shared" si="26"/>
        <v>16448</v>
      </c>
      <c r="AP24">
        <v>0.16</v>
      </c>
      <c r="AQ24">
        <f>SUM(AP$2:AP24)</f>
        <v>82.57</v>
      </c>
      <c r="AR24">
        <v>20</v>
      </c>
      <c r="AW24" s="5">
        <v>6189040</v>
      </c>
      <c r="AX24">
        <f t="shared" si="6"/>
        <v>1547260</v>
      </c>
    </row>
    <row r="25" spans="3:50" x14ac:dyDescent="0.2">
      <c r="C25" s="2">
        <v>20</v>
      </c>
      <c r="D25" s="2">
        <v>120</v>
      </c>
      <c r="E25" s="2">
        <v>0.7</v>
      </c>
      <c r="F25" s="3">
        <f t="shared" si="18"/>
        <v>42.9170458696656</v>
      </c>
      <c r="G25" s="3">
        <f t="shared" si="7"/>
        <v>58.596448741381792</v>
      </c>
      <c r="H25" s="2">
        <v>5000</v>
      </c>
      <c r="I25" s="2">
        <v>50000</v>
      </c>
      <c r="J25" s="3">
        <f t="shared" si="8"/>
        <v>0.28611363913110399</v>
      </c>
      <c r="K25" s="3">
        <f t="shared" si="9"/>
        <v>1.7578934622414537</v>
      </c>
      <c r="L25" s="4">
        <f t="shared" si="19"/>
        <v>8925</v>
      </c>
      <c r="M25" s="4">
        <f t="shared" si="10"/>
        <v>247400</v>
      </c>
      <c r="N25" s="5">
        <v>1578205</v>
      </c>
      <c r="O25" s="5">
        <f t="shared" si="11"/>
        <v>0</v>
      </c>
      <c r="P25" s="5">
        <f t="shared" si="27"/>
        <v>0</v>
      </c>
      <c r="Q25" s="5">
        <f t="shared" si="28"/>
        <v>0</v>
      </c>
      <c r="R25" s="2">
        <f t="shared" si="12"/>
        <v>588750</v>
      </c>
      <c r="S25" s="2">
        <f t="shared" si="13"/>
        <v>19740000</v>
      </c>
      <c r="T25" s="2">
        <v>0.3</v>
      </c>
      <c r="U25" s="9">
        <f t="shared" si="3"/>
        <v>5522.9403364513892</v>
      </c>
      <c r="V25" s="9">
        <f t="shared" si="4"/>
        <v>16482</v>
      </c>
      <c r="W25" s="2">
        <f t="shared" si="20"/>
        <v>14235647.940336451</v>
      </c>
      <c r="X25" s="2">
        <f t="shared" si="21"/>
        <v>168449.40503843749</v>
      </c>
      <c r="Y25" s="2">
        <f t="shared" si="22"/>
        <v>11566938.981548766</v>
      </c>
      <c r="Z25" s="3">
        <f t="shared" si="23"/>
        <v>0.28611363913110399</v>
      </c>
      <c r="AA25" s="3">
        <f t="shared" si="24"/>
        <v>0.5859644874138179</v>
      </c>
      <c r="AB25" s="4">
        <v>22</v>
      </c>
      <c r="AC25" s="3">
        <v>100</v>
      </c>
      <c r="AD25" s="3">
        <v>100</v>
      </c>
      <c r="AE25" s="6">
        <v>130</v>
      </c>
      <c r="AF25" s="3">
        <v>200</v>
      </c>
      <c r="AG25" s="3">
        <v>200</v>
      </c>
      <c r="AH25" s="3">
        <v>200</v>
      </c>
      <c r="AI25" s="3">
        <f t="shared" si="25"/>
        <v>8241</v>
      </c>
      <c r="AJ25" s="3">
        <f t="shared" si="14"/>
        <v>8241</v>
      </c>
      <c r="AK25" s="3">
        <f t="shared" si="15"/>
        <v>10713.3</v>
      </c>
      <c r="AL25" s="3">
        <f t="shared" si="16"/>
        <v>16482</v>
      </c>
      <c r="AM25" s="3">
        <f t="shared" si="17"/>
        <v>16482</v>
      </c>
      <c r="AN25" s="3">
        <f t="shared" si="26"/>
        <v>16482</v>
      </c>
      <c r="AP25">
        <v>0.15</v>
      </c>
      <c r="AQ25">
        <f>SUM(AP$2:AP25)</f>
        <v>82.72</v>
      </c>
      <c r="AR25">
        <v>20</v>
      </c>
      <c r="AW25" s="5">
        <v>6312820</v>
      </c>
      <c r="AX25">
        <f t="shared" si="6"/>
        <v>1578205</v>
      </c>
    </row>
    <row r="26" spans="3:50" x14ac:dyDescent="0.2">
      <c r="C26" s="2">
        <v>20</v>
      </c>
      <c r="D26" s="2">
        <v>120</v>
      </c>
      <c r="E26" s="2">
        <v>0.7</v>
      </c>
      <c r="F26" s="3">
        <f t="shared" si="18"/>
        <v>43.789307809193332</v>
      </c>
      <c r="G26" s="3">
        <f t="shared" si="7"/>
        <v>60.835517421390072</v>
      </c>
      <c r="H26" s="2">
        <v>5000</v>
      </c>
      <c r="I26" s="2">
        <v>50000</v>
      </c>
      <c r="J26" s="3">
        <f t="shared" si="8"/>
        <v>0.29192871872795556</v>
      </c>
      <c r="K26" s="3">
        <f t="shared" si="9"/>
        <v>1.8250655226417023</v>
      </c>
      <c r="L26" s="4">
        <f t="shared" si="19"/>
        <v>8905</v>
      </c>
      <c r="M26" s="4">
        <f t="shared" si="10"/>
        <v>247280</v>
      </c>
      <c r="N26" s="5">
        <v>1609770</v>
      </c>
      <c r="O26" s="5">
        <f t="shared" si="11"/>
        <v>0</v>
      </c>
      <c r="P26" s="5">
        <f t="shared" si="27"/>
        <v>0</v>
      </c>
      <c r="Q26" s="5">
        <f t="shared" si="28"/>
        <v>0</v>
      </c>
      <c r="R26" s="2">
        <f t="shared" si="12"/>
        <v>585750</v>
      </c>
      <c r="S26" s="2">
        <f t="shared" si="13"/>
        <v>19728000</v>
      </c>
      <c r="T26" s="2">
        <v>0.3</v>
      </c>
      <c r="U26" s="9">
        <f t="shared" si="3"/>
        <v>5723.2337727254726</v>
      </c>
      <c r="V26" s="9">
        <f t="shared" si="4"/>
        <v>27248.1</v>
      </c>
      <c r="W26" s="2">
        <f t="shared" si="20"/>
        <v>14225348.233772725</v>
      </c>
      <c r="X26" s="2">
        <f t="shared" si="21"/>
        <v>170997.24699489996</v>
      </c>
      <c r="Y26" s="2">
        <f t="shared" si="22"/>
        <v>12001630.876891833</v>
      </c>
      <c r="Z26" s="3">
        <f t="shared" si="23"/>
        <v>0.29192871872795556</v>
      </c>
      <c r="AA26" s="3">
        <f t="shared" si="24"/>
        <v>0.60835517421390073</v>
      </c>
      <c r="AB26" s="4">
        <v>23</v>
      </c>
      <c r="AC26" s="3">
        <v>100</v>
      </c>
      <c r="AD26" s="3">
        <v>100</v>
      </c>
      <c r="AE26" s="6">
        <v>130</v>
      </c>
      <c r="AF26" s="3">
        <v>200</v>
      </c>
      <c r="AG26" s="3">
        <v>200</v>
      </c>
      <c r="AH26" s="3">
        <v>200</v>
      </c>
      <c r="AI26" s="3">
        <f t="shared" si="25"/>
        <v>8257</v>
      </c>
      <c r="AJ26" s="3">
        <f t="shared" si="14"/>
        <v>8257</v>
      </c>
      <c r="AK26" s="3">
        <f t="shared" si="15"/>
        <v>10734.099999999999</v>
      </c>
      <c r="AL26" s="3">
        <f t="shared" si="16"/>
        <v>16514</v>
      </c>
      <c r="AM26" s="3">
        <f t="shared" si="17"/>
        <v>16514</v>
      </c>
      <c r="AN26" s="3">
        <f t="shared" si="26"/>
        <v>16514</v>
      </c>
      <c r="AP26">
        <v>0.14000000000000001</v>
      </c>
      <c r="AQ26">
        <f>SUM(AP$2:AP26)</f>
        <v>82.86</v>
      </c>
      <c r="AR26">
        <v>20</v>
      </c>
      <c r="AW26" s="5">
        <v>6439080</v>
      </c>
      <c r="AX26">
        <f t="shared" si="6"/>
        <v>1609770</v>
      </c>
    </row>
    <row r="27" spans="3:50" x14ac:dyDescent="0.2">
      <c r="C27" s="2">
        <v>10</v>
      </c>
      <c r="D27" s="2">
        <v>120</v>
      </c>
      <c r="E27" s="2">
        <v>0.7</v>
      </c>
      <c r="F27" s="3">
        <f t="shared" si="18"/>
        <v>44.682376746666108</v>
      </c>
      <c r="G27" s="3">
        <f t="shared" si="7"/>
        <v>63.16044872929578</v>
      </c>
      <c r="H27" s="2">
        <v>5000</v>
      </c>
      <c r="I27" s="2">
        <v>50000</v>
      </c>
      <c r="J27" s="3">
        <f t="shared" si="8"/>
        <v>0.29788251164444074</v>
      </c>
      <c r="K27" s="3">
        <f t="shared" si="9"/>
        <v>1.8948134618788735</v>
      </c>
      <c r="L27" s="4">
        <f t="shared" si="19"/>
        <v>8885</v>
      </c>
      <c r="M27" s="4">
        <f t="shared" si="10"/>
        <v>247160</v>
      </c>
      <c r="N27" s="5">
        <v>1641965</v>
      </c>
      <c r="O27" s="5">
        <f t="shared" si="11"/>
        <v>0</v>
      </c>
      <c r="P27" s="5">
        <f t="shared" si="27"/>
        <v>0</v>
      </c>
      <c r="Q27" s="5">
        <f t="shared" si="28"/>
        <v>0</v>
      </c>
      <c r="R27" s="2">
        <f t="shared" si="12"/>
        <v>582750</v>
      </c>
      <c r="S27" s="2">
        <f t="shared" si="13"/>
        <v>19716000</v>
      </c>
      <c r="T27" s="2">
        <v>0.3</v>
      </c>
      <c r="U27" s="9">
        <f t="shared" si="3"/>
        <v>5618.2543304875071</v>
      </c>
      <c r="V27" s="9">
        <f t="shared" si="4"/>
        <v>43841.599999999999</v>
      </c>
      <c r="W27" s="2">
        <f t="shared" si="20"/>
        <v>14214743.254330488</v>
      </c>
      <c r="X27" s="2">
        <f t="shared" si="21"/>
        <v>173591.03366079784</v>
      </c>
      <c r="Y27" s="2">
        <f t="shared" si="22"/>
        <v>12452714.071467957</v>
      </c>
      <c r="Z27" s="3">
        <f t="shared" si="23"/>
        <v>0.29788251164444074</v>
      </c>
      <c r="AA27" s="3">
        <f t="shared" si="24"/>
        <v>0.63160448729295782</v>
      </c>
      <c r="AB27" s="2">
        <v>24</v>
      </c>
      <c r="AC27" s="3">
        <v>100</v>
      </c>
      <c r="AD27" s="3">
        <v>100</v>
      </c>
      <c r="AE27" s="6">
        <v>130</v>
      </c>
      <c r="AF27" s="3">
        <v>200</v>
      </c>
      <c r="AG27" s="3">
        <v>200</v>
      </c>
      <c r="AH27" s="3">
        <v>200</v>
      </c>
      <c r="AI27" s="3">
        <f t="shared" si="25"/>
        <v>8272</v>
      </c>
      <c r="AJ27" s="3">
        <f t="shared" si="14"/>
        <v>8272</v>
      </c>
      <c r="AK27" s="3">
        <f t="shared" si="15"/>
        <v>10753.6</v>
      </c>
      <c r="AL27" s="3">
        <f t="shared" si="16"/>
        <v>16544</v>
      </c>
      <c r="AM27" s="3">
        <f t="shared" si="17"/>
        <v>16544</v>
      </c>
      <c r="AN27" s="3">
        <f t="shared" si="26"/>
        <v>16544</v>
      </c>
      <c r="AP27">
        <v>0.13</v>
      </c>
      <c r="AQ27">
        <f>SUM(AP$2:AP27)</f>
        <v>82.99</v>
      </c>
      <c r="AR27">
        <v>20</v>
      </c>
      <c r="AW27" s="5">
        <v>6567860</v>
      </c>
      <c r="AX27">
        <f t="shared" si="6"/>
        <v>1641965</v>
      </c>
    </row>
    <row r="28" spans="3:50" x14ac:dyDescent="0.2">
      <c r="C28" s="2">
        <v>10</v>
      </c>
      <c r="D28" s="2">
        <v>120</v>
      </c>
      <c r="E28" s="2">
        <v>0.7</v>
      </c>
      <c r="F28" s="3">
        <f t="shared" si="18"/>
        <v>45.4799331488109</v>
      </c>
      <c r="G28" s="3">
        <f t="shared" si="7"/>
        <v>65.574547244673738</v>
      </c>
      <c r="H28" s="2">
        <v>5000</v>
      </c>
      <c r="I28" s="2">
        <v>50000</v>
      </c>
      <c r="J28" s="3">
        <f t="shared" si="8"/>
        <v>0.30319955432540602</v>
      </c>
      <c r="K28" s="3">
        <f t="shared" si="9"/>
        <v>1.9672364173402124</v>
      </c>
      <c r="L28" s="4">
        <f t="shared" si="19"/>
        <v>8875</v>
      </c>
      <c r="M28" s="4">
        <f t="shared" si="10"/>
        <v>247040</v>
      </c>
      <c r="N28" s="5">
        <v>1674805</v>
      </c>
      <c r="O28" s="5">
        <f t="shared" si="11"/>
        <v>1674805</v>
      </c>
      <c r="P28" s="5">
        <f t="shared" si="27"/>
        <v>47989.569083447335</v>
      </c>
      <c r="Q28" s="5">
        <f t="shared" si="28"/>
        <v>1626815.4309165527</v>
      </c>
      <c r="R28" s="2">
        <f t="shared" si="12"/>
        <v>581250</v>
      </c>
      <c r="S28" s="2">
        <f t="shared" si="13"/>
        <v>19704000</v>
      </c>
      <c r="T28" s="2">
        <v>0.3</v>
      </c>
      <c r="U28" s="9">
        <f t="shared" si="3"/>
        <v>5826.6215005942704</v>
      </c>
      <c r="V28" s="9">
        <f t="shared" si="4"/>
        <v>60487.8</v>
      </c>
      <c r="W28" s="2">
        <f t="shared" si="20"/>
        <v>14205501.621500595</v>
      </c>
      <c r="X28" s="2">
        <f t="shared" si="21"/>
        <v>176234.74095164225</v>
      </c>
      <c r="Y28" s="2">
        <f t="shared" si="22"/>
        <v>12920808.789090514</v>
      </c>
      <c r="Z28" s="3">
        <f t="shared" si="23"/>
        <v>0.30319955432540602</v>
      </c>
      <c r="AA28" s="3">
        <f t="shared" si="24"/>
        <v>0.65574547244673742</v>
      </c>
      <c r="AB28" s="4">
        <v>25</v>
      </c>
      <c r="AC28" s="3">
        <v>100</v>
      </c>
      <c r="AD28" s="3">
        <v>100</v>
      </c>
      <c r="AE28" s="6">
        <v>130</v>
      </c>
      <c r="AF28" s="3">
        <v>200</v>
      </c>
      <c r="AG28" s="3">
        <v>200</v>
      </c>
      <c r="AH28" s="3">
        <v>200</v>
      </c>
      <c r="AI28" s="3">
        <f t="shared" si="25"/>
        <v>8286</v>
      </c>
      <c r="AJ28" s="3">
        <f t="shared" si="14"/>
        <v>8286</v>
      </c>
      <c r="AK28" s="3">
        <f t="shared" si="15"/>
        <v>10771.8</v>
      </c>
      <c r="AL28" s="3">
        <f t="shared" si="16"/>
        <v>16572</v>
      </c>
      <c r="AM28" s="3">
        <f t="shared" si="17"/>
        <v>16572</v>
      </c>
      <c r="AN28" s="3">
        <f t="shared" si="26"/>
        <v>16572</v>
      </c>
      <c r="AP28">
        <v>0.125</v>
      </c>
      <c r="AQ28">
        <f>SUM(AP$2:AP28)</f>
        <v>83.114999999999995</v>
      </c>
      <c r="AR28">
        <v>20</v>
      </c>
      <c r="AW28" s="5">
        <v>6699220</v>
      </c>
      <c r="AX28">
        <f t="shared" si="6"/>
        <v>1674805</v>
      </c>
    </row>
    <row r="29" spans="3:50" x14ac:dyDescent="0.2">
      <c r="C29" s="2">
        <v>5</v>
      </c>
      <c r="D29" s="2">
        <v>120</v>
      </c>
      <c r="E29" s="2">
        <v>0.7</v>
      </c>
      <c r="F29" s="3">
        <f t="shared" si="18"/>
        <v>33.876594027759289</v>
      </c>
      <c r="G29" s="3">
        <f t="shared" si="7"/>
        <v>59.819944009463768</v>
      </c>
      <c r="H29" s="2">
        <v>5000</v>
      </c>
      <c r="I29" s="2">
        <v>50000</v>
      </c>
      <c r="J29" s="3">
        <f t="shared" si="8"/>
        <v>0.22584396018506192</v>
      </c>
      <c r="K29" s="3">
        <f t="shared" si="9"/>
        <v>1.7945983202839129</v>
      </c>
      <c r="L29" s="4">
        <f t="shared" si="19"/>
        <v>8865</v>
      </c>
      <c r="M29" s="4">
        <f t="shared" si="10"/>
        <v>246920</v>
      </c>
      <c r="N29" s="5">
        <v>1708300</v>
      </c>
      <c r="O29" s="5">
        <f t="shared" si="11"/>
        <v>0</v>
      </c>
      <c r="P29" s="5">
        <f t="shared" si="27"/>
        <v>0</v>
      </c>
      <c r="Q29" s="5">
        <f t="shared" si="28"/>
        <v>0</v>
      </c>
      <c r="R29" s="2">
        <f t="shared" si="12"/>
        <v>579750</v>
      </c>
      <c r="S29" s="2">
        <f t="shared" si="13"/>
        <v>19692000</v>
      </c>
      <c r="T29" s="2">
        <v>0.3</v>
      </c>
      <c r="U29" s="9">
        <f t="shared" si="3"/>
        <v>5143.4433758921132</v>
      </c>
      <c r="V29" s="9">
        <f t="shared" si="4"/>
        <v>60582.7</v>
      </c>
      <c r="W29" s="2">
        <f t="shared" si="20"/>
        <v>14195368.443375893</v>
      </c>
      <c r="X29" s="2">
        <f t="shared" si="21"/>
        <v>130933.03591728964</v>
      </c>
      <c r="Y29" s="2">
        <f t="shared" si="22"/>
        <v>11779743.374343606</v>
      </c>
      <c r="Z29" s="3">
        <f t="shared" si="23"/>
        <v>0.22584396018506192</v>
      </c>
      <c r="AA29" s="3">
        <f t="shared" si="24"/>
        <v>0.59819944009463766</v>
      </c>
      <c r="AB29" s="4">
        <v>26</v>
      </c>
      <c r="AC29" s="3">
        <v>100</v>
      </c>
      <c r="AD29" s="3">
        <v>100</v>
      </c>
      <c r="AE29" s="6">
        <v>130</v>
      </c>
      <c r="AF29" s="3">
        <v>200</v>
      </c>
      <c r="AG29" s="3">
        <v>200</v>
      </c>
      <c r="AH29" s="3">
        <v>200</v>
      </c>
      <c r="AI29" s="3">
        <f t="shared" si="25"/>
        <v>8299</v>
      </c>
      <c r="AJ29" s="3">
        <f t="shared" si="14"/>
        <v>8299</v>
      </c>
      <c r="AK29" s="3">
        <f t="shared" si="15"/>
        <v>10788.699999999999</v>
      </c>
      <c r="AL29" s="3">
        <f t="shared" si="16"/>
        <v>16598</v>
      </c>
      <c r="AM29" s="3">
        <f t="shared" si="17"/>
        <v>16598</v>
      </c>
      <c r="AN29" s="3">
        <f t="shared" si="26"/>
        <v>16598</v>
      </c>
      <c r="AP29">
        <v>0.1225</v>
      </c>
      <c r="AQ29">
        <f>SUM(AP$2:AP29)</f>
        <v>83.237499999999997</v>
      </c>
      <c r="AR29">
        <v>20</v>
      </c>
      <c r="AW29" s="5">
        <v>6833200</v>
      </c>
      <c r="AX29">
        <f t="shared" si="6"/>
        <v>1708300</v>
      </c>
    </row>
    <row r="30" spans="3:50" x14ac:dyDescent="0.2">
      <c r="C30" s="2">
        <v>5</v>
      </c>
      <c r="D30" s="2">
        <v>120</v>
      </c>
      <c r="E30" s="2">
        <v>0.7</v>
      </c>
      <c r="F30" s="3">
        <f t="shared" si="18"/>
        <v>34.438863576302921</v>
      </c>
      <c r="G30" s="3">
        <f t="shared" si="7"/>
        <v>62.106962600557289</v>
      </c>
      <c r="H30" s="2">
        <v>5000</v>
      </c>
      <c r="I30" s="2">
        <v>50000</v>
      </c>
      <c r="J30" s="3">
        <f t="shared" si="8"/>
        <v>0.22959242384201947</v>
      </c>
      <c r="K30" s="3">
        <f t="shared" si="9"/>
        <v>1.8632088780167186</v>
      </c>
      <c r="L30" s="4">
        <f t="shared" si="19"/>
        <v>8860</v>
      </c>
      <c r="M30" s="4">
        <f t="shared" si="10"/>
        <v>246800</v>
      </c>
      <c r="N30" s="5">
        <v>1742465</v>
      </c>
      <c r="O30" s="5">
        <f t="shared" si="11"/>
        <v>0</v>
      </c>
      <c r="P30" s="5">
        <f t="shared" si="27"/>
        <v>0</v>
      </c>
      <c r="Q30" s="5">
        <f t="shared" si="28"/>
        <v>0</v>
      </c>
      <c r="R30" s="2">
        <f t="shared" si="12"/>
        <v>579000</v>
      </c>
      <c r="S30" s="2">
        <f t="shared" si="13"/>
        <v>19680000</v>
      </c>
      <c r="T30" s="2">
        <v>0.3</v>
      </c>
      <c r="U30" s="9">
        <f t="shared" si="3"/>
        <v>5337.5208809638725</v>
      </c>
      <c r="V30" s="9">
        <f t="shared" si="4"/>
        <v>60673.95</v>
      </c>
      <c r="W30" s="2">
        <f t="shared" si="20"/>
        <v>14186637.520880964</v>
      </c>
      <c r="X30" s="2">
        <f t="shared" si="21"/>
        <v>132934.01340452928</v>
      </c>
      <c r="Y30" s="2">
        <f t="shared" si="22"/>
        <v>12222650.239789676</v>
      </c>
      <c r="Z30" s="3">
        <f t="shared" si="23"/>
        <v>0.22959242384201947</v>
      </c>
      <c r="AA30" s="3">
        <f t="shared" si="24"/>
        <v>0.62106962600557292</v>
      </c>
      <c r="AB30" s="2">
        <v>27</v>
      </c>
      <c r="AC30" s="3">
        <v>100</v>
      </c>
      <c r="AD30" s="3">
        <v>100</v>
      </c>
      <c r="AE30" s="6">
        <v>130</v>
      </c>
      <c r="AF30" s="3">
        <v>200</v>
      </c>
      <c r="AG30" s="3">
        <v>200</v>
      </c>
      <c r="AH30" s="3">
        <v>200</v>
      </c>
      <c r="AI30" s="3">
        <f t="shared" si="25"/>
        <v>8311.5</v>
      </c>
      <c r="AJ30" s="3">
        <f t="shared" si="14"/>
        <v>8311.5</v>
      </c>
      <c r="AK30" s="3">
        <f t="shared" si="15"/>
        <v>10804.949999999999</v>
      </c>
      <c r="AL30" s="3">
        <f t="shared" si="16"/>
        <v>16623</v>
      </c>
      <c r="AM30" s="3">
        <f t="shared" si="17"/>
        <v>16623</v>
      </c>
      <c r="AN30" s="3">
        <f t="shared" si="26"/>
        <v>16623</v>
      </c>
      <c r="AP30">
        <v>0.12239999999999999</v>
      </c>
      <c r="AQ30">
        <f>SUM(AP$2:AP30)</f>
        <v>83.359899999999996</v>
      </c>
      <c r="AR30">
        <v>20</v>
      </c>
      <c r="AW30" s="5">
        <v>6969860</v>
      </c>
      <c r="AX30">
        <f t="shared" si="6"/>
        <v>1742465</v>
      </c>
    </row>
    <row r="31" spans="3:50" x14ac:dyDescent="0.2">
      <c r="AP31">
        <v>0.12230000000000001</v>
      </c>
      <c r="AQ31">
        <f>SUM(AP$2:AP31)</f>
        <v>83.482199999999992</v>
      </c>
      <c r="AR31">
        <v>20</v>
      </c>
    </row>
  </sheetData>
  <mergeCells count="10">
    <mergeCell ref="A1:B1"/>
    <mergeCell ref="F1:G1"/>
    <mergeCell ref="H1:I1"/>
    <mergeCell ref="J1:K1"/>
    <mergeCell ref="N1:Q1"/>
    <mergeCell ref="AC1:AH1"/>
    <mergeCell ref="C1:E1"/>
    <mergeCell ref="L1:M1"/>
    <mergeCell ref="U1:V1"/>
    <mergeCell ref="R1:T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F0562-A765-A442-B9DB-CF71D123E451}">
  <dimension ref="A1:AO166"/>
  <sheetViews>
    <sheetView tabSelected="1" topLeftCell="A125" zoomScaleNormal="93" workbookViewId="0">
      <selection activeCell="B133" sqref="B133"/>
    </sheetView>
  </sheetViews>
  <sheetFormatPr baseColWidth="10" defaultRowHeight="16" x14ac:dyDescent="0.2"/>
  <cols>
    <col min="1" max="1" width="6.5" style="48" customWidth="1"/>
    <col min="2" max="2" width="62.1640625" style="24" customWidth="1"/>
    <col min="3" max="3" width="2" style="27" customWidth="1"/>
    <col min="4" max="4" width="4.1640625" style="23" hidden="1" customWidth="1"/>
    <col min="5" max="5" width="27" style="22" hidden="1" customWidth="1"/>
    <col min="6" max="6" width="15.6640625" style="10" hidden="1" customWidth="1"/>
    <col min="7" max="7" width="11" style="4" customWidth="1"/>
    <col min="8" max="8" width="15.1640625" style="4" customWidth="1"/>
    <col min="9" max="9" width="11.5" style="5" customWidth="1"/>
    <col min="10" max="11" width="13.33203125" style="4" customWidth="1"/>
    <col min="12" max="12" width="11.83203125" style="5" hidden="1" customWidth="1"/>
    <col min="13" max="14" width="13.33203125" style="4" hidden="1" customWidth="1"/>
    <col min="15" max="15" width="21.1640625" style="5" hidden="1" customWidth="1"/>
    <col min="16" max="16" width="21.1640625" style="4" hidden="1" customWidth="1"/>
    <col min="17" max="17" width="13.33203125" style="4" hidden="1" customWidth="1"/>
    <col min="18" max="18" width="22.83203125" style="5" hidden="1" customWidth="1"/>
    <col min="19" max="20" width="13.33203125" style="4" hidden="1" customWidth="1"/>
    <col min="21" max="21" width="9.1640625" style="5" hidden="1" customWidth="1"/>
    <col min="22" max="22" width="13.33203125" style="4" hidden="1" customWidth="1"/>
    <col min="23" max="23" width="12.5" style="4" hidden="1" customWidth="1"/>
    <col min="24" max="24" width="9.1640625" style="5" hidden="1" customWidth="1"/>
    <col min="25" max="26" width="13.33203125" style="4" hidden="1" customWidth="1"/>
    <col min="27" max="27" width="24" style="24" customWidth="1"/>
    <col min="28" max="28" width="64.5" style="47" customWidth="1"/>
    <col min="29" max="29" width="14.6640625" style="48" customWidth="1"/>
    <col min="30" max="30" width="14.6640625" customWidth="1"/>
    <col min="31" max="33" width="14.1640625" customWidth="1"/>
    <col min="34" max="34" width="4.1640625" customWidth="1"/>
    <col min="35" max="35" width="3.33203125" customWidth="1"/>
  </cols>
  <sheetData>
    <row r="1" spans="1:41" s="7" customFormat="1" x14ac:dyDescent="0.2">
      <c r="A1" s="49"/>
      <c r="B1" s="24"/>
      <c r="C1" s="27"/>
      <c r="D1" s="23"/>
      <c r="E1" s="22"/>
      <c r="F1" s="10"/>
      <c r="G1" s="5" t="s">
        <v>59</v>
      </c>
      <c r="H1" s="5" t="s">
        <v>61</v>
      </c>
      <c r="I1" s="5">
        <v>1</v>
      </c>
      <c r="J1" s="5"/>
      <c r="K1" s="5"/>
      <c r="L1" s="5"/>
      <c r="M1" s="5"/>
      <c r="N1" s="5"/>
      <c r="O1" s="5"/>
      <c r="P1" s="5"/>
      <c r="Q1" s="5"/>
      <c r="R1" s="5"/>
      <c r="S1" s="5"/>
      <c r="T1" s="5"/>
      <c r="U1" s="5"/>
      <c r="V1" s="5"/>
      <c r="W1" s="5"/>
      <c r="X1" s="5"/>
      <c r="Y1" s="5"/>
      <c r="Z1" s="5"/>
      <c r="AA1" s="24"/>
      <c r="AB1" s="40"/>
      <c r="AC1" s="27"/>
    </row>
    <row r="2" spans="1:41" s="7" customFormat="1" x14ac:dyDescent="0.2">
      <c r="A2" s="49"/>
      <c r="B2" s="24"/>
      <c r="C2" s="27"/>
      <c r="D2" s="23"/>
      <c r="E2" s="22"/>
      <c r="F2" s="10"/>
      <c r="G2" s="5" t="s">
        <v>60</v>
      </c>
      <c r="H2" s="5" t="s">
        <v>62</v>
      </c>
      <c r="I2" s="54">
        <v>150</v>
      </c>
      <c r="J2" s="54"/>
      <c r="K2" s="5"/>
      <c r="L2" s="5"/>
      <c r="M2" s="5"/>
      <c r="N2" s="5"/>
      <c r="O2" s="5"/>
      <c r="P2" s="5"/>
      <c r="Q2" s="4">
        <v>249700</v>
      </c>
      <c r="R2" s="5"/>
      <c r="S2" s="5"/>
      <c r="T2" s="5"/>
      <c r="U2" s="5"/>
      <c r="V2" s="5"/>
      <c r="W2" s="5"/>
      <c r="X2" s="5"/>
      <c r="Y2" s="5"/>
      <c r="Z2" s="5"/>
      <c r="AA2" s="24"/>
      <c r="AB2" s="40"/>
      <c r="AC2" s="27"/>
    </row>
    <row r="3" spans="1:41" s="7" customFormat="1" x14ac:dyDescent="0.2">
      <c r="A3" s="49"/>
      <c r="B3" s="24"/>
      <c r="C3" s="27"/>
      <c r="D3" s="23"/>
      <c r="E3" s="22"/>
      <c r="F3" s="10"/>
      <c r="G3" s="5"/>
      <c r="H3" s="5" t="s">
        <v>63</v>
      </c>
      <c r="I3" s="54">
        <v>30</v>
      </c>
      <c r="J3" s="54"/>
      <c r="K3" s="5"/>
      <c r="L3" s="5"/>
      <c r="M3" s="5"/>
      <c r="N3" s="5"/>
      <c r="O3" s="5"/>
      <c r="P3" s="5"/>
      <c r="Q3" s="5"/>
      <c r="R3" s="5"/>
      <c r="S3" s="5"/>
      <c r="T3" s="5"/>
      <c r="U3" s="5"/>
      <c r="V3" s="5"/>
      <c r="W3" s="5"/>
      <c r="X3" s="5"/>
      <c r="Y3" s="5"/>
      <c r="Z3" s="5"/>
      <c r="AA3" s="24"/>
      <c r="AB3" s="40"/>
      <c r="AC3" s="27"/>
    </row>
    <row r="4" spans="1:41" ht="60" customHeight="1" x14ac:dyDescent="0.2">
      <c r="G4" s="8">
        <v>0</v>
      </c>
      <c r="H4" s="8"/>
      <c r="I4" s="16"/>
      <c r="J4" s="20">
        <v>1</v>
      </c>
      <c r="K4" s="20"/>
      <c r="L4" s="18"/>
      <c r="M4" s="20">
        <v>2</v>
      </c>
      <c r="N4" s="20"/>
      <c r="O4" s="18"/>
      <c r="P4" s="20">
        <v>3</v>
      </c>
      <c r="Q4" s="20"/>
      <c r="R4" s="18"/>
      <c r="S4" s="20">
        <v>4</v>
      </c>
      <c r="T4" s="20"/>
      <c r="U4" s="18"/>
      <c r="V4" s="20">
        <v>5</v>
      </c>
      <c r="W4" s="20"/>
      <c r="X4" s="18"/>
      <c r="Y4" s="20">
        <v>6</v>
      </c>
      <c r="Z4" s="20"/>
      <c r="AB4" s="40"/>
      <c r="AC4" s="27"/>
      <c r="AE4" s="53" t="s">
        <v>89</v>
      </c>
      <c r="AF4" s="53"/>
      <c r="AG4" s="53"/>
      <c r="AL4" t="s">
        <v>94</v>
      </c>
      <c r="AM4" t="s">
        <v>96</v>
      </c>
      <c r="AN4" t="s">
        <v>98</v>
      </c>
      <c r="AO4" t="s">
        <v>100</v>
      </c>
    </row>
    <row r="5" spans="1:41" ht="36" customHeight="1" x14ac:dyDescent="0.2">
      <c r="A5" s="50" t="s">
        <v>421</v>
      </c>
      <c r="B5" s="24" t="s">
        <v>155</v>
      </c>
      <c r="C5" s="30" t="s">
        <v>161</v>
      </c>
      <c r="E5" s="7" t="s">
        <v>153</v>
      </c>
      <c r="F5" s="7" t="s">
        <v>154</v>
      </c>
      <c r="G5" s="52" t="s">
        <v>51</v>
      </c>
      <c r="H5" s="52"/>
      <c r="I5" s="17"/>
      <c r="J5" s="52" t="s">
        <v>64</v>
      </c>
      <c r="K5" s="52"/>
      <c r="M5" s="52" t="s">
        <v>65</v>
      </c>
      <c r="N5" s="52"/>
      <c r="P5" s="52" t="s">
        <v>78</v>
      </c>
      <c r="Q5" s="52"/>
      <c r="S5" s="52" t="s">
        <v>83</v>
      </c>
      <c r="T5" s="52"/>
      <c r="V5" s="52" t="s">
        <v>84</v>
      </c>
      <c r="W5" s="52"/>
      <c r="Y5" s="52" t="s">
        <v>135</v>
      </c>
      <c r="Z5" s="52"/>
      <c r="AA5" s="24" t="s">
        <v>304</v>
      </c>
      <c r="AB5" s="40" t="s">
        <v>305</v>
      </c>
      <c r="AC5" s="27" t="s">
        <v>350</v>
      </c>
      <c r="AD5" s="36" t="s">
        <v>230</v>
      </c>
      <c r="AE5" s="21" t="s">
        <v>33</v>
      </c>
      <c r="AF5" s="21" t="s">
        <v>38</v>
      </c>
      <c r="AG5" s="21" t="s">
        <v>41</v>
      </c>
      <c r="AL5" t="s">
        <v>94</v>
      </c>
      <c r="AM5" t="s">
        <v>96</v>
      </c>
      <c r="AN5" t="s">
        <v>99</v>
      </c>
      <c r="AO5" t="s">
        <v>101</v>
      </c>
    </row>
    <row r="6" spans="1:41" x14ac:dyDescent="0.2">
      <c r="C6" s="30"/>
      <c r="G6" s="4" t="s">
        <v>24</v>
      </c>
      <c r="H6" s="4" t="s">
        <v>25</v>
      </c>
      <c r="J6" s="4" t="s">
        <v>24</v>
      </c>
      <c r="K6" s="4" t="s">
        <v>25</v>
      </c>
      <c r="M6" s="4" t="s">
        <v>24</v>
      </c>
      <c r="N6" s="4" t="s">
        <v>25</v>
      </c>
      <c r="P6" s="4" t="s">
        <v>24</v>
      </c>
      <c r="Q6" s="4" t="s">
        <v>25</v>
      </c>
      <c r="S6" s="4" t="s">
        <v>24</v>
      </c>
      <c r="T6" s="4" t="s">
        <v>25</v>
      </c>
      <c r="V6" s="4" t="s">
        <v>24</v>
      </c>
      <c r="W6" s="4" t="s">
        <v>25</v>
      </c>
      <c r="Y6" s="4" t="s">
        <v>24</v>
      </c>
      <c r="Z6" s="4" t="s">
        <v>25</v>
      </c>
      <c r="AB6" s="40"/>
      <c r="AC6" s="27"/>
      <c r="AE6" s="19">
        <v>0</v>
      </c>
      <c r="AF6" s="19">
        <f>SUM(AE$6:AE6)</f>
        <v>0</v>
      </c>
      <c r="AG6" s="19">
        <v>2</v>
      </c>
      <c r="AL6" t="s">
        <v>94</v>
      </c>
      <c r="AM6" t="s">
        <v>97</v>
      </c>
      <c r="AN6" t="s">
        <v>98</v>
      </c>
      <c r="AO6" t="s">
        <v>102</v>
      </c>
    </row>
    <row r="7" spans="1:41" ht="34" x14ac:dyDescent="0.2">
      <c r="A7" s="50" t="s">
        <v>422</v>
      </c>
      <c r="B7" s="38" t="s">
        <v>156</v>
      </c>
      <c r="C7" s="28" t="s">
        <v>174</v>
      </c>
      <c r="F7" s="10" t="s">
        <v>67</v>
      </c>
      <c r="G7" s="4">
        <v>50000</v>
      </c>
      <c r="H7" s="4">
        <v>250000</v>
      </c>
      <c r="J7" s="4">
        <f>G14</f>
        <v>49950</v>
      </c>
      <c r="K7" s="4">
        <f>H14</f>
        <v>249900</v>
      </c>
      <c r="M7" s="4">
        <f>J14</f>
        <v>49888</v>
      </c>
      <c r="N7" s="4">
        <f>K14</f>
        <v>249790</v>
      </c>
      <c r="P7" s="4">
        <f>M14</f>
        <v>49830</v>
      </c>
      <c r="Q7" s="4">
        <f>N14</f>
        <v>249696</v>
      </c>
      <c r="S7" s="4">
        <f>P14</f>
        <v>49760</v>
      </c>
      <c r="T7" s="4">
        <f>Q14</f>
        <v>249504</v>
      </c>
      <c r="V7" s="4">
        <f>S14</f>
        <v>49660</v>
      </c>
      <c r="W7" s="4">
        <f>T14</f>
        <v>249465</v>
      </c>
      <c r="Y7" s="4">
        <f>V7-V9</f>
        <v>49562</v>
      </c>
      <c r="Z7" s="4">
        <f>MAX(W7-W9,0)</f>
        <v>249360</v>
      </c>
      <c r="AA7" s="38" t="s">
        <v>446</v>
      </c>
      <c r="AB7" s="42" t="s">
        <v>366</v>
      </c>
      <c r="AC7" s="43" t="s">
        <v>340</v>
      </c>
      <c r="AE7" s="19">
        <v>0.01</v>
      </c>
      <c r="AF7" s="19">
        <f>SUM(AE$6:AE7)</f>
        <v>0.01</v>
      </c>
      <c r="AG7" s="19">
        <v>2</v>
      </c>
      <c r="AL7" t="s">
        <v>94</v>
      </c>
      <c r="AM7" t="s">
        <v>97</v>
      </c>
      <c r="AN7" t="s">
        <v>99</v>
      </c>
      <c r="AO7" t="s">
        <v>103</v>
      </c>
    </row>
    <row r="8" spans="1:41" ht="17" x14ac:dyDescent="0.2">
      <c r="A8" s="50" t="s">
        <v>422</v>
      </c>
      <c r="B8" s="38" t="s">
        <v>157</v>
      </c>
      <c r="C8" s="31" t="s">
        <v>162</v>
      </c>
      <c r="F8" s="10" t="s">
        <v>114</v>
      </c>
      <c r="G8" s="4">
        <f>G7</f>
        <v>50000</v>
      </c>
      <c r="H8" s="4">
        <f>H7</f>
        <v>250000</v>
      </c>
      <c r="J8" s="4">
        <f>J7</f>
        <v>49950</v>
      </c>
      <c r="K8" s="4">
        <f>H8-H9+H13</f>
        <v>249985</v>
      </c>
      <c r="M8" s="4">
        <f>M7</f>
        <v>49888</v>
      </c>
      <c r="N8" s="4">
        <f>K8-K9+K13</f>
        <v>249955</v>
      </c>
      <c r="P8" s="4">
        <f>P7</f>
        <v>49830</v>
      </c>
      <c r="Q8" s="4">
        <f>N8-N9+N13</f>
        <v>249953</v>
      </c>
      <c r="S8" s="4">
        <f>S7</f>
        <v>49760</v>
      </c>
      <c r="T8" s="4">
        <f>Q8-Q9+Q13</f>
        <v>249804</v>
      </c>
      <c r="V8" s="4">
        <f>V7</f>
        <v>49660</v>
      </c>
      <c r="W8" s="4">
        <f>T8-T9+T13</f>
        <v>249857</v>
      </c>
      <c r="Y8" s="4">
        <f>Y7</f>
        <v>49562</v>
      </c>
      <c r="Z8" s="4">
        <f>W8-W9+W13</f>
        <v>249801</v>
      </c>
      <c r="AA8" s="38" t="s">
        <v>447</v>
      </c>
      <c r="AB8" s="42" t="s">
        <v>367</v>
      </c>
      <c r="AC8" s="43" t="s">
        <v>340</v>
      </c>
      <c r="AE8" s="19">
        <v>0.05</v>
      </c>
      <c r="AF8" s="19">
        <f>SUM(AE$6:AE8)</f>
        <v>6.0000000000000005E-2</v>
      </c>
      <c r="AG8" s="19">
        <v>2</v>
      </c>
      <c r="AL8" t="s">
        <v>95</v>
      </c>
      <c r="AM8" t="s">
        <v>96</v>
      </c>
      <c r="AN8" t="s">
        <v>99</v>
      </c>
      <c r="AO8" t="s">
        <v>104</v>
      </c>
    </row>
    <row r="9" spans="1:41" ht="34" x14ac:dyDescent="0.2">
      <c r="A9" s="50" t="s">
        <v>422</v>
      </c>
      <c r="B9" s="38" t="s">
        <v>222</v>
      </c>
      <c r="C9" s="31" t="s">
        <v>162</v>
      </c>
      <c r="F9" s="10" t="s">
        <v>55</v>
      </c>
      <c r="G9" s="4">
        <v>50</v>
      </c>
      <c r="H9" s="4">
        <v>100</v>
      </c>
      <c r="J9" s="4">
        <v>62</v>
      </c>
      <c r="K9" s="4">
        <v>110</v>
      </c>
      <c r="M9" s="4">
        <v>58</v>
      </c>
      <c r="N9" s="4">
        <v>94</v>
      </c>
      <c r="P9" s="4">
        <v>70</v>
      </c>
      <c r="Q9" s="4">
        <v>192</v>
      </c>
      <c r="S9" s="4">
        <v>100</v>
      </c>
      <c r="T9" s="4">
        <v>39</v>
      </c>
      <c r="V9" s="4">
        <v>98</v>
      </c>
      <c r="W9" s="4">
        <v>105</v>
      </c>
      <c r="Y9" s="4">
        <v>98</v>
      </c>
      <c r="Z9" s="4">
        <v>116</v>
      </c>
      <c r="AA9" s="38" t="s">
        <v>448</v>
      </c>
      <c r="AB9" s="42" t="s">
        <v>365</v>
      </c>
      <c r="AC9" s="43" t="s">
        <v>340</v>
      </c>
      <c r="AE9" s="19">
        <v>0.12</v>
      </c>
      <c r="AF9" s="19">
        <f>SUM(AE$6:AE9)</f>
        <v>0.18</v>
      </c>
      <c r="AG9" s="19">
        <v>2</v>
      </c>
      <c r="AL9" t="s">
        <v>95</v>
      </c>
      <c r="AM9" t="s">
        <v>97</v>
      </c>
      <c r="AN9" t="s">
        <v>99</v>
      </c>
      <c r="AO9" t="s">
        <v>105</v>
      </c>
    </row>
    <row r="10" spans="1:41" ht="85" x14ac:dyDescent="0.2">
      <c r="A10" s="50" t="s">
        <v>422</v>
      </c>
      <c r="B10" s="38" t="s">
        <v>221</v>
      </c>
      <c r="C10" s="28" t="s">
        <v>174</v>
      </c>
      <c r="F10" s="10" t="s">
        <v>145</v>
      </c>
      <c r="H10" s="4">
        <f>-MIN(H7-H9,0)</f>
        <v>0</v>
      </c>
      <c r="K10" s="4">
        <f>-MIN(K7-K9,0)</f>
        <v>0</v>
      </c>
      <c r="N10" s="4">
        <f>-MIN(N7-N9,0)</f>
        <v>0</v>
      </c>
      <c r="Q10" s="4">
        <f>-MIN(Q7-Q9,0)</f>
        <v>0</v>
      </c>
      <c r="T10" s="4">
        <f>-MIN(T7-T9,0)</f>
        <v>0</v>
      </c>
      <c r="W10" s="4">
        <f>-MIN(W7-W9,0)</f>
        <v>0</v>
      </c>
      <c r="Z10" s="4">
        <f>-MIN(Z7-Z9,0)</f>
        <v>0</v>
      </c>
      <c r="AA10" s="38" t="s">
        <v>280</v>
      </c>
      <c r="AB10" s="42" t="s">
        <v>295</v>
      </c>
      <c r="AC10" s="43" t="s">
        <v>341</v>
      </c>
      <c r="AE10" s="19">
        <v>0.2</v>
      </c>
      <c r="AF10" s="19">
        <f>SUM(AE$6:AE10)</f>
        <v>0.38</v>
      </c>
      <c r="AG10" s="19">
        <v>20</v>
      </c>
    </row>
    <row r="11" spans="1:41" ht="51" x14ac:dyDescent="0.2">
      <c r="A11" s="50" t="s">
        <v>422</v>
      </c>
      <c r="B11" s="38" t="s">
        <v>219</v>
      </c>
      <c r="C11" s="28" t="s">
        <v>174</v>
      </c>
      <c r="F11" s="10" t="s">
        <v>113</v>
      </c>
      <c r="H11" s="4">
        <f>MAX(H10-H27,0)</f>
        <v>0</v>
      </c>
      <c r="K11" s="4">
        <f>MAX(K10-K27,0)</f>
        <v>0</v>
      </c>
      <c r="N11" s="4">
        <f>MAX(N10-N27,0)</f>
        <v>0</v>
      </c>
      <c r="Q11" s="4">
        <f>MAX(Q10-Q27,0)</f>
        <v>0</v>
      </c>
      <c r="T11" s="4">
        <f>MAX(T10-T27,0)</f>
        <v>0</v>
      </c>
      <c r="W11" s="4">
        <f>MAX(W10-W27,0)</f>
        <v>0</v>
      </c>
      <c r="Z11" s="4">
        <f>MAX(Z10-Z27,0)</f>
        <v>0</v>
      </c>
      <c r="AA11" s="38" t="s">
        <v>281</v>
      </c>
      <c r="AB11" s="42" t="s">
        <v>296</v>
      </c>
      <c r="AC11" s="43" t="s">
        <v>341</v>
      </c>
      <c r="AE11" s="19">
        <v>0.2</v>
      </c>
      <c r="AF11" s="19">
        <f>SUM(AE$6:AE11)</f>
        <v>0.58000000000000007</v>
      </c>
      <c r="AG11" s="19">
        <v>20</v>
      </c>
    </row>
    <row r="12" spans="1:41" x14ac:dyDescent="0.2">
      <c r="A12" s="50" t="s">
        <v>422</v>
      </c>
      <c r="B12" s="38" t="s">
        <v>478</v>
      </c>
      <c r="C12" s="28"/>
      <c r="G12" s="4">
        <f>G9</f>
        <v>50</v>
      </c>
      <c r="H12" s="4">
        <f>H9-H11</f>
        <v>100</v>
      </c>
      <c r="J12" s="4">
        <f>J9</f>
        <v>62</v>
      </c>
      <c r="K12" s="4">
        <f>K9-K11</f>
        <v>110</v>
      </c>
      <c r="M12" s="4">
        <f>M9</f>
        <v>58</v>
      </c>
      <c r="N12" s="4">
        <f>N9-N11</f>
        <v>94</v>
      </c>
      <c r="P12" s="4">
        <f>P9</f>
        <v>70</v>
      </c>
      <c r="Q12" s="4">
        <f>Q9-Q11</f>
        <v>192</v>
      </c>
      <c r="S12" s="4">
        <f>S9</f>
        <v>100</v>
      </c>
      <c r="T12" s="4">
        <f>T9-T11</f>
        <v>39</v>
      </c>
      <c r="V12" s="4">
        <f>V9</f>
        <v>98</v>
      </c>
      <c r="W12" s="4">
        <f>W9-W11</f>
        <v>105</v>
      </c>
      <c r="Y12" s="4">
        <f>Y9</f>
        <v>98</v>
      </c>
      <c r="Z12" s="4">
        <f>Z9-Z11</f>
        <v>116</v>
      </c>
      <c r="AA12" s="38" t="s">
        <v>476</v>
      </c>
      <c r="AB12" s="42" t="s">
        <v>477</v>
      </c>
      <c r="AC12" s="43"/>
      <c r="AE12" s="19"/>
      <c r="AF12" s="19"/>
      <c r="AG12" s="19"/>
    </row>
    <row r="13" spans="1:41" ht="34" x14ac:dyDescent="0.2">
      <c r="A13" s="50" t="s">
        <v>422</v>
      </c>
      <c r="B13" s="38" t="s">
        <v>220</v>
      </c>
      <c r="C13" s="31" t="s">
        <v>162</v>
      </c>
      <c r="F13" s="10" t="s">
        <v>66</v>
      </c>
      <c r="H13" s="4">
        <v>85</v>
      </c>
      <c r="K13" s="4">
        <v>80</v>
      </c>
      <c r="N13" s="4">
        <v>92</v>
      </c>
      <c r="Q13" s="4">
        <v>43</v>
      </c>
      <c r="T13" s="4">
        <v>92</v>
      </c>
      <c r="W13" s="4">
        <v>49</v>
      </c>
      <c r="Z13" s="4">
        <v>110</v>
      </c>
      <c r="AA13" s="38" t="s">
        <v>279</v>
      </c>
      <c r="AB13" s="42" t="s">
        <v>297</v>
      </c>
      <c r="AC13" s="43" t="s">
        <v>340</v>
      </c>
      <c r="AE13" s="19">
        <v>0.36</v>
      </c>
      <c r="AF13" s="19">
        <f>SUM(AE$6:AE13)</f>
        <v>0.94000000000000006</v>
      </c>
      <c r="AG13" s="19">
        <v>20</v>
      </c>
    </row>
    <row r="14" spans="1:41" ht="17" customHeight="1" x14ac:dyDescent="0.2">
      <c r="A14" s="50" t="s">
        <v>422</v>
      </c>
      <c r="B14" s="38" t="s">
        <v>158</v>
      </c>
      <c r="C14" s="28" t="s">
        <v>174</v>
      </c>
      <c r="F14" s="10" t="s">
        <v>143</v>
      </c>
      <c r="G14" s="4">
        <f>MAX(G7-G9,0)</f>
        <v>49950</v>
      </c>
      <c r="H14" s="4">
        <f>MAX(H7-H9,0)</f>
        <v>249900</v>
      </c>
      <c r="J14" s="4">
        <f>MAX(J7-J9,0)</f>
        <v>49888</v>
      </c>
      <c r="K14" s="4">
        <f>MAX(K7-K9,0)</f>
        <v>249790</v>
      </c>
      <c r="M14" s="4">
        <f>MAX(M7-M9,0)</f>
        <v>49830</v>
      </c>
      <c r="N14" s="4">
        <f>MAX(N7-N9,0)</f>
        <v>249696</v>
      </c>
      <c r="P14" s="4">
        <f>MAX(P7-P9,0)</f>
        <v>49760</v>
      </c>
      <c r="Q14" s="4">
        <f>MAX(Q7-Q9,0)</f>
        <v>249504</v>
      </c>
      <c r="S14" s="4">
        <f>MAX(S7-S9,0)</f>
        <v>49660</v>
      </c>
      <c r="T14" s="4">
        <f>MAX(T7-T9,0)</f>
        <v>249465</v>
      </c>
      <c r="V14" s="4">
        <f>MAX(V7-V9,0)</f>
        <v>49562</v>
      </c>
      <c r="W14" s="4">
        <f>MAX(W7-W9,0)</f>
        <v>249360</v>
      </c>
      <c r="Y14" s="4">
        <f>MAX(Y7-Y9,0)</f>
        <v>49464</v>
      </c>
      <c r="Z14" s="4">
        <f>MAX(Z7-Z9,0)</f>
        <v>249244</v>
      </c>
      <c r="AA14" s="38" t="s">
        <v>449</v>
      </c>
      <c r="AB14" s="42" t="s">
        <v>293</v>
      </c>
      <c r="AC14" s="43" t="s">
        <v>340</v>
      </c>
      <c r="AE14" s="19"/>
      <c r="AF14" s="19"/>
      <c r="AG14" s="19"/>
    </row>
    <row r="15" spans="1:41" ht="32" customHeight="1" x14ac:dyDescent="0.2">
      <c r="A15" s="50" t="s">
        <v>422</v>
      </c>
      <c r="B15" s="38" t="s">
        <v>223</v>
      </c>
      <c r="C15" s="31" t="s">
        <v>162</v>
      </c>
      <c r="F15" s="10" t="s">
        <v>54</v>
      </c>
      <c r="G15" s="4">
        <v>0.7</v>
      </c>
      <c r="J15" s="4">
        <v>0.7</v>
      </c>
      <c r="M15" s="4">
        <v>0.7</v>
      </c>
      <c r="P15" s="4">
        <v>0.7</v>
      </c>
      <c r="S15" s="4">
        <v>0.7</v>
      </c>
      <c r="V15" s="4">
        <v>0.7</v>
      </c>
      <c r="Y15" s="4">
        <v>0.7</v>
      </c>
      <c r="AA15" s="38" t="s">
        <v>318</v>
      </c>
      <c r="AB15" s="42" t="s">
        <v>298</v>
      </c>
      <c r="AC15" s="43" t="s">
        <v>351</v>
      </c>
      <c r="AE15" s="19">
        <v>0.6</v>
      </c>
      <c r="AF15" s="19">
        <f>SUM(AE$6:AE15)</f>
        <v>1.54</v>
      </c>
      <c r="AG15" s="19">
        <v>20</v>
      </c>
    </row>
    <row r="16" spans="1:41" ht="32" customHeight="1" x14ac:dyDescent="0.2">
      <c r="A16" s="50" t="s">
        <v>422</v>
      </c>
      <c r="B16" s="38" t="s">
        <v>244</v>
      </c>
      <c r="C16" s="31" t="s">
        <v>162</v>
      </c>
      <c r="E16" s="22" t="s">
        <v>243</v>
      </c>
      <c r="F16" s="10" t="s">
        <v>242</v>
      </c>
      <c r="G16" s="4">
        <v>5</v>
      </c>
      <c r="H16" s="4">
        <v>10</v>
      </c>
      <c r="J16" s="4">
        <v>5.0999999999999996</v>
      </c>
      <c r="K16" s="4">
        <v>9.8000000000000007</v>
      </c>
      <c r="M16" s="4">
        <v>5.2</v>
      </c>
      <c r="N16" s="4">
        <v>9.8000000000000007</v>
      </c>
      <c r="P16" s="4">
        <v>4.7</v>
      </c>
      <c r="Q16" s="4">
        <v>9.9</v>
      </c>
      <c r="S16" s="4">
        <v>5.2</v>
      </c>
      <c r="T16" s="4">
        <v>10.1</v>
      </c>
      <c r="V16" s="4">
        <v>4.0999999999999996</v>
      </c>
      <c r="W16" s="4">
        <v>11</v>
      </c>
      <c r="Y16" s="4">
        <v>5.0999999999999996</v>
      </c>
      <c r="Z16" s="4">
        <v>9</v>
      </c>
      <c r="AA16" s="38" t="s">
        <v>450</v>
      </c>
      <c r="AB16" s="42" t="s">
        <v>368</v>
      </c>
      <c r="AC16" s="43" t="s">
        <v>352</v>
      </c>
      <c r="AE16" s="19"/>
      <c r="AF16" s="19"/>
      <c r="AG16" s="19"/>
    </row>
    <row r="17" spans="1:33" ht="32" customHeight="1" x14ac:dyDescent="0.2">
      <c r="A17" s="50" t="s">
        <v>422</v>
      </c>
      <c r="B17" s="38" t="s">
        <v>283</v>
      </c>
      <c r="C17" s="31" t="s">
        <v>162</v>
      </c>
      <c r="G17" s="4">
        <f>G16*0.187</f>
        <v>0.93500000000000005</v>
      </c>
      <c r="H17" s="4">
        <f>H16*0.192</f>
        <v>1.92</v>
      </c>
      <c r="J17" s="4">
        <f>J16*0.187</f>
        <v>0.95369999999999988</v>
      </c>
      <c r="K17" s="4">
        <f>K16*0.192</f>
        <v>1.8816000000000002</v>
      </c>
      <c r="M17" s="4">
        <f>M16*0.187</f>
        <v>0.97240000000000004</v>
      </c>
      <c r="N17" s="4">
        <f>N16*0.192</f>
        <v>1.8816000000000002</v>
      </c>
      <c r="P17" s="4">
        <f>P16*0.187</f>
        <v>0.87890000000000001</v>
      </c>
      <c r="Q17" s="4">
        <f>Q16*0.192</f>
        <v>1.9008</v>
      </c>
      <c r="S17" s="4">
        <f>S16*0.187</f>
        <v>0.97240000000000004</v>
      </c>
      <c r="T17" s="4">
        <f>T16*0.192</f>
        <v>1.9392</v>
      </c>
      <c r="V17" s="4">
        <f>V16*0.187</f>
        <v>0.76669999999999994</v>
      </c>
      <c r="W17" s="4">
        <f>W16*0.192</f>
        <v>2.1120000000000001</v>
      </c>
      <c r="Y17" s="4">
        <f>Y16*0.187</f>
        <v>0.95369999999999988</v>
      </c>
      <c r="Z17" s="4">
        <f>Z16*0.192</f>
        <v>1.728</v>
      </c>
      <c r="AA17" s="38" t="s">
        <v>451</v>
      </c>
      <c r="AB17" s="42" t="s">
        <v>369</v>
      </c>
      <c r="AC17" s="43" t="s">
        <v>352</v>
      </c>
      <c r="AE17" s="19"/>
      <c r="AF17" s="19"/>
      <c r="AG17" s="19"/>
    </row>
    <row r="18" spans="1:33" ht="136" x14ac:dyDescent="0.2">
      <c r="A18" s="50" t="s">
        <v>422</v>
      </c>
      <c r="B18" s="38" t="s">
        <v>415</v>
      </c>
      <c r="C18" s="31" t="s">
        <v>162</v>
      </c>
      <c r="F18" s="10" t="s">
        <v>225</v>
      </c>
      <c r="G18" s="4">
        <v>0.33057704999999998</v>
      </c>
      <c r="H18" s="4">
        <v>0.37800893000000002</v>
      </c>
      <c r="AA18" s="38" t="s">
        <v>417</v>
      </c>
      <c r="AB18" s="42" t="s">
        <v>419</v>
      </c>
      <c r="AC18" s="43" t="s">
        <v>353</v>
      </c>
      <c r="AE18" s="19">
        <v>1.8</v>
      </c>
      <c r="AF18" s="19">
        <f>SUM(AE$6:AE18)</f>
        <v>3.34</v>
      </c>
      <c r="AG18" s="19">
        <v>20</v>
      </c>
    </row>
    <row r="19" spans="1:33" ht="102" x14ac:dyDescent="0.2">
      <c r="A19" s="50" t="s">
        <v>422</v>
      </c>
      <c r="B19" s="38" t="s">
        <v>416</v>
      </c>
      <c r="C19" s="31" t="s">
        <v>162</v>
      </c>
      <c r="E19" s="51" t="s">
        <v>118</v>
      </c>
      <c r="F19" s="10" t="s">
        <v>117</v>
      </c>
      <c r="G19" s="4">
        <v>0.43057705000000002</v>
      </c>
      <c r="H19" s="4">
        <v>0.47800893</v>
      </c>
      <c r="AA19" s="38" t="s">
        <v>418</v>
      </c>
      <c r="AB19" s="42" t="s">
        <v>420</v>
      </c>
      <c r="AC19" s="43" t="s">
        <v>353</v>
      </c>
      <c r="AE19" s="19">
        <v>3</v>
      </c>
      <c r="AF19" s="19">
        <f>SUM(AE$6:AE19)</f>
        <v>6.34</v>
      </c>
      <c r="AG19" s="19">
        <v>20</v>
      </c>
    </row>
    <row r="20" spans="1:33" ht="136" x14ac:dyDescent="0.2">
      <c r="A20" s="50" t="s">
        <v>422</v>
      </c>
      <c r="B20" s="38" t="s">
        <v>224</v>
      </c>
      <c r="C20" s="31" t="s">
        <v>162</v>
      </c>
      <c r="E20" s="51"/>
      <c r="F20" s="10" t="s">
        <v>138</v>
      </c>
      <c r="G20" s="4">
        <v>0.67</v>
      </c>
      <c r="AA20" s="39" t="s">
        <v>282</v>
      </c>
      <c r="AB20" s="42" t="s">
        <v>294</v>
      </c>
      <c r="AC20" s="43" t="s">
        <v>353</v>
      </c>
      <c r="AE20" s="19">
        <v>6</v>
      </c>
      <c r="AF20" s="19">
        <f>SUM(AE$6:AE20)</f>
        <v>12.34</v>
      </c>
      <c r="AG20" s="19">
        <v>20</v>
      </c>
    </row>
    <row r="21" spans="1:33" ht="34" x14ac:dyDescent="0.2">
      <c r="A21" s="50" t="s">
        <v>422</v>
      </c>
      <c r="B21" s="38" t="s">
        <v>226</v>
      </c>
      <c r="C21" s="31" t="s">
        <v>162</v>
      </c>
      <c r="F21" s="10" t="s">
        <v>116</v>
      </c>
      <c r="G21" s="4">
        <v>150</v>
      </c>
      <c r="H21" s="4">
        <v>100</v>
      </c>
      <c r="AA21" s="38" t="s">
        <v>452</v>
      </c>
      <c r="AB21" s="42" t="s">
        <v>474</v>
      </c>
      <c r="AC21" s="43" t="s">
        <v>343</v>
      </c>
      <c r="AE21" s="19">
        <v>10</v>
      </c>
      <c r="AF21" s="19">
        <f>SUM(AE$6:AE21)</f>
        <v>22.34</v>
      </c>
      <c r="AG21" s="19">
        <v>20</v>
      </c>
    </row>
    <row r="22" spans="1:33" ht="51" x14ac:dyDescent="0.2">
      <c r="A22" s="50" t="s">
        <v>422</v>
      </c>
      <c r="B22" s="38" t="s">
        <v>228</v>
      </c>
      <c r="C22" s="31" t="s">
        <v>162</v>
      </c>
      <c r="F22" s="10" t="s">
        <v>173</v>
      </c>
      <c r="G22" s="4">
        <v>0.3</v>
      </c>
      <c r="H22" s="4">
        <v>0.25</v>
      </c>
      <c r="AA22" s="38" t="s">
        <v>472</v>
      </c>
      <c r="AB22" s="42" t="s">
        <v>475</v>
      </c>
      <c r="AC22" s="44" t="s">
        <v>354</v>
      </c>
      <c r="AE22" s="19"/>
      <c r="AF22" s="19"/>
      <c r="AG22" s="19"/>
    </row>
    <row r="23" spans="1:33" ht="34" x14ac:dyDescent="0.2">
      <c r="A23" s="50" t="s">
        <v>422</v>
      </c>
      <c r="B23" s="38" t="s">
        <v>275</v>
      </c>
      <c r="C23" s="32" t="s">
        <v>174</v>
      </c>
      <c r="F23" s="10" t="s">
        <v>115</v>
      </c>
      <c r="G23" s="4">
        <f>G$21*$G$18</f>
        <v>49.586557499999998</v>
      </c>
      <c r="H23" s="4">
        <f>H$21*$H$18</f>
        <v>37.800893000000002</v>
      </c>
      <c r="AA23" s="38" t="s">
        <v>469</v>
      </c>
      <c r="AB23" s="42" t="s">
        <v>470</v>
      </c>
      <c r="AC23" s="43" t="s">
        <v>429</v>
      </c>
      <c r="AE23" s="19">
        <v>12</v>
      </c>
      <c r="AF23" s="19">
        <f>SUM(AE$6:AE23)</f>
        <v>34.340000000000003</v>
      </c>
      <c r="AG23" s="19">
        <v>20</v>
      </c>
    </row>
    <row r="24" spans="1:33" ht="34" x14ac:dyDescent="0.2">
      <c r="A24" s="50" t="s">
        <v>422</v>
      </c>
      <c r="B24" s="38" t="s">
        <v>227</v>
      </c>
      <c r="C24" s="32" t="s">
        <v>174</v>
      </c>
      <c r="F24" s="10" t="s">
        <v>175</v>
      </c>
      <c r="G24" s="4">
        <f>G21-G23</f>
        <v>100.4134425</v>
      </c>
      <c r="H24" s="4">
        <f>H21-H23</f>
        <v>62.199106999999998</v>
      </c>
      <c r="AA24" s="38" t="s">
        <v>471</v>
      </c>
      <c r="AB24" s="42" t="s">
        <v>473</v>
      </c>
      <c r="AC24" s="43" t="s">
        <v>343</v>
      </c>
      <c r="AE24" s="19">
        <v>13.5</v>
      </c>
      <c r="AF24" s="19">
        <f>SUM(AE$6:AE24)</f>
        <v>47.84</v>
      </c>
      <c r="AG24" s="19">
        <v>20</v>
      </c>
    </row>
    <row r="25" spans="1:33" x14ac:dyDescent="0.2">
      <c r="AB25" s="40"/>
      <c r="AC25" s="43"/>
      <c r="AE25" s="19">
        <v>12</v>
      </c>
      <c r="AF25" s="19">
        <f>SUM(AE$6:AE25)</f>
        <v>59.84</v>
      </c>
      <c r="AG25" s="19">
        <v>20</v>
      </c>
    </row>
    <row r="26" spans="1:33" ht="17" x14ac:dyDescent="0.2">
      <c r="A26" s="50" t="s">
        <v>422</v>
      </c>
      <c r="B26" s="38" t="s">
        <v>159</v>
      </c>
      <c r="C26" s="31" t="s">
        <v>162</v>
      </c>
      <c r="F26" s="10" t="s">
        <v>52</v>
      </c>
      <c r="G26" s="4">
        <v>5000</v>
      </c>
      <c r="H26" s="4">
        <v>50000</v>
      </c>
      <c r="J26" s="4">
        <v>5000</v>
      </c>
      <c r="K26" s="4">
        <v>50000</v>
      </c>
      <c r="M26" s="4">
        <v>5500</v>
      </c>
      <c r="N26" s="4">
        <v>50000</v>
      </c>
      <c r="P26" s="4">
        <v>6000</v>
      </c>
      <c r="Q26" s="4">
        <v>50000</v>
      </c>
      <c r="S26" s="4">
        <v>6500</v>
      </c>
      <c r="T26" s="4">
        <v>49000</v>
      </c>
      <c r="V26" s="4">
        <v>7200</v>
      </c>
      <c r="W26" s="4">
        <v>49500</v>
      </c>
      <c r="Y26" s="4">
        <v>7200</v>
      </c>
      <c r="Z26" s="4">
        <v>49500</v>
      </c>
      <c r="AA26" s="38" t="s">
        <v>424</v>
      </c>
      <c r="AB26" s="42" t="s">
        <v>299</v>
      </c>
      <c r="AC26" s="43" t="s">
        <v>340</v>
      </c>
      <c r="AE26" s="19">
        <v>10</v>
      </c>
      <c r="AF26" s="19">
        <f>SUM(AE$6:AE26)</f>
        <v>69.84</v>
      </c>
      <c r="AG26" s="19">
        <v>20</v>
      </c>
    </row>
    <row r="27" spans="1:33" ht="34" x14ac:dyDescent="0.2">
      <c r="A27" s="50" t="s">
        <v>422</v>
      </c>
      <c r="B27" s="38" t="s">
        <v>274</v>
      </c>
      <c r="C27" s="33" t="s">
        <v>163</v>
      </c>
      <c r="F27" s="14" t="s">
        <v>108</v>
      </c>
      <c r="H27" s="4">
        <f>MAX(H$26-H$14, 0)</f>
        <v>0</v>
      </c>
      <c r="K27" s="4">
        <f>MAX(K$26-K$14, 0)</f>
        <v>0</v>
      </c>
      <c r="N27" s="4">
        <f>MAX(N$26-N$14, 0)</f>
        <v>0</v>
      </c>
      <c r="Q27" s="4">
        <f>MAX(Q$26-Q$14, 0)</f>
        <v>0</v>
      </c>
      <c r="T27" s="4">
        <f>MAX(T$26-T$14, 0)</f>
        <v>0</v>
      </c>
      <c r="W27" s="4">
        <f>MAX(W$26-W$14, 0)</f>
        <v>0</v>
      </c>
      <c r="Z27" s="4">
        <f>MAX(Z$26-Z$14, 0)</f>
        <v>0</v>
      </c>
      <c r="AA27" s="38" t="s">
        <v>423</v>
      </c>
      <c r="AB27" s="42" t="s">
        <v>300</v>
      </c>
      <c r="AC27" s="43" t="s">
        <v>341</v>
      </c>
      <c r="AE27" s="19">
        <v>6</v>
      </c>
      <c r="AF27" s="19">
        <f>SUM(AE$6:AE27)</f>
        <v>75.84</v>
      </c>
      <c r="AG27" s="19">
        <v>20</v>
      </c>
    </row>
    <row r="28" spans="1:33" ht="34" x14ac:dyDescent="0.2">
      <c r="A28" s="50" t="s">
        <v>422</v>
      </c>
      <c r="B28" s="38" t="s">
        <v>160</v>
      </c>
      <c r="C28" s="33" t="s">
        <v>163</v>
      </c>
      <c r="F28" s="14" t="s">
        <v>144</v>
      </c>
      <c r="G28" s="4">
        <f>MIN(G14,G26)</f>
        <v>5000</v>
      </c>
      <c r="H28" s="4">
        <f>MIN(H14,H26)</f>
        <v>50000</v>
      </c>
      <c r="J28" s="4">
        <f>MIN(J14,J26)</f>
        <v>5000</v>
      </c>
      <c r="K28" s="4">
        <f>MIN(K14,K26)</f>
        <v>50000</v>
      </c>
      <c r="M28" s="4">
        <f>MIN(M14,M26)</f>
        <v>5500</v>
      </c>
      <c r="N28" s="4">
        <f>MIN(N14,N26)</f>
        <v>50000</v>
      </c>
      <c r="P28" s="4">
        <f>MIN(P14,P26)</f>
        <v>6000</v>
      </c>
      <c r="Q28" s="4">
        <f>MIN(Q14,Q26)</f>
        <v>50000</v>
      </c>
      <c r="S28" s="4">
        <f>MIN(S14,S26)</f>
        <v>6500</v>
      </c>
      <c r="T28" s="4">
        <f>MIN(T14,T26)</f>
        <v>49000</v>
      </c>
      <c r="V28" s="4">
        <f>MIN(V14,V26)</f>
        <v>7200</v>
      </c>
      <c r="W28" s="4">
        <f>MIN(W14,W26)</f>
        <v>49500</v>
      </c>
      <c r="Y28" s="4">
        <f>MIN(Y14,Y26)</f>
        <v>7200</v>
      </c>
      <c r="Z28" s="4">
        <f>MIN(Z14,Z26)</f>
        <v>49500</v>
      </c>
      <c r="AA28" s="38" t="s">
        <v>425</v>
      </c>
      <c r="AB28" s="42" t="s">
        <v>301</v>
      </c>
      <c r="AC28" s="43" t="s">
        <v>340</v>
      </c>
      <c r="AE28" s="19">
        <v>3</v>
      </c>
      <c r="AF28" s="19">
        <f>SUM(AE$6:AE28)</f>
        <v>78.84</v>
      </c>
      <c r="AG28" s="19">
        <v>20</v>
      </c>
    </row>
    <row r="29" spans="1:33" ht="51" x14ac:dyDescent="0.2">
      <c r="F29" s="15" t="s">
        <v>169</v>
      </c>
      <c r="G29" s="8"/>
      <c r="H29" s="8"/>
      <c r="J29" s="8"/>
      <c r="K29" s="8"/>
      <c r="M29" s="8"/>
      <c r="N29" s="8"/>
      <c r="P29" s="8"/>
      <c r="Q29" s="8"/>
      <c r="S29" s="8"/>
      <c r="T29" s="8"/>
      <c r="V29" s="8"/>
      <c r="W29" s="8"/>
      <c r="Y29" s="8"/>
      <c r="Z29" s="8"/>
      <c r="AB29" s="40"/>
      <c r="AC29" s="43"/>
      <c r="AE29" s="19">
        <v>1.8</v>
      </c>
      <c r="AF29" s="19">
        <f>SUM(AE$6:AE29)</f>
        <v>80.64</v>
      </c>
      <c r="AG29" s="19">
        <v>20</v>
      </c>
    </row>
    <row r="30" spans="1:33" ht="73" customHeight="1" x14ac:dyDescent="0.2">
      <c r="A30" s="50" t="s">
        <v>422</v>
      </c>
      <c r="B30" s="38" t="s">
        <v>273</v>
      </c>
      <c r="C30" s="31" t="s">
        <v>162</v>
      </c>
      <c r="E30" s="51" t="s">
        <v>170</v>
      </c>
      <c r="F30" s="25" t="s">
        <v>68</v>
      </c>
      <c r="G30" s="4">
        <v>0.3</v>
      </c>
      <c r="H30" s="4">
        <v>0.92</v>
      </c>
      <c r="AA30" s="38" t="s">
        <v>321</v>
      </c>
      <c r="AB30" s="42" t="s">
        <v>322</v>
      </c>
      <c r="AC30" s="43" t="s">
        <v>344</v>
      </c>
    </row>
    <row r="31" spans="1:33" ht="73" customHeight="1" x14ac:dyDescent="0.2">
      <c r="A31" s="50" t="s">
        <v>422</v>
      </c>
      <c r="B31" s="38" t="s">
        <v>229</v>
      </c>
      <c r="C31" s="32" t="s">
        <v>174</v>
      </c>
      <c r="E31" s="51"/>
      <c r="F31" s="25" t="s">
        <v>171</v>
      </c>
      <c r="G31" s="4">
        <f>0.00157</f>
        <v>1.57E-3</v>
      </c>
      <c r="H31" s="4">
        <f>G31</f>
        <v>1.57E-3</v>
      </c>
      <c r="J31" s="4">
        <f>G30/G21</f>
        <v>2E-3</v>
      </c>
      <c r="AA31" s="38" t="s">
        <v>430</v>
      </c>
      <c r="AB31" s="42" t="s">
        <v>302</v>
      </c>
      <c r="AC31" s="43" t="s">
        <v>355</v>
      </c>
    </row>
    <row r="32" spans="1:33" ht="18" customHeight="1" x14ac:dyDescent="0.2">
      <c r="E32" s="26"/>
      <c r="AB32" s="40"/>
      <c r="AC32" s="43"/>
    </row>
    <row r="33" spans="1:30" ht="17" x14ac:dyDescent="0.2">
      <c r="F33" s="15" t="s">
        <v>56</v>
      </c>
      <c r="G33" s="8"/>
      <c r="H33" s="8"/>
      <c r="J33" s="8"/>
      <c r="K33" s="8"/>
      <c r="M33" s="8"/>
      <c r="N33" s="8"/>
      <c r="P33" s="8"/>
      <c r="Q33" s="8"/>
      <c r="S33" s="8"/>
      <c r="T33" s="8"/>
      <c r="V33" s="8"/>
      <c r="W33" s="8"/>
      <c r="Y33" s="8"/>
      <c r="Z33" s="8"/>
      <c r="AB33" s="40"/>
      <c r="AC33" s="43"/>
    </row>
    <row r="34" spans="1:30" ht="51" x14ac:dyDescent="0.2">
      <c r="A34" s="50" t="s">
        <v>422</v>
      </c>
      <c r="B34" s="38" t="s">
        <v>168</v>
      </c>
      <c r="C34" s="31" t="s">
        <v>162</v>
      </c>
      <c r="F34" s="10" t="s">
        <v>53</v>
      </c>
      <c r="G34" s="4">
        <v>2000000</v>
      </c>
      <c r="J34" s="4">
        <v>2050000</v>
      </c>
      <c r="M34" s="4">
        <v>2110000</v>
      </c>
      <c r="P34" s="4">
        <v>2210000</v>
      </c>
      <c r="S34" s="4">
        <v>3000000</v>
      </c>
      <c r="V34" s="4">
        <v>25000000</v>
      </c>
      <c r="Y34" s="4">
        <v>2520000</v>
      </c>
      <c r="AA34" s="38" t="s">
        <v>287</v>
      </c>
      <c r="AB34" s="42" t="s">
        <v>303</v>
      </c>
      <c r="AC34" s="43" t="s">
        <v>345</v>
      </c>
    </row>
    <row r="35" spans="1:30" x14ac:dyDescent="0.2">
      <c r="AB35" s="40"/>
      <c r="AC35" s="43"/>
    </row>
    <row r="36" spans="1:30" ht="34" x14ac:dyDescent="0.2">
      <c r="F36" s="11" t="s">
        <v>57</v>
      </c>
      <c r="G36" s="12"/>
      <c r="H36" s="12"/>
      <c r="J36" s="12"/>
      <c r="K36" s="12"/>
      <c r="M36" s="12"/>
      <c r="N36" s="12"/>
      <c r="P36" s="12"/>
      <c r="Q36" s="12"/>
      <c r="S36" s="12"/>
      <c r="T36" s="12"/>
      <c r="V36" s="12"/>
      <c r="W36" s="12"/>
      <c r="Y36" s="12"/>
      <c r="Z36" s="12"/>
      <c r="AB36" s="40"/>
      <c r="AC36" s="43"/>
    </row>
    <row r="37" spans="1:30" ht="51" x14ac:dyDescent="0.2">
      <c r="F37" s="15" t="s">
        <v>139</v>
      </c>
      <c r="G37" s="8" t="s">
        <v>124</v>
      </c>
      <c r="H37" s="8"/>
      <c r="J37" s="4" t="s">
        <v>126</v>
      </c>
      <c r="M37" s="4" t="s">
        <v>126</v>
      </c>
      <c r="O37" s="5" t="s">
        <v>125</v>
      </c>
      <c r="P37" s="4" t="s">
        <v>126</v>
      </c>
      <c r="AB37" s="40"/>
      <c r="AC37" s="43"/>
      <c r="AD37" t="s">
        <v>77</v>
      </c>
    </row>
    <row r="38" spans="1:30" ht="17" x14ac:dyDescent="0.2">
      <c r="B38" s="24" t="s">
        <v>179</v>
      </c>
      <c r="F38" s="14" t="s">
        <v>88</v>
      </c>
      <c r="H38" s="4">
        <v>0</v>
      </c>
      <c r="I38" s="5">
        <f>SUM(K$38:K38)</f>
        <v>0</v>
      </c>
      <c r="K38" s="4">
        <v>0</v>
      </c>
      <c r="L38" s="5">
        <f>SUM(N$38:N38)</f>
        <v>0</v>
      </c>
      <c r="N38" s="4">
        <v>0</v>
      </c>
      <c r="O38" s="5">
        <f>SUM(Q$38:Q38)</f>
        <v>0</v>
      </c>
      <c r="Q38" s="4">
        <v>0</v>
      </c>
      <c r="R38" s="5">
        <f>SUM(T$38:T38)</f>
        <v>0</v>
      </c>
      <c r="T38" s="4">
        <v>0</v>
      </c>
      <c r="U38" s="5">
        <f>SUM(W$38:W38)</f>
        <v>0</v>
      </c>
      <c r="W38" s="4">
        <v>0</v>
      </c>
      <c r="X38" s="5">
        <f>SUM(Z$38:Z38)</f>
        <v>0</v>
      </c>
      <c r="Z38" s="4">
        <v>0</v>
      </c>
      <c r="AB38" s="40"/>
      <c r="AC38" s="43"/>
    </row>
    <row r="39" spans="1:30" ht="17" x14ac:dyDescent="0.2">
      <c r="A39" s="50" t="s">
        <v>422</v>
      </c>
      <c r="B39" s="37" t="s">
        <v>306</v>
      </c>
      <c r="C39" s="55" t="s">
        <v>174</v>
      </c>
      <c r="F39" s="14" t="s">
        <v>87</v>
      </c>
      <c r="G39" s="4">
        <v>0</v>
      </c>
      <c r="H39" s="4">
        <f>H13</f>
        <v>85</v>
      </c>
      <c r="I39" s="5">
        <f>SUM(H$38:H39)</f>
        <v>85</v>
      </c>
      <c r="J39" s="4">
        <f>IF(I39&gt;=K$11, IF(I38&lt;K$11, K$11-I38, 0),H39)</f>
        <v>0</v>
      </c>
      <c r="K39" s="4">
        <f>H39-J39</f>
        <v>85</v>
      </c>
      <c r="L39" s="5">
        <f>SUM(K$38:K39)</f>
        <v>85</v>
      </c>
      <c r="M39" s="4">
        <f>IF(L39&gt;=N$11, IF(L38&lt;N$11, N$11-L38, 0),K39)</f>
        <v>0</v>
      </c>
      <c r="N39" s="4">
        <f>K39-M39</f>
        <v>85</v>
      </c>
      <c r="O39" s="5">
        <f>SUM(N$38:N39)</f>
        <v>85</v>
      </c>
      <c r="P39" s="4">
        <f>IF(O39&gt;=Q$11, IF(O38&lt;Q$11, Q$11-O38, 0),N39)</f>
        <v>0</v>
      </c>
      <c r="Q39" s="4">
        <f>N39-P39</f>
        <v>85</v>
      </c>
      <c r="R39" s="5">
        <f>SUM(Q$38:Q39)</f>
        <v>85</v>
      </c>
      <c r="S39" s="4">
        <f>IF(R39&gt;=T$11, IF(R38&lt;T$11, T$11-R38, 0),Q39)</f>
        <v>0</v>
      </c>
      <c r="T39" s="4">
        <f>Q39-S39</f>
        <v>85</v>
      </c>
      <c r="U39" s="5">
        <f>SUM(T$38:T39)</f>
        <v>85</v>
      </c>
      <c r="V39" s="4">
        <f>IF(U39&gt;=W$11, IF(U38&lt;W$11, W$11-U38, 0),T39)</f>
        <v>0</v>
      </c>
      <c r="W39" s="4">
        <f>T39-V39</f>
        <v>85</v>
      </c>
      <c r="X39" s="5">
        <f>SUM(W$38:W39)</f>
        <v>85</v>
      </c>
      <c r="Y39" s="4">
        <f>IF(X39&gt;=Z$11, IF(X38&lt;Z$11, Z$11-X38, 0),W39)</f>
        <v>0</v>
      </c>
      <c r="Z39" s="4">
        <f>W39-Y39</f>
        <v>85</v>
      </c>
      <c r="AA39" s="38" t="s">
        <v>316</v>
      </c>
      <c r="AB39" s="42" t="s">
        <v>389</v>
      </c>
      <c r="AC39" s="43" t="s">
        <v>340</v>
      </c>
    </row>
    <row r="40" spans="1:30" ht="17" x14ac:dyDescent="0.2">
      <c r="A40" s="50" t="s">
        <v>422</v>
      </c>
      <c r="B40" s="38" t="s">
        <v>307</v>
      </c>
      <c r="C40" s="55"/>
      <c r="F40" s="14" t="s">
        <v>69</v>
      </c>
      <c r="G40" s="4">
        <v>0</v>
      </c>
      <c r="H40" s="4">
        <v>0</v>
      </c>
      <c r="I40" s="5">
        <f>SUM(H$38:H40)</f>
        <v>85</v>
      </c>
      <c r="J40" s="4">
        <f>IF(I40&gt;=K$11, IF(I39&lt;K$11, K$11-I39, 0),H40)</f>
        <v>0</v>
      </c>
      <c r="K40" s="4">
        <f>K13</f>
        <v>80</v>
      </c>
      <c r="L40" s="5">
        <f>SUM(K$38:K40)</f>
        <v>165</v>
      </c>
      <c r="M40" s="4">
        <f>IF(L40&gt;=N$11, IF(L39&lt;N$11, N$11-L39, 0),K40)</f>
        <v>0</v>
      </c>
      <c r="N40" s="4">
        <f>K40-M40</f>
        <v>80</v>
      </c>
      <c r="O40" s="5">
        <f>SUM(N$38:N40)</f>
        <v>165</v>
      </c>
      <c r="P40" s="4">
        <f t="shared" ref="P40:P42" si="0">IF(O40&gt;=Q$11, IF(O39&lt;Q$11, Q$11-O39, 0),N40)</f>
        <v>0</v>
      </c>
      <c r="Q40" s="4">
        <f>N40-P40</f>
        <v>80</v>
      </c>
      <c r="R40" s="5">
        <f>SUM(Q$38:Q40)</f>
        <v>165</v>
      </c>
      <c r="S40" s="4">
        <f t="shared" ref="S40:S42" si="1">IF(R40&gt;=T$11, IF(R39&lt;T$11, T$11-R39, 0),Q40)</f>
        <v>0</v>
      </c>
      <c r="T40" s="4">
        <f>Q40-S40</f>
        <v>80</v>
      </c>
      <c r="U40" s="5">
        <f>SUM(T$38:T40)</f>
        <v>165</v>
      </c>
      <c r="V40" s="4">
        <f t="shared" ref="V40:V42" si="2">IF(U40&gt;=W$11, IF(U39&lt;W$11, W$11-U39, 0),T40)</f>
        <v>0</v>
      </c>
      <c r="W40" s="4">
        <f>T40-V40</f>
        <v>80</v>
      </c>
      <c r="X40" s="5">
        <f>SUM(W$38:W40)</f>
        <v>165</v>
      </c>
      <c r="Y40" s="4">
        <f t="shared" ref="Y40:Y42" si="3">IF(X40&gt;=Z$11, IF(X39&lt;Z$11, Z$11-X39, 0),W40)</f>
        <v>0</v>
      </c>
      <c r="Z40" s="4">
        <f>W40-Y40</f>
        <v>80</v>
      </c>
      <c r="AA40" s="38" t="s">
        <v>317</v>
      </c>
      <c r="AB40" s="42" t="s">
        <v>390</v>
      </c>
      <c r="AC40" s="43" t="s">
        <v>340</v>
      </c>
    </row>
    <row r="41" spans="1:30" ht="17" x14ac:dyDescent="0.2">
      <c r="A41" s="50" t="s">
        <v>422</v>
      </c>
      <c r="B41" s="38" t="s">
        <v>308</v>
      </c>
      <c r="C41" s="55"/>
      <c r="F41" s="14" t="s">
        <v>79</v>
      </c>
      <c r="G41" s="4">
        <v>0</v>
      </c>
      <c r="H41" s="4">
        <v>0</v>
      </c>
      <c r="I41" s="5">
        <f>SUM(H$38:H41)</f>
        <v>85</v>
      </c>
      <c r="J41" s="4">
        <f>IF(I41&gt;=K$11, IF(I40&lt;K$11, K$11-I40, 0),H41)</f>
        <v>0</v>
      </c>
      <c r="K41" s="4">
        <v>0</v>
      </c>
      <c r="L41" s="5">
        <f>SUM(K$38:K41)</f>
        <v>165</v>
      </c>
      <c r="M41" s="4">
        <f t="shared" ref="M41:M42" si="4">IF(L41&gt;=N$11, IF(L40&lt;N$11, N$11-L40, 0),K41)</f>
        <v>0</v>
      </c>
      <c r="N41" s="4">
        <f>N13</f>
        <v>92</v>
      </c>
      <c r="O41" s="5">
        <f>SUM(N$38:N41)</f>
        <v>257</v>
      </c>
      <c r="P41" s="4">
        <f t="shared" si="0"/>
        <v>0</v>
      </c>
      <c r="Q41" s="4">
        <f>N41-P41</f>
        <v>92</v>
      </c>
      <c r="R41" s="5">
        <f>SUM(Q$38:Q41)</f>
        <v>257</v>
      </c>
      <c r="S41" s="4">
        <f t="shared" si="1"/>
        <v>0</v>
      </c>
      <c r="T41" s="4">
        <f>Q41-S41</f>
        <v>92</v>
      </c>
      <c r="U41" s="5">
        <f>SUM(T$38:T41)</f>
        <v>257</v>
      </c>
      <c r="V41" s="4">
        <f t="shared" si="2"/>
        <v>0</v>
      </c>
      <c r="W41" s="4">
        <f>T41-V41</f>
        <v>92</v>
      </c>
      <c r="X41" s="5">
        <f>SUM(W$38:W41)</f>
        <v>257</v>
      </c>
      <c r="Y41" s="4">
        <f t="shared" si="3"/>
        <v>0</v>
      </c>
      <c r="Z41" s="4">
        <f>W41-Y41</f>
        <v>92</v>
      </c>
      <c r="AA41" s="38" t="s">
        <v>335</v>
      </c>
      <c r="AB41" s="42" t="s">
        <v>391</v>
      </c>
      <c r="AC41" s="43" t="s">
        <v>340</v>
      </c>
    </row>
    <row r="42" spans="1:30" ht="17" x14ac:dyDescent="0.2">
      <c r="B42" s="38"/>
      <c r="C42" s="55"/>
      <c r="F42" s="14" t="s">
        <v>80</v>
      </c>
      <c r="G42" s="4">
        <v>0</v>
      </c>
      <c r="H42" s="4">
        <v>0</v>
      </c>
      <c r="I42" s="5">
        <f>SUM(H$38:H42)</f>
        <v>85</v>
      </c>
      <c r="J42" s="4">
        <f>IF(I42&gt;=K$11, IF(I41&lt;K$11, K$11-I41, 0),H42)</f>
        <v>0</v>
      </c>
      <c r="K42" s="4">
        <v>0</v>
      </c>
      <c r="L42" s="5">
        <f>SUM(K$38:K42)</f>
        <v>165</v>
      </c>
      <c r="M42" s="4">
        <f t="shared" si="4"/>
        <v>0</v>
      </c>
      <c r="N42" s="4">
        <v>0</v>
      </c>
      <c r="O42" s="5">
        <f>SUM(N$38:N42)</f>
        <v>257</v>
      </c>
      <c r="P42" s="4">
        <f t="shared" si="0"/>
        <v>0</v>
      </c>
      <c r="Q42" s="4">
        <f>Q13</f>
        <v>43</v>
      </c>
      <c r="R42" s="5">
        <f>SUM(Q$38:Q42)</f>
        <v>300</v>
      </c>
      <c r="S42" s="4">
        <f t="shared" si="1"/>
        <v>0</v>
      </c>
      <c r="T42" s="4">
        <f>Q42-S42</f>
        <v>43</v>
      </c>
      <c r="U42" s="5">
        <f>SUM(T$38:T42)</f>
        <v>300</v>
      </c>
      <c r="V42" s="4">
        <f t="shared" si="2"/>
        <v>0</v>
      </c>
      <c r="W42" s="4">
        <f>T42-V42</f>
        <v>43</v>
      </c>
      <c r="X42" s="5">
        <f>SUM(W$38:W42)</f>
        <v>300</v>
      </c>
      <c r="Y42" s="4">
        <f t="shared" si="3"/>
        <v>0</v>
      </c>
      <c r="Z42" s="4">
        <f>W42-Y42</f>
        <v>43</v>
      </c>
      <c r="AA42" s="38"/>
      <c r="AB42" s="42"/>
      <c r="AC42" s="43"/>
    </row>
    <row r="43" spans="1:30" ht="17" x14ac:dyDescent="0.2">
      <c r="F43" s="14" t="s">
        <v>82</v>
      </c>
      <c r="AB43" s="40"/>
      <c r="AC43" s="43"/>
    </row>
    <row r="44" spans="1:30" ht="34" x14ac:dyDescent="0.2">
      <c r="A44" s="50" t="s">
        <v>422</v>
      </c>
      <c r="B44" s="56" t="s">
        <v>189</v>
      </c>
      <c r="C44" s="55" t="s">
        <v>174</v>
      </c>
      <c r="F44" s="14" t="s">
        <v>193</v>
      </c>
      <c r="H44" s="4">
        <v>0</v>
      </c>
      <c r="K44" s="4">
        <f>IF(H39=0, 0, H98*J39/H39)</f>
        <v>0</v>
      </c>
      <c r="N44" s="4">
        <f>IF(K39=0, 0, K98*M39/K39)</f>
        <v>0</v>
      </c>
      <c r="Q44" s="4">
        <f>IF(N39=0, 0, N98*P39/N39)</f>
        <v>0</v>
      </c>
      <c r="T44" s="4">
        <f>IF(Q39=0, 0, Q98*S39/Q39)</f>
        <v>0</v>
      </c>
      <c r="W44" s="4">
        <f>IF(T39=0, 0, T98*V39/T39)</f>
        <v>0</v>
      </c>
      <c r="Z44" s="4">
        <f>IF(W39=0, 0, W98*Y39/W39)</f>
        <v>0</v>
      </c>
      <c r="AA44" s="38" t="s">
        <v>288</v>
      </c>
      <c r="AB44" s="42" t="s">
        <v>392</v>
      </c>
      <c r="AC44" s="43" t="s">
        <v>346</v>
      </c>
    </row>
    <row r="45" spans="1:30" ht="34" x14ac:dyDescent="0.2">
      <c r="B45" s="56"/>
      <c r="C45" s="55"/>
      <c r="F45" s="14" t="s">
        <v>194</v>
      </c>
      <c r="H45" s="4">
        <v>0</v>
      </c>
      <c r="K45" s="4">
        <f>IF(H40=0, 0, H99*J40/H40)</f>
        <v>0</v>
      </c>
      <c r="N45" s="4">
        <f>IF(K40=0, 0, K99*M40/K40)</f>
        <v>0</v>
      </c>
      <c r="Q45" s="4">
        <f>IF(N40=0, 0, N99*P40/N40)</f>
        <v>0</v>
      </c>
      <c r="T45" s="4">
        <f>IF(Q40=0, 0, Q99*S40/Q40)</f>
        <v>0</v>
      </c>
      <c r="W45" s="4">
        <f>IF(T40=0, 0, T99*V40/T40)</f>
        <v>0</v>
      </c>
      <c r="Z45" s="4">
        <f>IF(W40=0, 0, W99*Y40/W40)</f>
        <v>0</v>
      </c>
      <c r="AA45" s="38"/>
      <c r="AB45" s="42"/>
      <c r="AC45" s="43"/>
    </row>
    <row r="46" spans="1:30" ht="34" x14ac:dyDescent="0.2">
      <c r="B46" s="56"/>
      <c r="C46" s="55"/>
      <c r="F46" s="14" t="s">
        <v>195</v>
      </c>
      <c r="H46" s="4">
        <v>0</v>
      </c>
      <c r="K46" s="4">
        <f>IF(H41=0, 0, H100*J41/H41)</f>
        <v>0</v>
      </c>
      <c r="N46" s="4">
        <f>IF(K41=0, 0, K100*M41/K41)</f>
        <v>0</v>
      </c>
      <c r="Q46" s="4">
        <f>IF(N41=0, 0, N100*P41/N41)</f>
        <v>0</v>
      </c>
      <c r="T46" s="4">
        <f>IF(Q41=0, 0, Q100*S41/Q41)</f>
        <v>0</v>
      </c>
      <c r="W46" s="4">
        <f>IF(T41=0, 0, T100*V41/T41)</f>
        <v>0</v>
      </c>
      <c r="Z46" s="4">
        <f>IF(W41=0, 0, W100*Y41/W41)</f>
        <v>0</v>
      </c>
      <c r="AA46" s="38"/>
      <c r="AB46" s="42"/>
      <c r="AC46" s="43"/>
    </row>
    <row r="47" spans="1:30" ht="34" x14ac:dyDescent="0.2">
      <c r="B47" s="56"/>
      <c r="C47" s="55"/>
      <c r="F47" s="14" t="s">
        <v>196</v>
      </c>
      <c r="H47" s="4">
        <v>0</v>
      </c>
      <c r="K47" s="4">
        <f>IF(H42=0, 0, H101*J42/H42)</f>
        <v>0</v>
      </c>
      <c r="N47" s="4">
        <f>IF(K42=0, 0, K101*M42/K42)</f>
        <v>0</v>
      </c>
      <c r="Q47" s="4">
        <f>IF(N42=0, 0, N101*P42/N42)</f>
        <v>0</v>
      </c>
      <c r="T47" s="4">
        <f>IF(Q42=0, 0, Q101*S42/Q42)</f>
        <v>0</v>
      </c>
      <c r="W47" s="4">
        <f>IF(T42=0, 0, T101*V42/T42)</f>
        <v>0</v>
      </c>
      <c r="Z47" s="4">
        <f>IF(W42=0, 0, W101*Y42/W42)</f>
        <v>0</v>
      </c>
      <c r="AA47" s="38"/>
      <c r="AB47" s="42"/>
      <c r="AC47" s="43"/>
    </row>
    <row r="48" spans="1:30" x14ac:dyDescent="0.2">
      <c r="A48" s="50" t="s">
        <v>422</v>
      </c>
      <c r="B48" s="38" t="s">
        <v>190</v>
      </c>
      <c r="C48" s="28" t="s">
        <v>174</v>
      </c>
      <c r="F48" s="14"/>
      <c r="H48" s="4">
        <f>SUM(H44:H47)</f>
        <v>0</v>
      </c>
      <c r="K48" s="4">
        <f>SUM(K44:K47)</f>
        <v>0</v>
      </c>
      <c r="N48" s="4">
        <f>SUM(N44:N47)</f>
        <v>0</v>
      </c>
      <c r="Q48" s="4">
        <f>SUM(Q44:Q47)</f>
        <v>0</v>
      </c>
      <c r="T48" s="4">
        <f>SUM(T44:T47)</f>
        <v>0</v>
      </c>
      <c r="W48" s="4">
        <f>SUM(W44:W47)</f>
        <v>0</v>
      </c>
      <c r="Z48" s="4">
        <f>SUM(Z44:Z47)</f>
        <v>0</v>
      </c>
      <c r="AA48" s="38" t="s">
        <v>289</v>
      </c>
      <c r="AB48" s="42" t="s">
        <v>404</v>
      </c>
      <c r="AC48" s="43" t="s">
        <v>347</v>
      </c>
    </row>
    <row r="49" spans="1:29" ht="17" x14ac:dyDescent="0.2">
      <c r="F49" s="14" t="s">
        <v>82</v>
      </c>
      <c r="AB49" s="40"/>
      <c r="AC49" s="43"/>
    </row>
    <row r="50" spans="1:29" ht="51" x14ac:dyDescent="0.2">
      <c r="A50" s="50" t="s">
        <v>422</v>
      </c>
      <c r="B50" s="56" t="s">
        <v>258</v>
      </c>
      <c r="C50" s="55" t="s">
        <v>174</v>
      </c>
      <c r="E50" s="51" t="s">
        <v>246</v>
      </c>
      <c r="F50" s="14" t="s">
        <v>245</v>
      </c>
      <c r="H50" s="4">
        <f>MIN(H44,H$16*G39)</f>
        <v>0</v>
      </c>
      <c r="K50" s="4">
        <f>MIN(K44,K$16*J39)</f>
        <v>0</v>
      </c>
      <c r="N50" s="4">
        <f>MIN(N44,N$16*M39)</f>
        <v>0</v>
      </c>
      <c r="Q50" s="4">
        <f>MIN(Q44,Q$16*P39)</f>
        <v>0</v>
      </c>
      <c r="T50" s="4">
        <f>MIN(T44,T$16*S39)</f>
        <v>0</v>
      </c>
      <c r="W50" s="4">
        <f>MIN(W44,W$16*V39)</f>
        <v>0</v>
      </c>
      <c r="Z50" s="4">
        <f>MIN(Z44,Z$16*Y39)</f>
        <v>0</v>
      </c>
      <c r="AA50" s="38" t="s">
        <v>325</v>
      </c>
      <c r="AB50" s="42" t="s">
        <v>393</v>
      </c>
      <c r="AC50" s="43" t="s">
        <v>346</v>
      </c>
    </row>
    <row r="51" spans="1:29" ht="51" x14ac:dyDescent="0.2">
      <c r="B51" s="56"/>
      <c r="C51" s="55"/>
      <c r="E51" s="51"/>
      <c r="F51" s="14" t="s">
        <v>247</v>
      </c>
      <c r="H51" s="4">
        <f>MIN(H45,H$16*G40)</f>
        <v>0</v>
      </c>
      <c r="K51" s="4">
        <f>MIN(K45,K$16*J40)</f>
        <v>0</v>
      </c>
      <c r="N51" s="4">
        <f>MIN(N45,N$16*M40)</f>
        <v>0</v>
      </c>
      <c r="Q51" s="4">
        <f t="shared" ref="Q51" si="5">MIN(Q45,Q$16*P40)</f>
        <v>0</v>
      </c>
      <c r="T51" s="4">
        <f t="shared" ref="T51" si="6">MIN(T45,T$16*S40)</f>
        <v>0</v>
      </c>
      <c r="W51" s="4">
        <f t="shared" ref="W51" si="7">MIN(W45,W$16*V40)</f>
        <v>0</v>
      </c>
      <c r="Z51" s="4">
        <f t="shared" ref="Z51" si="8">MIN(Z45,Z$16*Y40)</f>
        <v>0</v>
      </c>
      <c r="AA51" s="38"/>
      <c r="AB51" s="42"/>
      <c r="AC51" s="43"/>
    </row>
    <row r="52" spans="1:29" ht="51" x14ac:dyDescent="0.2">
      <c r="B52" s="56"/>
      <c r="C52" s="55"/>
      <c r="E52" s="51"/>
      <c r="F52" s="14" t="s">
        <v>248</v>
      </c>
      <c r="H52" s="4">
        <f>MIN(H46,H$16*G41)</f>
        <v>0</v>
      </c>
      <c r="K52" s="4">
        <f>MIN(K46,K$16*J41)</f>
        <v>0</v>
      </c>
      <c r="N52" s="4">
        <f>MIN(N46,N$16*M41)</f>
        <v>0</v>
      </c>
      <c r="Q52" s="4">
        <f>MIN(Q46,Q$16*P41)</f>
        <v>0</v>
      </c>
      <c r="T52" s="4">
        <f>MIN(T46,T$16*S41)</f>
        <v>0</v>
      </c>
      <c r="W52" s="4">
        <f>MIN(W46,W$16*V41)</f>
        <v>0</v>
      </c>
      <c r="Z52" s="4">
        <f>MIN(Z46,Z$16*Y41)</f>
        <v>0</v>
      </c>
      <c r="AA52" s="38"/>
      <c r="AB52" s="42"/>
      <c r="AC52" s="43"/>
    </row>
    <row r="53" spans="1:29" ht="51" x14ac:dyDescent="0.2">
      <c r="B53" s="56"/>
      <c r="C53" s="55"/>
      <c r="E53" s="51"/>
      <c r="F53" s="14" t="s">
        <v>249</v>
      </c>
      <c r="H53" s="4">
        <f>MIN(H47,H$16*G42)</f>
        <v>0</v>
      </c>
      <c r="K53" s="4">
        <f>MIN(K47,K$16*J42)</f>
        <v>0</v>
      </c>
      <c r="N53" s="4">
        <f>MIN(N47,N$16*M42)</f>
        <v>0</v>
      </c>
      <c r="Q53" s="4">
        <f>MIN(Q47,Q$16*P42)</f>
        <v>0</v>
      </c>
      <c r="T53" s="4">
        <f>MIN(T47,T$16*S42)</f>
        <v>0</v>
      </c>
      <c r="W53" s="4">
        <f>MIN(W47,W$16*V42)</f>
        <v>0</v>
      </c>
      <c r="Z53" s="4">
        <f>MIN(Z47,Z$16*Y42)</f>
        <v>0</v>
      </c>
      <c r="AA53" s="38"/>
      <c r="AB53" s="42"/>
      <c r="AC53" s="43"/>
    </row>
    <row r="54" spans="1:29" x14ac:dyDescent="0.2">
      <c r="A54" s="50" t="s">
        <v>422</v>
      </c>
      <c r="B54" s="38" t="s">
        <v>259</v>
      </c>
      <c r="C54" s="28" t="s">
        <v>174</v>
      </c>
      <c r="F54" s="14"/>
      <c r="H54" s="4">
        <f>SUM(H50:H53)</f>
        <v>0</v>
      </c>
      <c r="K54" s="4">
        <f>SUM(K50:K53)</f>
        <v>0</v>
      </c>
      <c r="N54" s="4">
        <f>SUM(N50:N53)</f>
        <v>0</v>
      </c>
      <c r="Q54" s="4">
        <f>SUM(Q50:Q53)</f>
        <v>0</v>
      </c>
      <c r="T54" s="4">
        <f>SUM(T50:T53)</f>
        <v>0</v>
      </c>
      <c r="W54" s="4">
        <f>SUM(W50:W53)</f>
        <v>0</v>
      </c>
      <c r="Z54" s="4">
        <f>SUM(Z50:Z53)</f>
        <v>0</v>
      </c>
      <c r="AA54" s="38" t="s">
        <v>324</v>
      </c>
      <c r="AB54" s="42" t="s">
        <v>405</v>
      </c>
      <c r="AC54" s="43" t="s">
        <v>347</v>
      </c>
    </row>
    <row r="55" spans="1:29" x14ac:dyDescent="0.2">
      <c r="A55" s="50" t="s">
        <v>422</v>
      </c>
      <c r="B55" s="38" t="s">
        <v>261</v>
      </c>
      <c r="C55" s="28"/>
      <c r="F55" s="14"/>
      <c r="H55" s="4">
        <f>H48-H54</f>
        <v>0</v>
      </c>
      <c r="K55" s="4">
        <f>K48-K54</f>
        <v>0</v>
      </c>
      <c r="N55" s="4">
        <f>N48-N54</f>
        <v>0</v>
      </c>
      <c r="Q55" s="4">
        <f>Q48-Q54</f>
        <v>0</v>
      </c>
      <c r="T55" s="4">
        <f>T48-T54</f>
        <v>0</v>
      </c>
      <c r="W55" s="4">
        <f>W48-W54</f>
        <v>0</v>
      </c>
      <c r="Z55" s="4">
        <f>Z48-Z54</f>
        <v>0</v>
      </c>
      <c r="AA55" s="38" t="s">
        <v>323</v>
      </c>
      <c r="AB55" s="42" t="s">
        <v>406</v>
      </c>
      <c r="AC55" s="43" t="s">
        <v>347</v>
      </c>
    </row>
    <row r="56" spans="1:29" x14ac:dyDescent="0.2">
      <c r="F56" s="14"/>
      <c r="AB56" s="42"/>
      <c r="AC56" s="43"/>
    </row>
    <row r="57" spans="1:29" ht="34" x14ac:dyDescent="0.2">
      <c r="A57" s="50" t="s">
        <v>422</v>
      </c>
      <c r="B57" s="56" t="s">
        <v>191</v>
      </c>
      <c r="C57" s="55" t="s">
        <v>174</v>
      </c>
      <c r="F57" s="14" t="s">
        <v>197</v>
      </c>
      <c r="H57" s="4">
        <f>H44*$H$22</f>
        <v>0</v>
      </c>
      <c r="K57" s="4">
        <f>K44*$H$22</f>
        <v>0</v>
      </c>
      <c r="N57" s="4">
        <f>N44*$H$22</f>
        <v>0</v>
      </c>
      <c r="Q57" s="4">
        <f>Q44*$H$22</f>
        <v>0</v>
      </c>
      <c r="T57" s="4">
        <f>T44*$H$22</f>
        <v>0</v>
      </c>
      <c r="W57" s="4">
        <f>W44*$H$22</f>
        <v>0</v>
      </c>
      <c r="Z57" s="4">
        <f>Z44*$H$22</f>
        <v>0</v>
      </c>
      <c r="AA57" s="38" t="s">
        <v>290</v>
      </c>
      <c r="AB57" s="42" t="s">
        <v>394</v>
      </c>
      <c r="AC57" s="43" t="s">
        <v>346</v>
      </c>
    </row>
    <row r="58" spans="1:29" ht="34" x14ac:dyDescent="0.2">
      <c r="B58" s="56"/>
      <c r="C58" s="55"/>
      <c r="F58" s="14" t="s">
        <v>198</v>
      </c>
      <c r="H58" s="4">
        <f>H45*$H$22</f>
        <v>0</v>
      </c>
      <c r="K58" s="4">
        <f>K45*$H$22</f>
        <v>0</v>
      </c>
      <c r="N58" s="4">
        <f>N45*$H$22</f>
        <v>0</v>
      </c>
      <c r="Q58" s="4">
        <f>Q45*$H$22</f>
        <v>0</v>
      </c>
      <c r="T58" s="4">
        <f>T45*$H$22</f>
        <v>0</v>
      </c>
      <c r="W58" s="4">
        <f>W45*$H$22</f>
        <v>0</v>
      </c>
      <c r="Z58" s="4">
        <f>Z45*$H$22</f>
        <v>0</v>
      </c>
      <c r="AA58" s="38"/>
      <c r="AB58" s="42"/>
      <c r="AC58" s="43"/>
    </row>
    <row r="59" spans="1:29" ht="34" x14ac:dyDescent="0.2">
      <c r="B59" s="56"/>
      <c r="C59" s="55"/>
      <c r="F59" s="14" t="s">
        <v>199</v>
      </c>
      <c r="H59" s="4">
        <f>H46*$H$22</f>
        <v>0</v>
      </c>
      <c r="K59" s="4">
        <f>K46*$H$22</f>
        <v>0</v>
      </c>
      <c r="N59" s="4">
        <f>N46*$H$22</f>
        <v>0</v>
      </c>
      <c r="Q59" s="4">
        <f>Q46*$H$22</f>
        <v>0</v>
      </c>
      <c r="T59" s="4">
        <f>T46*$H$22</f>
        <v>0</v>
      </c>
      <c r="W59" s="4">
        <f>W46*$H$22</f>
        <v>0</v>
      </c>
      <c r="Z59" s="4">
        <f>Z46*$H$22</f>
        <v>0</v>
      </c>
      <c r="AA59" s="38"/>
      <c r="AB59" s="42"/>
      <c r="AC59" s="43"/>
    </row>
    <row r="60" spans="1:29" ht="34" x14ac:dyDescent="0.2">
      <c r="B60" s="56"/>
      <c r="C60" s="55"/>
      <c r="F60" s="14" t="s">
        <v>200</v>
      </c>
      <c r="H60" s="4">
        <f>H47*$H$22</f>
        <v>0</v>
      </c>
      <c r="K60" s="4">
        <f>K47*$H$22</f>
        <v>0</v>
      </c>
      <c r="N60" s="4">
        <f>N47*$H$22</f>
        <v>0</v>
      </c>
      <c r="Q60" s="4">
        <f>Q47*$H$22</f>
        <v>0</v>
      </c>
      <c r="T60" s="4">
        <f>T47*$H$22</f>
        <v>0</v>
      </c>
      <c r="W60" s="4">
        <f>W47*$H$22</f>
        <v>0</v>
      </c>
      <c r="Z60" s="4">
        <f>Z47*$H$22</f>
        <v>0</v>
      </c>
      <c r="AA60" s="38"/>
      <c r="AB60" s="42"/>
      <c r="AC60" s="43"/>
    </row>
    <row r="61" spans="1:29" x14ac:dyDescent="0.2">
      <c r="A61" s="50" t="s">
        <v>422</v>
      </c>
      <c r="B61" s="38" t="s">
        <v>192</v>
      </c>
      <c r="C61" s="28" t="s">
        <v>174</v>
      </c>
      <c r="F61" s="14"/>
      <c r="H61" s="4">
        <f>SUM(H57:H60)</f>
        <v>0</v>
      </c>
      <c r="K61" s="4">
        <f>SUM(K57:K60)</f>
        <v>0</v>
      </c>
      <c r="N61" s="4">
        <f>SUM(N57:N60)</f>
        <v>0</v>
      </c>
      <c r="Q61" s="4">
        <f>SUM(Q57:Q60)</f>
        <v>0</v>
      </c>
      <c r="T61" s="4">
        <f>SUM(T57:T60)</f>
        <v>0</v>
      </c>
      <c r="W61" s="4">
        <f>SUM(W57:W60)</f>
        <v>0</v>
      </c>
      <c r="Z61" s="4">
        <f>SUM(Z57:Z60)</f>
        <v>0</v>
      </c>
      <c r="AA61" s="38" t="s">
        <v>291</v>
      </c>
      <c r="AB61" s="42" t="s">
        <v>407</v>
      </c>
      <c r="AC61" s="43" t="s">
        <v>347</v>
      </c>
    </row>
    <row r="62" spans="1:29" x14ac:dyDescent="0.2">
      <c r="F62" s="14"/>
      <c r="AB62" s="42"/>
      <c r="AC62" s="43"/>
    </row>
    <row r="63" spans="1:29" ht="34" x14ac:dyDescent="0.2">
      <c r="A63" s="50" t="s">
        <v>422</v>
      </c>
      <c r="B63" s="56" t="s">
        <v>178</v>
      </c>
      <c r="C63" s="55" t="s">
        <v>174</v>
      </c>
      <c r="F63" s="14" t="s">
        <v>90</v>
      </c>
      <c r="H63" s="4">
        <f>AE6</f>
        <v>0</v>
      </c>
      <c r="K63" s="4">
        <f>AE7</f>
        <v>0.01</v>
      </c>
      <c r="N63" s="4">
        <f>AE8</f>
        <v>0.05</v>
      </c>
      <c r="Q63" s="4">
        <f>AE9</f>
        <v>0.12</v>
      </c>
      <c r="T63" s="4">
        <f>AE11</f>
        <v>0.2</v>
      </c>
      <c r="W63" s="4">
        <f>AE13</f>
        <v>0.36</v>
      </c>
      <c r="Z63" s="4">
        <f>AE15</f>
        <v>0.6</v>
      </c>
      <c r="AA63" s="38" t="s">
        <v>312</v>
      </c>
      <c r="AB63" s="42" t="s">
        <v>395</v>
      </c>
      <c r="AC63" s="43" t="s">
        <v>346</v>
      </c>
    </row>
    <row r="64" spans="1:29" ht="34" x14ac:dyDescent="0.2">
      <c r="B64" s="56"/>
      <c r="C64" s="55"/>
      <c r="F64" s="14" t="s">
        <v>91</v>
      </c>
      <c r="H64" s="4">
        <v>0</v>
      </c>
      <c r="K64" s="4">
        <v>0</v>
      </c>
      <c r="N64" s="4">
        <f>AE7</f>
        <v>0.01</v>
      </c>
      <c r="Q64" s="4">
        <f>AE8</f>
        <v>0.05</v>
      </c>
      <c r="T64" s="4">
        <f>AE9</f>
        <v>0.12</v>
      </c>
      <c r="W64" s="4">
        <f>AE11</f>
        <v>0.2</v>
      </c>
      <c r="Z64" s="4">
        <f>AE13</f>
        <v>0.36</v>
      </c>
      <c r="AA64" s="38"/>
      <c r="AB64" s="42"/>
      <c r="AC64" s="43"/>
    </row>
    <row r="65" spans="1:32" ht="34" x14ac:dyDescent="0.2">
      <c r="B65" s="56"/>
      <c r="C65" s="55"/>
      <c r="F65" s="14" t="s">
        <v>92</v>
      </c>
      <c r="H65" s="4">
        <v>0</v>
      </c>
      <c r="K65" s="4">
        <v>0</v>
      </c>
      <c r="N65" s="4">
        <v>0</v>
      </c>
      <c r="Q65" s="4">
        <f>AE7</f>
        <v>0.01</v>
      </c>
      <c r="T65" s="4">
        <f>AE8</f>
        <v>0.05</v>
      </c>
      <c r="W65" s="4">
        <f>AE9</f>
        <v>0.12</v>
      </c>
      <c r="Z65" s="4">
        <f>AE11</f>
        <v>0.2</v>
      </c>
      <c r="AA65" s="38"/>
      <c r="AB65" s="42"/>
      <c r="AC65" s="43"/>
    </row>
    <row r="66" spans="1:32" ht="34" x14ac:dyDescent="0.2">
      <c r="B66" s="56"/>
      <c r="C66" s="55"/>
      <c r="F66" s="14" t="s">
        <v>93</v>
      </c>
      <c r="H66" s="4">
        <v>0</v>
      </c>
      <c r="K66" s="4">
        <v>0</v>
      </c>
      <c r="N66" s="4">
        <v>0</v>
      </c>
      <c r="Q66" s="4">
        <v>0</v>
      </c>
      <c r="T66" s="4">
        <f>AE7</f>
        <v>0.01</v>
      </c>
      <c r="W66" s="4">
        <f>AE8</f>
        <v>0.05</v>
      </c>
      <c r="Z66" s="4">
        <f>AE9</f>
        <v>0.12</v>
      </c>
      <c r="AA66" s="38"/>
      <c r="AB66" s="42"/>
      <c r="AC66" s="43"/>
    </row>
    <row r="67" spans="1:32" ht="17" x14ac:dyDescent="0.2">
      <c r="A67" s="50" t="s">
        <v>422</v>
      </c>
      <c r="B67" s="38" t="s">
        <v>428</v>
      </c>
      <c r="C67" s="31" t="s">
        <v>162</v>
      </c>
      <c r="F67" s="14" t="s">
        <v>49</v>
      </c>
      <c r="AA67" s="38" t="s">
        <v>426</v>
      </c>
      <c r="AB67" s="42" t="s">
        <v>427</v>
      </c>
      <c r="AC67" s="43" t="s">
        <v>347</v>
      </c>
    </row>
    <row r="68" spans="1:32" x14ac:dyDescent="0.2">
      <c r="F68" s="14"/>
      <c r="AB68" s="42"/>
      <c r="AC68" s="43"/>
    </row>
    <row r="69" spans="1:32" ht="34" x14ac:dyDescent="0.2">
      <c r="A69" s="50" t="s">
        <v>422</v>
      </c>
      <c r="B69" s="56" t="s">
        <v>233</v>
      </c>
      <c r="C69" s="55" t="s">
        <v>174</v>
      </c>
      <c r="F69" s="14" t="s">
        <v>109</v>
      </c>
      <c r="H69" s="4">
        <f>H39*H63</f>
        <v>0</v>
      </c>
      <c r="K69" s="4">
        <f>K39*K63</f>
        <v>0.85</v>
      </c>
      <c r="N69" s="4">
        <f>K69*(1- $G$31)*N39/K39+N39*N63</f>
        <v>5.0986655000000001</v>
      </c>
      <c r="Q69" s="4">
        <f>N69*(1- $G$31)*Q39/N39+Q39*Q63</f>
        <v>15.290660595165001</v>
      </c>
      <c r="T69" s="4">
        <f>Q69*(1- $G$31)*T39/Q39+T39*T63</f>
        <v>32.266654258030592</v>
      </c>
      <c r="W69" s="4">
        <f>T69*(1- $G$31)*W39/T39+W39*W63</f>
        <v>62.815995610845476</v>
      </c>
      <c r="Z69" s="4">
        <f>W69*(1- $G$31)*Z39/W39+Z39*Z63</f>
        <v>113.71737449773646</v>
      </c>
      <c r="AA69" s="38" t="s">
        <v>292</v>
      </c>
      <c r="AB69" s="42" t="s">
        <v>396</v>
      </c>
      <c r="AC69" s="43" t="s">
        <v>346</v>
      </c>
    </row>
    <row r="70" spans="1:32" ht="34" x14ac:dyDescent="0.2">
      <c r="B70" s="56"/>
      <c r="C70" s="55"/>
      <c r="F70" s="14" t="s">
        <v>110</v>
      </c>
      <c r="K70" s="4">
        <f>K40*K64</f>
        <v>0</v>
      </c>
      <c r="N70" s="4">
        <f>K70*(1- $G$31)*N40/K40+N40*N64</f>
        <v>0.8</v>
      </c>
      <c r="Q70" s="4">
        <f>N70*(1- $G$31)*Q40/N40+Q40*Q64</f>
        <v>4.7987440000000001</v>
      </c>
      <c r="T70" s="4">
        <f>Q70*(1- $G$31)*T40/Q40+T40*T64</f>
        <v>14.39120997192</v>
      </c>
      <c r="W70" s="4">
        <f>T70*(1- $G$31)*W40/T40+W40*W64</f>
        <v>30.368615772264086</v>
      </c>
      <c r="Z70" s="4">
        <f>W70*(1- $G$31)*Z40/W40+Z40*Z64</f>
        <v>59.120937045501627</v>
      </c>
      <c r="AA70" s="38"/>
      <c r="AB70" s="42"/>
      <c r="AC70" s="43"/>
    </row>
    <row r="71" spans="1:32" ht="34" x14ac:dyDescent="0.2">
      <c r="B71" s="56"/>
      <c r="C71" s="55"/>
      <c r="E71" s="51"/>
      <c r="F71" s="14" t="s">
        <v>111</v>
      </c>
      <c r="N71" s="4">
        <f>K71*(1- $G$31)+N41*N65</f>
        <v>0</v>
      </c>
      <c r="Q71" s="4">
        <f>N71*(1- $G$31)*Q41/N41+Q41*Q65</f>
        <v>0.92</v>
      </c>
      <c r="T71" s="4">
        <f>Q71*(1- $G$31)*T41/Q41+T41*T65</f>
        <v>5.5185556000000009</v>
      </c>
      <c r="W71" s="4">
        <f>T71*(1- $G$31)*W41/T41+W41*W65</f>
        <v>16.549891467708001</v>
      </c>
      <c r="Z71" s="4">
        <f>W71*(1- $G$31)*Z41/W41+Z41*Z65</f>
        <v>34.923908138103698</v>
      </c>
      <c r="AA71" s="38"/>
      <c r="AB71" s="42"/>
      <c r="AC71" s="43"/>
    </row>
    <row r="72" spans="1:32" ht="34" x14ac:dyDescent="0.2">
      <c r="B72" s="56"/>
      <c r="C72" s="55"/>
      <c r="E72" s="51"/>
      <c r="F72" s="14" t="s">
        <v>112</v>
      </c>
      <c r="N72" s="4">
        <f>K72*(1- $G$31)+N42*N66</f>
        <v>0</v>
      </c>
      <c r="Q72" s="4">
        <f>N72*(1- $G$31)+Q42*Q66</f>
        <v>0</v>
      </c>
      <c r="T72" s="4">
        <f>Q72*(1- $G$31)*T42/Q42+T42*T66</f>
        <v>0.43</v>
      </c>
      <c r="W72" s="4">
        <f>T72*(1- $G$31)*W42/T42+W42*W66</f>
        <v>2.5793249</v>
      </c>
      <c r="Z72" s="4">
        <f>W72*(1- $G$31)*Z42/W42+Z42*Z66</f>
        <v>7.7352753599069999</v>
      </c>
      <c r="AA72" s="38"/>
      <c r="AB72" s="42"/>
      <c r="AC72" s="43"/>
    </row>
    <row r="73" spans="1:32" x14ac:dyDescent="0.2">
      <c r="E73" s="51"/>
      <c r="F73" s="14"/>
      <c r="AB73" s="42"/>
      <c r="AC73" s="43"/>
    </row>
    <row r="74" spans="1:32" ht="34" x14ac:dyDescent="0.2">
      <c r="A74" s="50" t="s">
        <v>422</v>
      </c>
      <c r="B74" s="56" t="s">
        <v>231</v>
      </c>
      <c r="C74" s="55" t="s">
        <v>174</v>
      </c>
      <c r="F74" s="14" t="s">
        <v>127</v>
      </c>
      <c r="H74" s="4">
        <v>0</v>
      </c>
      <c r="K74" s="4">
        <f>INT(J$4-$AG$6 &gt; $E82)*MAX(H98-$H$23*H39-K44,0)</f>
        <v>0</v>
      </c>
      <c r="N74" s="4">
        <f>INT(M$4-$AG$6 &gt; $E82)*MAX(K98-$H$23*K39-N44,0)</f>
        <v>0</v>
      </c>
      <c r="Q74" s="4">
        <f>INT(P$4-$AG$6 &gt; $E82)*MAX(N98-$H$23*N39-Q44,0)</f>
        <v>0</v>
      </c>
      <c r="T74" s="4">
        <f>INT(S$4-$AG$6 &gt; $E82)*MAX(Q98-$H$23*Q39-T44,0)</f>
        <v>0</v>
      </c>
      <c r="W74" s="4">
        <f>INT(V$4-$AG$6 &gt; $E82)*MAX(T98-$H$23*T39-W44,0)</f>
        <v>0</v>
      </c>
      <c r="Z74" s="4">
        <f>INT(Y$4-$AG$6 &gt; $E82)*MAX(W98-$H$23*W39-Z44,0)</f>
        <v>0</v>
      </c>
      <c r="AA74" s="38" t="s">
        <v>358</v>
      </c>
      <c r="AB74" s="42" t="s">
        <v>397</v>
      </c>
      <c r="AC74" s="43" t="s">
        <v>346</v>
      </c>
    </row>
    <row r="75" spans="1:32" ht="34" x14ac:dyDescent="0.2">
      <c r="B75" s="56"/>
      <c r="C75" s="55"/>
      <c r="F75" s="14" t="s">
        <v>128</v>
      </c>
      <c r="H75" s="4">
        <v>0</v>
      </c>
      <c r="K75" s="4">
        <f>INT(J$4-$AG$6 &gt; $E83)*MAX(H99-$H$23*H40-K45,0)</f>
        <v>0</v>
      </c>
      <c r="N75" s="4">
        <f>INT(M$4-$AG$6 &gt; $E83)*MAX(K99-$H$23*K40-N45,0)</f>
        <v>0</v>
      </c>
      <c r="Q75" s="4">
        <f>INT(P$4-$AG$6 &gt; $E83)*MAX(N99-$H$23*N40-Q45,0)</f>
        <v>0</v>
      </c>
      <c r="T75" s="4">
        <f>INT(S$4-$AG$6 &gt; $E83)*MAX(Q99-$H$23*Q40-T45,0)</f>
        <v>0</v>
      </c>
      <c r="W75" s="4">
        <f>INT(V$4-$AG$6 &gt; $E83)*MAX(T99-$H$23*T40-W45,0)</f>
        <v>0</v>
      </c>
      <c r="Z75" s="4">
        <f>INT(Y$4-$AG$6 &gt; $E83)*MAX(W99-$H$23*W40-Z45,0)</f>
        <v>0</v>
      </c>
      <c r="AA75" s="38"/>
      <c r="AB75" s="42"/>
      <c r="AC75" s="43"/>
    </row>
    <row r="76" spans="1:32" ht="34" x14ac:dyDescent="0.2">
      <c r="B76" s="56"/>
      <c r="C76" s="55"/>
      <c r="E76" s="51" t="s">
        <v>152</v>
      </c>
      <c r="F76" s="14" t="s">
        <v>129</v>
      </c>
      <c r="H76" s="4">
        <v>0</v>
      </c>
      <c r="K76" s="4">
        <f>INT(J$4-$AG$6 &gt; $E84)*MAX(H100-$H$23*H41-K46,0)</f>
        <v>0</v>
      </c>
      <c r="N76" s="4">
        <f>INT(M$4-$AG$6 &gt; $E84)*MAX(K100-$H$23*K41-N46,0)</f>
        <v>0</v>
      </c>
      <c r="Q76" s="4">
        <f>INT(P$4-$AG$6 &gt; $E84)*MAX(N100-$H$23*N41-Q46,0)</f>
        <v>0</v>
      </c>
      <c r="T76" s="4">
        <f>INT(S$4-$AG$6 &gt; $E84)*MAX(Q100-$H$23*Q41-T46,0)</f>
        <v>0</v>
      </c>
      <c r="W76" s="4">
        <f>INT(V$4-$AG$6 &gt; $E84)*MAX(T100-$H$23*T41-W46,0)</f>
        <v>0</v>
      </c>
      <c r="Z76" s="4">
        <f>INT(Y$4-$AG$6 &gt; $E84)*MAX(W100-$H$23*W41-Z46,0)</f>
        <v>0</v>
      </c>
      <c r="AA76" s="38"/>
      <c r="AB76" s="42"/>
      <c r="AC76" s="43"/>
    </row>
    <row r="77" spans="1:32" ht="34" x14ac:dyDescent="0.2">
      <c r="B77" s="56"/>
      <c r="C77" s="55"/>
      <c r="E77" s="51"/>
      <c r="F77" s="14" t="s">
        <v>130</v>
      </c>
      <c r="H77" s="4">
        <v>0</v>
      </c>
      <c r="K77" s="4">
        <f>INT(J$4-$AG$6 &gt; $E85)*MAX(H101-$H$23*H42-K47,0)</f>
        <v>0</v>
      </c>
      <c r="N77" s="4">
        <f>INT(M$4-$AG$6 &gt; $E85)*MAX(K101-$H$23*K42-N47,0)</f>
        <v>0</v>
      </c>
      <c r="Q77" s="4">
        <f>INT(P$4-$AG$6 &gt; $E85)*MAX(N101-$H$23*N42-Q47,0)</f>
        <v>0</v>
      </c>
      <c r="T77" s="4">
        <f>INT(S$4-$AG$6 &gt; $E85)*MAX(Q101-$H$23*Q42-T47,0)</f>
        <v>0</v>
      </c>
      <c r="W77" s="4">
        <f>INT(V$4-$AG$6 &gt; $E85)*MAX(T101-$H$23*T42-W47,0)</f>
        <v>0</v>
      </c>
      <c r="Z77" s="4">
        <f>INT(Y$4-$AG$6 &gt; $E85)*MAX(W101-$H$23*W42-Z47,0)</f>
        <v>0</v>
      </c>
      <c r="AA77" s="38"/>
      <c r="AB77" s="42"/>
      <c r="AC77" s="43"/>
    </row>
    <row r="78" spans="1:32" ht="34" x14ac:dyDescent="0.2">
      <c r="A78" s="50" t="s">
        <v>422</v>
      </c>
      <c r="B78" s="38" t="s">
        <v>232</v>
      </c>
      <c r="C78" s="28" t="s">
        <v>174</v>
      </c>
      <c r="E78" s="51"/>
      <c r="F78" s="14" t="s">
        <v>147</v>
      </c>
      <c r="H78" s="4">
        <v>0</v>
      </c>
      <c r="K78" s="4">
        <f>SUM(K74:K77)</f>
        <v>0</v>
      </c>
      <c r="N78" s="4">
        <f>SUM(N74:N77)</f>
        <v>0</v>
      </c>
      <c r="Q78" s="4">
        <f>SUM(Q74:Q77)</f>
        <v>0</v>
      </c>
      <c r="T78" s="4">
        <f>SUM(T74:T77)</f>
        <v>0</v>
      </c>
      <c r="W78" s="4">
        <f>SUM(W74:W77)</f>
        <v>0</v>
      </c>
      <c r="Z78" s="4">
        <f>SUM(Z74:Z77)</f>
        <v>0</v>
      </c>
      <c r="AA78" s="45" t="s">
        <v>436</v>
      </c>
      <c r="AB78" s="42" t="s">
        <v>408</v>
      </c>
      <c r="AC78" s="43" t="s">
        <v>347</v>
      </c>
      <c r="AF78" t="s">
        <v>106</v>
      </c>
    </row>
    <row r="79" spans="1:32" x14ac:dyDescent="0.2">
      <c r="E79" s="51"/>
      <c r="F79" s="14"/>
      <c r="AB79" s="42"/>
      <c r="AC79" s="43"/>
      <c r="AD79" t="s">
        <v>85</v>
      </c>
      <c r="AF79" t="s">
        <v>107</v>
      </c>
    </row>
    <row r="80" spans="1:32" ht="17" customHeight="1" x14ac:dyDescent="0.2">
      <c r="A80" s="50" t="s">
        <v>422</v>
      </c>
      <c r="B80" s="37" t="s">
        <v>435</v>
      </c>
      <c r="C80" s="55" t="s">
        <v>174</v>
      </c>
      <c r="F80" s="14" t="s">
        <v>88</v>
      </c>
      <c r="G80" s="4">
        <v>0</v>
      </c>
      <c r="J80" s="4">
        <v>0</v>
      </c>
      <c r="M80" s="4">
        <v>0</v>
      </c>
      <c r="P80" s="4">
        <v>0</v>
      </c>
      <c r="S80" s="4">
        <v>0</v>
      </c>
      <c r="V80" s="4">
        <v>0</v>
      </c>
      <c r="Y80" s="4">
        <v>0</v>
      </c>
      <c r="AA80" s="38" t="s">
        <v>309</v>
      </c>
      <c r="AB80" s="42" t="s">
        <v>398</v>
      </c>
      <c r="AC80" s="43" t="s">
        <v>346</v>
      </c>
      <c r="AD80" t="s">
        <v>86</v>
      </c>
    </row>
    <row r="81" spans="1:29" ht="34" x14ac:dyDescent="0.2">
      <c r="A81" s="50" t="s">
        <v>422</v>
      </c>
      <c r="B81" s="37" t="s">
        <v>434</v>
      </c>
      <c r="C81" s="55"/>
      <c r="F81" s="14" t="s">
        <v>148</v>
      </c>
      <c r="G81" s="4">
        <f>SUM(H$74:H74)</f>
        <v>0</v>
      </c>
      <c r="H81" s="4">
        <f>IF(G81&gt;=G$134, IF(G80&lt;G$134, G$134-G80, 0),H74)</f>
        <v>0</v>
      </c>
      <c r="J81" s="4">
        <f>SUM(K$74:K74)</f>
        <v>0</v>
      </c>
      <c r="K81" s="4">
        <f>IF(J81&gt;=J$134, IF(J80&lt;J$134, J$134-J80, 0),K74)</f>
        <v>0</v>
      </c>
      <c r="M81" s="4">
        <f>SUM(N$74:N74)</f>
        <v>0</v>
      </c>
      <c r="N81" s="4">
        <f>IF(M81&gt;=M$134, IF(M80&lt;M$134, M$134-M80, 0),N74)</f>
        <v>0</v>
      </c>
      <c r="P81" s="4">
        <f>SUM(Q$74:Q74)</f>
        <v>0</v>
      </c>
      <c r="Q81" s="4">
        <f>IF(P81&gt;=P$134, IF(P80&lt;P$134, P$134-P80, 0),Q74)</f>
        <v>0</v>
      </c>
      <c r="S81" s="4">
        <f>SUM(T$74:T74)</f>
        <v>0</v>
      </c>
      <c r="T81" s="4">
        <f>IF(S81&gt;=S$134, IF(S80&lt;S$134, S$134-S80, 0),T74)</f>
        <v>0</v>
      </c>
      <c r="V81" s="4">
        <f>SUM(W$74:W74)</f>
        <v>0</v>
      </c>
      <c r="W81" s="4">
        <f>IF(V81&gt;=V$134, IF(V80&lt;V$134, V$134-V80, 0),W74)</f>
        <v>0</v>
      </c>
      <c r="Y81" s="4">
        <f>SUM(Z$74:Z74)</f>
        <v>0</v>
      </c>
      <c r="Z81" s="4">
        <f>IF(Y81&gt;=Y$134, IF(Y80&lt;Y$134, Y$134-Y80, 0),Z74)</f>
        <v>0</v>
      </c>
      <c r="AA81" s="38" t="s">
        <v>443</v>
      </c>
      <c r="AB81" s="42" t="s">
        <v>399</v>
      </c>
      <c r="AC81" s="43" t="s">
        <v>346</v>
      </c>
    </row>
    <row r="82" spans="1:29" ht="34" x14ac:dyDescent="0.2">
      <c r="B82" s="41"/>
      <c r="C82" s="55"/>
      <c r="E82" s="22">
        <v>0</v>
      </c>
      <c r="F82" s="14" t="s">
        <v>149</v>
      </c>
      <c r="G82" s="4">
        <f>SUM(H$74:H75)</f>
        <v>0</v>
      </c>
      <c r="H82" s="4">
        <f>IF(G82&gt;=G$134, IF(G81&lt;G$134, G$134-G81, 0),H75)</f>
        <v>0</v>
      </c>
      <c r="J82" s="4">
        <f>SUM(K$74:K75)</f>
        <v>0</v>
      </c>
      <c r="K82" s="4">
        <f>IF(J82&gt;=J$134, IF(J81&lt;J$134, J$134-J81, 0),K75)</f>
        <v>0</v>
      </c>
      <c r="M82" s="4">
        <f>SUM(N$74:N75)</f>
        <v>0</v>
      </c>
      <c r="N82" s="4">
        <f>IF(M82&gt;=M$134, IF(M81&lt;M$134, M$134-M81, 0),N75)</f>
        <v>0</v>
      </c>
      <c r="P82" s="4">
        <f>SUM(Q$74:Q75)</f>
        <v>0</v>
      </c>
      <c r="Q82" s="4">
        <f>IF(P82&gt;=P$134, IF(P81&lt;P$134, P$134-P81, 0),Q75)</f>
        <v>0</v>
      </c>
      <c r="S82" s="4">
        <f>SUM(T$74:T75)</f>
        <v>0</v>
      </c>
      <c r="T82" s="4">
        <f>IF(S82&gt;=S$134, IF(S81&lt;S$134, S$134-S81, 0),T75)</f>
        <v>0</v>
      </c>
      <c r="V82" s="4">
        <f>SUM(W$74:W75)</f>
        <v>0</v>
      </c>
      <c r="W82" s="4">
        <f>IF(V82&gt;=V$134, IF(V81&lt;V$134, V$134-V81, 0),W75)</f>
        <v>0</v>
      </c>
      <c r="Y82" s="4">
        <f>SUM(Z$74:Z75)</f>
        <v>0</v>
      </c>
      <c r="Z82" s="4">
        <f>IF(Y82&gt;=Y$134, IF(Y81&lt;Y$134, Y$134-Y81, 0),Z75)</f>
        <v>0</v>
      </c>
      <c r="AA82" s="37"/>
      <c r="AB82" s="42"/>
      <c r="AC82" s="43"/>
    </row>
    <row r="83" spans="1:29" ht="34" x14ac:dyDescent="0.2">
      <c r="B83" s="41"/>
      <c r="C83" s="55"/>
      <c r="E83" s="22">
        <v>1</v>
      </c>
      <c r="F83" s="14" t="s">
        <v>150</v>
      </c>
      <c r="G83" s="4">
        <f>SUM(H$74:H76)</f>
        <v>0</v>
      </c>
      <c r="H83" s="4">
        <f>IF(G83&gt;=G$134, IF(G82&lt;G$134, G$134-G82, 0),H76)</f>
        <v>0</v>
      </c>
      <c r="J83" s="4">
        <f>SUM(K$74:K76)</f>
        <v>0</v>
      </c>
      <c r="K83" s="4">
        <f>IF(J83&gt;=J$134, IF(J82&lt;J$134, J$134-J82, 0),K76)</f>
        <v>0</v>
      </c>
      <c r="M83" s="4">
        <f>SUM(N$74:N76)</f>
        <v>0</v>
      </c>
      <c r="N83" s="4">
        <f>IF(M83&gt;=M$134, IF(M82&lt;M$134, M$134-M82, 0),N76)</f>
        <v>0</v>
      </c>
      <c r="P83" s="4">
        <f>SUM(Q$74:Q76)</f>
        <v>0</v>
      </c>
      <c r="Q83" s="4">
        <f>IF(P83&gt;=P$134, IF(P82&lt;P$134, P$134-P82, 0),Q76)</f>
        <v>0</v>
      </c>
      <c r="S83" s="4">
        <f>SUM(T$74:T76)</f>
        <v>0</v>
      </c>
      <c r="T83" s="4">
        <f>IF(S83&gt;=S$134, IF(S82&lt;S$134, S$134-S82, 0),T76)</f>
        <v>0</v>
      </c>
      <c r="V83" s="4">
        <f>SUM(W$74:W76)</f>
        <v>0</v>
      </c>
      <c r="W83" s="4">
        <f>IF(V83&gt;=V$134, IF(V82&lt;V$134, V$134-V82, 0),W76)</f>
        <v>0</v>
      </c>
      <c r="Y83" s="4">
        <f>SUM(Z$74:Z76)</f>
        <v>0</v>
      </c>
      <c r="Z83" s="4">
        <f>IF(Y83&gt;=Y$134, IF(Y82&lt;Y$134, Y$134-Y82, 0),Z76)</f>
        <v>0</v>
      </c>
      <c r="AA83" s="37"/>
      <c r="AB83" s="42"/>
      <c r="AC83" s="43"/>
    </row>
    <row r="84" spans="1:29" ht="34" x14ac:dyDescent="0.2">
      <c r="B84" s="41"/>
      <c r="C84" s="55"/>
      <c r="E84" s="22">
        <v>2</v>
      </c>
      <c r="F84" s="14" t="s">
        <v>151</v>
      </c>
      <c r="G84" s="4">
        <f>SUM(H$74:H77)</f>
        <v>0</v>
      </c>
      <c r="H84" s="4">
        <f>IF(G84&gt;=G$134, IF(G83&lt;G$134, G$134-G83, 0),H77)</f>
        <v>0</v>
      </c>
      <c r="J84" s="4">
        <f>SUM(K$74:K77)</f>
        <v>0</v>
      </c>
      <c r="K84" s="4">
        <f>IF(J84&gt;=J$134, IF(J83&lt;J$134, J$134-J83, 0),K77)</f>
        <v>0</v>
      </c>
      <c r="M84" s="4">
        <f>SUM(N$74:N77)</f>
        <v>0</v>
      </c>
      <c r="N84" s="4">
        <f>IF(M84&gt;=M$134, IF(M83&lt;M$134, M$134-M83, 0),N77)</f>
        <v>0</v>
      </c>
      <c r="P84" s="4">
        <f>SUM(Q$74:Q77)</f>
        <v>0</v>
      </c>
      <c r="Q84" s="4">
        <f>IF(P84&gt;=P$134, IF(P83&lt;P$134, P$134-P83, 0),Q77)</f>
        <v>0</v>
      </c>
      <c r="S84" s="4">
        <f>SUM(T$74:T77)</f>
        <v>0</v>
      </c>
      <c r="T84" s="4">
        <f>IF(S84&gt;=S$134, IF(S83&lt;S$134, S$134-S83, 0),T77)</f>
        <v>0</v>
      </c>
      <c r="V84" s="4">
        <f>SUM(W$74:W77)</f>
        <v>0</v>
      </c>
      <c r="W84" s="4">
        <f>IF(V84&gt;=V$134, IF(V83&lt;V$134, V$134-V83, 0),W77)</f>
        <v>0</v>
      </c>
      <c r="Y84" s="4">
        <f>SUM(Z$74:Z77)</f>
        <v>0</v>
      </c>
      <c r="Z84" s="4">
        <f>IF(Y84&gt;=Y$134, IF(Y83&lt;Y$134, Y$134-Y83, 0),Z77)</f>
        <v>0</v>
      </c>
      <c r="AA84" s="37"/>
      <c r="AB84" s="42"/>
      <c r="AC84" s="43"/>
    </row>
    <row r="85" spans="1:29" x14ac:dyDescent="0.2">
      <c r="E85" s="22">
        <v>3</v>
      </c>
      <c r="F85" s="14"/>
      <c r="AB85" s="42"/>
      <c r="AC85" s="43"/>
    </row>
    <row r="86" spans="1:29" x14ac:dyDescent="0.2">
      <c r="F86" s="14"/>
      <c r="J86" s="4" t="s">
        <v>136</v>
      </c>
      <c r="M86" s="4" t="s">
        <v>136</v>
      </c>
      <c r="P86" s="4" t="s">
        <v>136</v>
      </c>
      <c r="S86" s="4" t="s">
        <v>136</v>
      </c>
      <c r="V86" s="4" t="s">
        <v>136</v>
      </c>
      <c r="Y86" s="4" t="s">
        <v>136</v>
      </c>
      <c r="AB86" s="42"/>
      <c r="AC86" s="43"/>
    </row>
    <row r="87" spans="1:29" ht="34" x14ac:dyDescent="0.2">
      <c r="A87" s="50" t="s">
        <v>422</v>
      </c>
      <c r="B87" s="37" t="s">
        <v>433</v>
      </c>
      <c r="C87" s="55" t="s">
        <v>174</v>
      </c>
      <c r="F87" s="14" t="s">
        <v>131</v>
      </c>
      <c r="H87" s="4">
        <f>H63</f>
        <v>0</v>
      </c>
      <c r="J87" s="4">
        <f>IF(H98=0,1,MIN(MAX((H98/H69-$G$18)/($G$20-$G$18), 0), 1))</f>
        <v>1</v>
      </c>
      <c r="K87" s="4">
        <f>K63*J87</f>
        <v>0.01</v>
      </c>
      <c r="M87" s="4">
        <f>IF(K98=0,1,MIN(MAX((K98/K69-$G$18)/($G$20-$G$18), 0), 1))</f>
        <v>1</v>
      </c>
      <c r="N87" s="4">
        <f>N63*M87</f>
        <v>0.05</v>
      </c>
      <c r="P87" s="4">
        <f>IF(N98=0,1,MIN(MAX((N98/N69-$G$18)/($G$20-$G$18), 0), 1))</f>
        <v>1</v>
      </c>
      <c r="Q87" s="4">
        <f>Q63*P87</f>
        <v>0.12</v>
      </c>
      <c r="S87" s="4">
        <f>IF(Q98=0,1,MIN(MAX((Q98/Q69-$G$18)/($G$20-$G$18), 0), 1))</f>
        <v>1</v>
      </c>
      <c r="T87" s="4">
        <f>T63*S87</f>
        <v>0.2</v>
      </c>
      <c r="V87" s="4">
        <f>IF(T98=0,1,MIN(MAX((T98/T69-$G$18)/($G$20-$G$18), 0), 1))</f>
        <v>1</v>
      </c>
      <c r="W87" s="4">
        <f>W63*V87</f>
        <v>0.36</v>
      </c>
      <c r="Y87" s="4">
        <f>IF(W98=0,1,MIN(MAX((W98/W69-$G$18)/($G$20-$G$18), 0), 1))</f>
        <v>1</v>
      </c>
      <c r="Z87" s="4">
        <f>Z63*Y87</f>
        <v>0.6</v>
      </c>
      <c r="AA87" s="37" t="s">
        <v>313</v>
      </c>
      <c r="AB87" s="42" t="s">
        <v>400</v>
      </c>
      <c r="AC87" s="43" t="s">
        <v>346</v>
      </c>
    </row>
    <row r="88" spans="1:29" ht="34" x14ac:dyDescent="0.2">
      <c r="A88" s="50" t="s">
        <v>422</v>
      </c>
      <c r="B88" s="37" t="s">
        <v>432</v>
      </c>
      <c r="C88" s="55"/>
      <c r="F88" s="14" t="s">
        <v>132</v>
      </c>
      <c r="H88" s="4">
        <f>H64</f>
        <v>0</v>
      </c>
      <c r="J88" s="4">
        <f>IF(H99=0,1,MIN(MAX((H99/H70-$G$18)/($G$20-$G$18), 0), 1))</f>
        <v>1</v>
      </c>
      <c r="K88" s="4">
        <f>K64</f>
        <v>0</v>
      </c>
      <c r="M88" s="4">
        <f>IF(K99=0,1,MIN(MAX((K99/K70-$G$18)/($G$20-$G$18), 0), 1))</f>
        <v>1</v>
      </c>
      <c r="N88" s="4">
        <f>N64</f>
        <v>0.01</v>
      </c>
      <c r="P88" s="4">
        <f>IF(N99=0,1,MIN(MAX((N99/N70-$G$18)/($G$20-$G$18), 0), 1))</f>
        <v>1</v>
      </c>
      <c r="Q88" s="4">
        <f>Q64</f>
        <v>0.05</v>
      </c>
      <c r="S88" s="4">
        <f>IF(Q99=0,1,MIN(MAX((Q99/Q70-$G$18)/($G$20-$G$18), 0), 1))</f>
        <v>1</v>
      </c>
      <c r="T88" s="4">
        <f>T64</f>
        <v>0.12</v>
      </c>
      <c r="V88" s="4">
        <f>IF(T99=0,1,MIN(MAX((T99/T70-$G$18)/($G$20-$G$18), 0), 1))</f>
        <v>1</v>
      </c>
      <c r="W88" s="4">
        <f>W64</f>
        <v>0.2</v>
      </c>
      <c r="Y88" s="4">
        <f>IF(W99=0,1,MIN(MAX((W99/W70-$G$18)/($G$20-$G$18), 0), 1))</f>
        <v>1</v>
      </c>
      <c r="Z88" s="4">
        <f>Z64</f>
        <v>0.36</v>
      </c>
      <c r="AA88" s="37" t="s">
        <v>310</v>
      </c>
      <c r="AB88" s="42" t="s">
        <v>431</v>
      </c>
      <c r="AC88" s="43" t="s">
        <v>356</v>
      </c>
    </row>
    <row r="89" spans="1:29" ht="34" x14ac:dyDescent="0.2">
      <c r="B89" s="37"/>
      <c r="C89" s="55"/>
      <c r="F89" s="14" t="s">
        <v>133</v>
      </c>
      <c r="H89" s="4">
        <f>H65</f>
        <v>0</v>
      </c>
      <c r="J89" s="4">
        <f>IF(H100=0,1,MIN(MAX((H100/H71-$G$18)/($G$20-$G$18), 0), 1))</f>
        <v>1</v>
      </c>
      <c r="K89" s="4">
        <f>K65</f>
        <v>0</v>
      </c>
      <c r="M89" s="4">
        <f>IF(K100=0,1,MIN(MAX((K100/K71-$G$18)/($G$20-$G$18), 0), 1))</f>
        <v>1</v>
      </c>
      <c r="N89" s="4">
        <f>N65</f>
        <v>0</v>
      </c>
      <c r="P89" s="4">
        <f>IF(N100=0,1,MIN(MAX((N100/N71-$G$18)/($G$20-$G$18), 0), 1))</f>
        <v>1</v>
      </c>
      <c r="Q89" s="4">
        <f>Q65</f>
        <v>0.01</v>
      </c>
      <c r="S89" s="4">
        <f>IF(Q100=0,1,MIN(MAX((Q100/Q71-$G$18)/($G$20-$G$18), 0), 1))</f>
        <v>1</v>
      </c>
      <c r="T89" s="4">
        <f>T65</f>
        <v>0.05</v>
      </c>
      <c r="V89" s="4">
        <f>IF(T100=0,1,MIN(MAX((T100/T71-$G$18)/($G$20-$G$18), 0), 1))</f>
        <v>1</v>
      </c>
      <c r="W89" s="4">
        <f>W65</f>
        <v>0.12</v>
      </c>
      <c r="Y89" s="4">
        <f>IF(W100=0,1,MIN(MAX((W100/W71-$G$18)/($G$20-$G$18), 0), 1))</f>
        <v>1</v>
      </c>
      <c r="Z89" s="4">
        <f>Z65</f>
        <v>0.2</v>
      </c>
      <c r="AA89" s="37"/>
      <c r="AB89" s="42"/>
      <c r="AC89" s="43"/>
    </row>
    <row r="90" spans="1:29" ht="34" x14ac:dyDescent="0.2">
      <c r="B90" s="41"/>
      <c r="C90" s="55"/>
      <c r="F90" s="14" t="s">
        <v>134</v>
      </c>
      <c r="H90" s="4">
        <f>H66</f>
        <v>0</v>
      </c>
      <c r="J90" s="4">
        <f>IF(H101=0,1,MIN(MAX((H101/H72-$G$18)/($G$20-$G$18), 0), 1))</f>
        <v>1</v>
      </c>
      <c r="K90" s="4">
        <f>K66</f>
        <v>0</v>
      </c>
      <c r="M90" s="4">
        <f>IF(K101=0,1,MIN(MAX((K101/K72-$G$18)/($G$20-$G$18), 0), 1))</f>
        <v>1</v>
      </c>
      <c r="N90" s="4">
        <f>N66</f>
        <v>0</v>
      </c>
      <c r="P90" s="4">
        <f>IF(N101=0,1,MIN(MAX((N101/N72-$G$18)/($G$20-$G$18), 0), 1))</f>
        <v>1</v>
      </c>
      <c r="Q90" s="4">
        <f>Q66</f>
        <v>0</v>
      </c>
      <c r="S90" s="4">
        <f>IF(Q101=0,1,MIN(MAX((Q101/Q72-$G$18)/($G$20-$G$18), 0), 1))</f>
        <v>1</v>
      </c>
      <c r="T90" s="4">
        <f>T66</f>
        <v>0.01</v>
      </c>
      <c r="V90" s="4">
        <f>IF(T101=0,1,MIN(MAX((T101/T72-$G$18)/($G$20-$G$18), 0), 1))</f>
        <v>1</v>
      </c>
      <c r="W90" s="4">
        <f>W66</f>
        <v>0.05</v>
      </c>
      <c r="Y90" s="4">
        <f>IF(W101=0,1,MIN(MAX((W101/W72-$G$18)/($G$20-$G$18), 0), 1))</f>
        <v>1</v>
      </c>
      <c r="Z90" s="4">
        <f>Z66</f>
        <v>0.12</v>
      </c>
      <c r="AA90" s="37"/>
      <c r="AB90" s="42"/>
      <c r="AC90" s="43"/>
    </row>
    <row r="91" spans="1:29" x14ac:dyDescent="0.2">
      <c r="F91" s="14"/>
      <c r="AB91" s="42"/>
      <c r="AC91" s="43"/>
    </row>
    <row r="92" spans="1:29" ht="51" x14ac:dyDescent="0.2">
      <c r="A92" s="50" t="s">
        <v>422</v>
      </c>
      <c r="B92" s="57" t="s">
        <v>202</v>
      </c>
      <c r="C92" s="55" t="s">
        <v>174</v>
      </c>
      <c r="F92" s="14" t="s">
        <v>203</v>
      </c>
      <c r="H92" s="4">
        <f>H58*H34</f>
        <v>0</v>
      </c>
      <c r="K92" s="4">
        <f>(H98-K81-K44)*$G$31</f>
        <v>0</v>
      </c>
      <c r="N92" s="4">
        <f>(K98-N81-N44)*$G$31</f>
        <v>1.3345E-3</v>
      </c>
      <c r="Q92" s="4">
        <f>(N98-Q81-Q44)*$G$31</f>
        <v>8.0049048349999999E-3</v>
      </c>
      <c r="T92" s="4">
        <f>(Q98-T81-T44)*$G$31</f>
        <v>2.4006337134409049E-2</v>
      </c>
      <c r="W92" s="4">
        <f>(T98-W81-W44)*$G$31</f>
        <v>5.0658647185108027E-2</v>
      </c>
      <c r="Z92" s="4">
        <f>(W98-Z81-Z44)*$G$31</f>
        <v>9.8621113109027395E-2</v>
      </c>
      <c r="AA92" s="37" t="s">
        <v>459</v>
      </c>
      <c r="AB92" s="42" t="s">
        <v>401</v>
      </c>
      <c r="AC92" s="43" t="s">
        <v>315</v>
      </c>
    </row>
    <row r="93" spans="1:29" ht="51" x14ac:dyDescent="0.2">
      <c r="B93" s="57"/>
      <c r="C93" s="55"/>
      <c r="F93" s="14" t="s">
        <v>204</v>
      </c>
      <c r="H93" s="4">
        <f>H59*H35</f>
        <v>0</v>
      </c>
      <c r="K93" s="4">
        <f>(H99-K82-K45)*$G$31</f>
        <v>0</v>
      </c>
      <c r="N93" s="4">
        <f>(K99-N82-N45)*$G$31</f>
        <v>0</v>
      </c>
      <c r="Q93" s="4">
        <f>(N99-Q82-Q45)*$G$31</f>
        <v>1.2560000000000002E-3</v>
      </c>
      <c r="T93" s="4">
        <f>(Q99-T82-T45)*$G$31</f>
        <v>7.5340280800000005E-3</v>
      </c>
      <c r="W93" s="4">
        <f>(T99-W82-W45)*$G$31</f>
        <v>2.2594199655914398E-2</v>
      </c>
      <c r="Z93" s="4">
        <f>(W99-Z82-Z45)*$G$31</f>
        <v>4.7678726762454618E-2</v>
      </c>
      <c r="AA93" s="37"/>
      <c r="AB93" s="42"/>
      <c r="AC93" s="43"/>
    </row>
    <row r="94" spans="1:29" ht="51" x14ac:dyDescent="0.2">
      <c r="B94" s="57"/>
      <c r="C94" s="55"/>
      <c r="F94" s="14" t="s">
        <v>205</v>
      </c>
      <c r="H94" s="4">
        <f>H60*H36</f>
        <v>0</v>
      </c>
      <c r="K94" s="4">
        <f>(H100-K83-K46)*$G$31</f>
        <v>0</v>
      </c>
      <c r="N94" s="4">
        <f>(K100-N83-N46)*$G$31</f>
        <v>0</v>
      </c>
      <c r="Q94" s="4">
        <f>(N100-Q83-Q46)*$G$31</f>
        <v>0</v>
      </c>
      <c r="T94" s="4">
        <f>(Q100-T83-T46)*$G$31</f>
        <v>1.4444E-3</v>
      </c>
      <c r="W94" s="4">
        <f>(T100-W83-W46)*$G$31</f>
        <v>8.664132292000002E-3</v>
      </c>
      <c r="Z94" s="4">
        <f>(W100-Z83-Z46)*$G$31</f>
        <v>2.5983329604301563E-2</v>
      </c>
      <c r="AA94" s="37"/>
      <c r="AB94" s="42"/>
      <c r="AC94" s="43"/>
    </row>
    <row r="95" spans="1:29" ht="51" x14ac:dyDescent="0.2">
      <c r="B95" s="57"/>
      <c r="C95" s="55"/>
      <c r="F95" s="14" t="s">
        <v>206</v>
      </c>
      <c r="H95" s="4">
        <f>H61*H37</f>
        <v>0</v>
      </c>
      <c r="K95" s="4">
        <f>(H101-K84-K47)*$G$31</f>
        <v>0</v>
      </c>
      <c r="N95" s="4">
        <f>(K101-N84-N47)*$G$31</f>
        <v>0</v>
      </c>
      <c r="Q95" s="4">
        <f>(N101-Q84-Q47)*$G$31</f>
        <v>0</v>
      </c>
      <c r="T95" s="4">
        <f>(Q101-T84-T47)*$G$31</f>
        <v>0</v>
      </c>
      <c r="W95" s="4">
        <f>(T101-W84-W47)*$G$31</f>
        <v>6.7509999999999998E-4</v>
      </c>
      <c r="Z95" s="4">
        <f>(W101-Z84-Z47)*$G$31</f>
        <v>4.049540093E-3</v>
      </c>
      <c r="AA95" s="37"/>
      <c r="AB95" s="42"/>
      <c r="AC95" s="43"/>
    </row>
    <row r="96" spans="1:29" ht="17" x14ac:dyDescent="0.2">
      <c r="A96" s="50" t="s">
        <v>422</v>
      </c>
      <c r="B96" s="37" t="s">
        <v>455</v>
      </c>
      <c r="C96" s="28"/>
      <c r="F96" s="14"/>
      <c r="H96" s="4">
        <f>SUM(H92:H95)</f>
        <v>0</v>
      </c>
      <c r="K96" s="4">
        <f>SUM(K92:K95)</f>
        <v>0</v>
      </c>
      <c r="N96" s="4">
        <f>SUM(N92:N95)</f>
        <v>1.3345E-3</v>
      </c>
      <c r="Q96" s="4">
        <f>SUM(Q92:Q95)</f>
        <v>9.2609048350000001E-3</v>
      </c>
      <c r="T96" s="4">
        <f>SUM(T92:T95)</f>
        <v>3.2984765214409045E-2</v>
      </c>
      <c r="W96" s="4">
        <f>SUM(W92:W95)</f>
        <v>8.2592079133022425E-2</v>
      </c>
      <c r="Z96" s="4">
        <f>SUM(Z92:Z95)</f>
        <v>0.17633270956878355</v>
      </c>
      <c r="AA96" s="37" t="s">
        <v>458</v>
      </c>
      <c r="AB96" s="42" t="s">
        <v>456</v>
      </c>
      <c r="AC96" s="43" t="s">
        <v>457</v>
      </c>
    </row>
    <row r="97" spans="1:29" x14ac:dyDescent="0.2">
      <c r="F97" s="14"/>
      <c r="AB97" s="42"/>
      <c r="AC97" s="43"/>
    </row>
    <row r="98" spans="1:29" ht="17" x14ac:dyDescent="0.2">
      <c r="A98" s="50" t="s">
        <v>422</v>
      </c>
      <c r="B98" s="57" t="s">
        <v>207</v>
      </c>
      <c r="C98" s="55" t="s">
        <v>174</v>
      </c>
      <c r="F98" s="14" t="s">
        <v>70</v>
      </c>
      <c r="H98" s="4">
        <f>H63*H39</f>
        <v>0</v>
      </c>
      <c r="K98" s="4">
        <f>H98 - K81 - K92 - K44 + K39*K87</f>
        <v>0.85</v>
      </c>
      <c r="N98" s="4">
        <f>K98 - N81 - N92 - N44 + N39*N87</f>
        <v>5.0986655000000001</v>
      </c>
      <c r="Q98" s="4">
        <f>N98 - Q81 - Q92 - Q44 + Q39*Q87</f>
        <v>15.290660595164999</v>
      </c>
      <c r="T98" s="4">
        <f>Q98 - T81 - T92 - T44 + T39*T87</f>
        <v>32.266654258030592</v>
      </c>
      <c r="W98" s="4">
        <f>T98 - W81 - W92 - W44 + W39*W87</f>
        <v>62.815995610845476</v>
      </c>
      <c r="Z98" s="4">
        <f>W98 - Z81 - Z92 - Z44 + Z39*Z87</f>
        <v>113.71737449773644</v>
      </c>
      <c r="AA98" s="38" t="s">
        <v>311</v>
      </c>
      <c r="AB98" s="42" t="s">
        <v>402</v>
      </c>
      <c r="AC98" s="43" t="s">
        <v>346</v>
      </c>
    </row>
    <row r="99" spans="1:29" ht="17" x14ac:dyDescent="0.2">
      <c r="B99" s="57"/>
      <c r="C99" s="55"/>
      <c r="F99" s="14" t="s">
        <v>71</v>
      </c>
      <c r="H99" s="4">
        <f>H64*H40</f>
        <v>0</v>
      </c>
      <c r="K99" s="4">
        <f>H99 - K82 - K93 - K45 + K40*K88</f>
        <v>0</v>
      </c>
      <c r="N99" s="4">
        <f>K99 - N82 - N93 - N45 + N40*N88</f>
        <v>0.8</v>
      </c>
      <c r="Q99" s="4">
        <f>N99 - Q82 - Q93 - Q45 + Q40*Q88</f>
        <v>4.7987440000000001</v>
      </c>
      <c r="T99" s="4">
        <f>Q99 - T82 - T93 - T45 + T40*T88</f>
        <v>14.391209971919999</v>
      </c>
      <c r="W99" s="4">
        <f>T99 - W82 - W93 - W45 + W40*W88</f>
        <v>30.368615772264086</v>
      </c>
      <c r="Z99" s="4">
        <f>W99 - Z82 - Z93 - Z45 + Z40*Z88</f>
        <v>59.120937045501627</v>
      </c>
      <c r="AA99" s="37"/>
      <c r="AB99" s="42"/>
      <c r="AC99" s="43"/>
    </row>
    <row r="100" spans="1:29" ht="17" x14ac:dyDescent="0.2">
      <c r="B100" s="57"/>
      <c r="C100" s="55"/>
      <c r="F100" s="14" t="s">
        <v>72</v>
      </c>
      <c r="H100" s="4">
        <f>H65*H41</f>
        <v>0</v>
      </c>
      <c r="K100" s="4">
        <f>H100 - K83 - K94 - K46 + K41*K89</f>
        <v>0</v>
      </c>
      <c r="N100" s="4">
        <f>K100 - N83 - N94 - N46 + N41*N89</f>
        <v>0</v>
      </c>
      <c r="Q100" s="4">
        <f>N100 - Q83 - Q94 - Q46 + Q41*Q89</f>
        <v>0.92</v>
      </c>
      <c r="T100" s="4">
        <f>Q100 - T83 - T94 - T46 + T41*T89</f>
        <v>5.5185556000000009</v>
      </c>
      <c r="W100" s="4">
        <f>T100 - W83 - W94 - W46 + W41*W89</f>
        <v>16.549891467708001</v>
      </c>
      <c r="Z100" s="4">
        <f>W100 - Z83 - Z94 - Z46 + Z41*Z89</f>
        <v>34.923908138103698</v>
      </c>
      <c r="AA100" s="37"/>
      <c r="AB100" s="42"/>
      <c r="AC100" s="43"/>
    </row>
    <row r="101" spans="1:29" ht="17" customHeight="1" x14ac:dyDescent="0.2">
      <c r="B101" s="57"/>
      <c r="C101" s="55"/>
      <c r="F101" s="14" t="s">
        <v>81</v>
      </c>
      <c r="H101" s="4">
        <f>H66*H42</f>
        <v>0</v>
      </c>
      <c r="K101" s="4">
        <f>H101 - K84 - K95 - K47 + K42*K90</f>
        <v>0</v>
      </c>
      <c r="N101" s="4">
        <f>K101 - N84 - N95 - N47 + N42*N90</f>
        <v>0</v>
      </c>
      <c r="Q101" s="4">
        <f>N101 - Q84 - Q95 - Q47 + Q42*Q90</f>
        <v>0</v>
      </c>
      <c r="T101" s="4">
        <f>Q101 - T84 - T95 - T47 + T42*T90</f>
        <v>0.43</v>
      </c>
      <c r="W101" s="4">
        <f>T101 - W84 - W95 - W47 + W42*W90</f>
        <v>2.5793249</v>
      </c>
      <c r="Z101" s="4">
        <f>W101 - Z84 - Z95 - Z47 + Z42*Z90</f>
        <v>7.7352753599069999</v>
      </c>
      <c r="AA101" s="37"/>
      <c r="AB101" s="42"/>
      <c r="AC101" s="43"/>
    </row>
    <row r="102" spans="1:29" x14ac:dyDescent="0.2">
      <c r="E102" s="26"/>
      <c r="F102" s="14"/>
      <c r="AB102" s="42"/>
      <c r="AC102" s="43"/>
    </row>
    <row r="103" spans="1:29" ht="17" x14ac:dyDescent="0.2">
      <c r="A103" s="50" t="s">
        <v>422</v>
      </c>
      <c r="B103" s="57" t="s">
        <v>208</v>
      </c>
      <c r="C103" s="55" t="s">
        <v>174</v>
      </c>
      <c r="E103" s="26"/>
      <c r="F103" s="14" t="s">
        <v>209</v>
      </c>
      <c r="H103" s="4">
        <f>H98*$H$22</f>
        <v>0</v>
      </c>
      <c r="K103" s="4">
        <f>K98*$H$22</f>
        <v>0.21249999999999999</v>
      </c>
      <c r="N103" s="4">
        <f>N98*$H$22</f>
        <v>1.274666375</v>
      </c>
      <c r="Q103" s="4">
        <f>Q98*$H$22</f>
        <v>3.8226651487912497</v>
      </c>
      <c r="T103" s="4">
        <f>T98*$H$22</f>
        <v>8.0666635645076479</v>
      </c>
      <c r="W103" s="4">
        <f>W98*$H$22</f>
        <v>15.703998902711369</v>
      </c>
      <c r="Z103" s="4">
        <f>Z98*$H$22</f>
        <v>28.429343624434111</v>
      </c>
      <c r="AA103" s="38" t="s">
        <v>314</v>
      </c>
      <c r="AB103" s="42" t="s">
        <v>403</v>
      </c>
      <c r="AC103" s="43" t="s">
        <v>346</v>
      </c>
    </row>
    <row r="104" spans="1:29" ht="17" x14ac:dyDescent="0.2">
      <c r="B104" s="57"/>
      <c r="C104" s="55"/>
      <c r="E104" s="26"/>
      <c r="F104" s="14" t="s">
        <v>210</v>
      </c>
      <c r="H104" s="4">
        <f t="shared" ref="H104:H106" si="9">H99*$H$22</f>
        <v>0</v>
      </c>
      <c r="K104" s="4">
        <f t="shared" ref="K104:K106" si="10">K99*$H$22</f>
        <v>0</v>
      </c>
      <c r="N104" s="4">
        <f t="shared" ref="N104:N106" si="11">N99*$H$22</f>
        <v>0.2</v>
      </c>
      <c r="Q104" s="4">
        <f t="shared" ref="Q104:Q106" si="12">Q99*$H$22</f>
        <v>1.199686</v>
      </c>
      <c r="T104" s="4">
        <f t="shared" ref="T104:T106" si="13">T99*$H$22</f>
        <v>3.5978024929799997</v>
      </c>
      <c r="W104" s="4">
        <f t="shared" ref="W104:W106" si="14">W99*$H$22</f>
        <v>7.5921539430660214</v>
      </c>
      <c r="Z104" s="4">
        <f t="shared" ref="Z104:Z106" si="15">Z99*$H$22</f>
        <v>14.780234261375407</v>
      </c>
      <c r="AA104" s="37"/>
      <c r="AB104" s="42"/>
      <c r="AC104" s="43"/>
    </row>
    <row r="105" spans="1:29" ht="17" x14ac:dyDescent="0.2">
      <c r="B105" s="57"/>
      <c r="C105" s="55"/>
      <c r="E105" s="26"/>
      <c r="F105" s="14" t="s">
        <v>211</v>
      </c>
      <c r="H105" s="4">
        <f>H100*$H$22</f>
        <v>0</v>
      </c>
      <c r="K105" s="4">
        <f>K100*$H$22</f>
        <v>0</v>
      </c>
      <c r="N105" s="4">
        <f>N100*$H$22</f>
        <v>0</v>
      </c>
      <c r="Q105" s="4">
        <f>Q100*$H$22</f>
        <v>0.23</v>
      </c>
      <c r="T105" s="4">
        <f>T100*$H$22</f>
        <v>1.3796389000000002</v>
      </c>
      <c r="W105" s="4">
        <f>W100*$H$22</f>
        <v>4.1374728669270002</v>
      </c>
      <c r="Z105" s="4">
        <f>Z100*$H$22</f>
        <v>8.7309770345259246</v>
      </c>
      <c r="AA105" s="37"/>
      <c r="AB105" s="42"/>
      <c r="AC105" s="43"/>
    </row>
    <row r="106" spans="1:29" ht="17" x14ac:dyDescent="0.2">
      <c r="B106" s="57"/>
      <c r="C106" s="55"/>
      <c r="E106" s="26"/>
      <c r="F106" s="14" t="s">
        <v>212</v>
      </c>
      <c r="H106" s="4">
        <f t="shared" si="9"/>
        <v>0</v>
      </c>
      <c r="K106" s="4">
        <f t="shared" si="10"/>
        <v>0</v>
      </c>
      <c r="N106" s="4">
        <f t="shared" si="11"/>
        <v>0</v>
      </c>
      <c r="Q106" s="4">
        <f t="shared" si="12"/>
        <v>0</v>
      </c>
      <c r="T106" s="4">
        <f t="shared" si="13"/>
        <v>0.1075</v>
      </c>
      <c r="W106" s="4">
        <f t="shared" si="14"/>
        <v>0.64483122500000001</v>
      </c>
      <c r="Z106" s="4">
        <f t="shared" si="15"/>
        <v>1.93381883997675</v>
      </c>
      <c r="AA106" s="37"/>
      <c r="AB106" s="42"/>
      <c r="AC106" s="43"/>
    </row>
    <row r="107" spans="1:29" x14ac:dyDescent="0.2">
      <c r="B107" s="29"/>
      <c r="C107" s="35"/>
      <c r="E107" s="26"/>
      <c r="F107" s="14"/>
      <c r="AA107" s="29"/>
      <c r="AB107" s="42"/>
      <c r="AC107" s="43"/>
    </row>
    <row r="108" spans="1:29" x14ac:dyDescent="0.2">
      <c r="B108" s="29"/>
      <c r="C108" s="35"/>
      <c r="E108" s="26"/>
      <c r="F108" s="14"/>
      <c r="AA108" s="29"/>
      <c r="AB108" s="42"/>
      <c r="AC108" s="43"/>
    </row>
    <row r="109" spans="1:29" ht="34" x14ac:dyDescent="0.2">
      <c r="E109" s="26"/>
      <c r="F109" s="15" t="s">
        <v>140</v>
      </c>
      <c r="G109" s="8" t="s">
        <v>124</v>
      </c>
      <c r="H109" s="8"/>
      <c r="AB109" s="42"/>
      <c r="AC109" s="43"/>
    </row>
    <row r="110" spans="1:29" ht="34" x14ac:dyDescent="0.2">
      <c r="B110" s="38" t="s">
        <v>234</v>
      </c>
      <c r="C110" s="34" t="s">
        <v>180</v>
      </c>
      <c r="E110" s="26"/>
      <c r="F110" s="14" t="s">
        <v>90</v>
      </c>
      <c r="G110" s="4">
        <f>$G$30</f>
        <v>0.3</v>
      </c>
      <c r="H110" s="4">
        <f>$H$30</f>
        <v>0.92</v>
      </c>
      <c r="J110" s="4">
        <f>$G$30</f>
        <v>0.3</v>
      </c>
      <c r="K110" s="4">
        <f>$H$30</f>
        <v>0.92</v>
      </c>
      <c r="M110" s="4">
        <f>$G$30</f>
        <v>0.3</v>
      </c>
      <c r="N110" s="4">
        <f>$H$30</f>
        <v>0.92</v>
      </c>
      <c r="P110" s="4">
        <f>$G$30</f>
        <v>0.3</v>
      </c>
      <c r="Q110" s="4">
        <f>$H$30</f>
        <v>0.92</v>
      </c>
      <c r="S110" s="4">
        <f>$G$30</f>
        <v>0.3</v>
      </c>
      <c r="T110" s="4">
        <f>$H$30</f>
        <v>0.92</v>
      </c>
      <c r="V110" s="4">
        <f>$G$30</f>
        <v>0.3</v>
      </c>
      <c r="W110" s="4">
        <f>$H$30</f>
        <v>0.92</v>
      </c>
      <c r="Y110" s="4">
        <f>$G$30</f>
        <v>0.3</v>
      </c>
      <c r="Z110" s="4">
        <f>$H$30</f>
        <v>0.92</v>
      </c>
      <c r="AA110" s="38"/>
      <c r="AB110" s="42"/>
      <c r="AC110" s="43"/>
    </row>
    <row r="111" spans="1:29" ht="34" x14ac:dyDescent="0.2">
      <c r="A111" s="50" t="s">
        <v>422</v>
      </c>
      <c r="B111" s="38" t="s">
        <v>235</v>
      </c>
      <c r="C111" s="28" t="s">
        <v>174</v>
      </c>
      <c r="F111" s="14" t="s">
        <v>141</v>
      </c>
      <c r="G111" s="4">
        <f>G7*$G$21</f>
        <v>7500000</v>
      </c>
      <c r="H111" s="4">
        <f>H7*$H$21</f>
        <v>25000000</v>
      </c>
      <c r="J111" s="4">
        <f>J7*$G$21</f>
        <v>7492500</v>
      </c>
      <c r="K111" s="4">
        <f>K7*$H$21</f>
        <v>24990000</v>
      </c>
      <c r="M111" s="4">
        <f>M7*$G$21</f>
        <v>7483200</v>
      </c>
      <c r="N111" s="4">
        <f>N7*$H$21</f>
        <v>24979000</v>
      </c>
      <c r="P111" s="4">
        <f>P7*$G$21</f>
        <v>7474500</v>
      </c>
      <c r="Q111" s="4">
        <f>Q7*$H$21</f>
        <v>24969600</v>
      </c>
      <c r="S111" s="4">
        <f>S7*$G$21</f>
        <v>7464000</v>
      </c>
      <c r="T111" s="4">
        <f>T7*$H$21</f>
        <v>24950400</v>
      </c>
      <c r="V111" s="4">
        <f>V7*$G$21</f>
        <v>7449000</v>
      </c>
      <c r="W111" s="4">
        <f>W7*$H$21</f>
        <v>24946500</v>
      </c>
      <c r="Y111" s="4">
        <f>Y7*$G$21</f>
        <v>7434300</v>
      </c>
      <c r="Z111" s="4">
        <f>Z7*$H$21</f>
        <v>24936000</v>
      </c>
      <c r="AA111" s="38" t="s">
        <v>467</v>
      </c>
      <c r="AB111" s="42" t="s">
        <v>370</v>
      </c>
      <c r="AC111" s="43" t="s">
        <v>319</v>
      </c>
    </row>
    <row r="112" spans="1:29" ht="34" x14ac:dyDescent="0.2">
      <c r="A112" s="50" t="s">
        <v>422</v>
      </c>
      <c r="B112" s="38" t="s">
        <v>181</v>
      </c>
      <c r="C112" s="28" t="s">
        <v>174</v>
      </c>
      <c r="F112" s="14" t="s">
        <v>164</v>
      </c>
      <c r="G112" s="4">
        <v>1</v>
      </c>
      <c r="H112" s="4">
        <v>1</v>
      </c>
      <c r="J112" s="4">
        <f>IF(G114=0,0,MIN(MAX((G114/G111-$G$18)/($G$20-$G$18), 0), 1))</f>
        <v>1</v>
      </c>
      <c r="K112" s="4">
        <f>IF(H114=0,0,MIN(MAX((H114/H111-$H$18)/($G$20-$H$18), 0), 1))</f>
        <v>1</v>
      </c>
      <c r="M112" s="4">
        <f>IF(J114=0,0,MIN(MAX((J114/J111-$G$18)/($G$20-$G$18), 0), 1))</f>
        <v>1</v>
      </c>
      <c r="N112" s="4">
        <f>IF(K114=0,0,MIN(MAX((K114/K111-$H$18)/($G$20-$H$18), 0), 1))</f>
        <v>1</v>
      </c>
      <c r="P112" s="4">
        <f>IF(M114=0,0,MIN(MAX((M114/M111-$G$18)/($G$20-$G$18), 0), 1))</f>
        <v>1</v>
      </c>
      <c r="Q112" s="4">
        <f>IF(N114=0,0,MIN(MAX((N114/N111-$H$18)/($G$20-$H$18), 0), 1))</f>
        <v>1</v>
      </c>
      <c r="S112" s="4">
        <f>IF(P114=0,0,MIN(MAX((P114/P111-$G$18)/($G$20-$G$18), 0), 1))</f>
        <v>1</v>
      </c>
      <c r="T112" s="4">
        <f>IF(Q114=0,0,MIN(MAX((Q114/Q111-$H$18)/($G$20-$H$18), 0), 1))</f>
        <v>1</v>
      </c>
      <c r="V112" s="4">
        <f>IF(S114=0,0,MIN(MAX((S114/S111-$G$18)/($G$20-$G$18), 0), 1))</f>
        <v>1</v>
      </c>
      <c r="W112" s="4">
        <f>IF(T114=0,0,MIN(MAX((T114/T111-$H$18)/($G$20-$H$18), 0), 1))</f>
        <v>1</v>
      </c>
      <c r="Y112" s="4">
        <f>IF(V114=0,0,MIN(MAX((V114/V111-$G$18)/($G$20-$G$18), 0), 1))</f>
        <v>0.8611518815783703</v>
      </c>
      <c r="Z112" s="4">
        <f>IF(W114=0,0,MIN(MAX((W114/W111-$H$18)/($G$20-$H$18), 0), 1))</f>
        <v>1</v>
      </c>
      <c r="AA112" s="38" t="s">
        <v>445</v>
      </c>
      <c r="AB112" s="42" t="s">
        <v>371</v>
      </c>
      <c r="AC112" s="43" t="s">
        <v>356</v>
      </c>
    </row>
    <row r="113" spans="1:29" ht="34" x14ac:dyDescent="0.2">
      <c r="A113" s="50" t="s">
        <v>422</v>
      </c>
      <c r="B113" s="38" t="s">
        <v>182</v>
      </c>
      <c r="C113" s="33" t="s">
        <v>163</v>
      </c>
      <c r="F113" s="14" t="s">
        <v>131</v>
      </c>
      <c r="G113" s="4">
        <f>G110</f>
        <v>0.3</v>
      </c>
      <c r="H113" s="4">
        <f>H110</f>
        <v>0.92</v>
      </c>
      <c r="J113" s="4">
        <f xml:space="preserve"> J110*J112</f>
        <v>0.3</v>
      </c>
      <c r="K113" s="4">
        <f>K110*K112</f>
        <v>0.92</v>
      </c>
      <c r="M113" s="4">
        <f xml:space="preserve"> M110*M112</f>
        <v>0.3</v>
      </c>
      <c r="N113" s="4">
        <f>N110*N112</f>
        <v>0.92</v>
      </c>
      <c r="P113" s="4">
        <f xml:space="preserve"> P110*P112</f>
        <v>0.3</v>
      </c>
      <c r="Q113" s="4">
        <f>Q110*Q112</f>
        <v>0.92</v>
      </c>
      <c r="S113" s="4">
        <f xml:space="preserve"> S110*S112</f>
        <v>0.3</v>
      </c>
      <c r="T113" s="4">
        <f>T110*T112</f>
        <v>0.92</v>
      </c>
      <c r="V113" s="4">
        <f xml:space="preserve"> V110*V112</f>
        <v>0.3</v>
      </c>
      <c r="W113" s="4">
        <f>W110*W112</f>
        <v>0.92</v>
      </c>
      <c r="Y113" s="4">
        <f xml:space="preserve"> Y110*Y112</f>
        <v>0.25834556447351109</v>
      </c>
      <c r="Z113" s="4">
        <f>Z110*Z112</f>
        <v>0.92</v>
      </c>
      <c r="AA113" s="38" t="s">
        <v>466</v>
      </c>
      <c r="AB113" s="42" t="s">
        <v>372</v>
      </c>
      <c r="AC113" s="43" t="s">
        <v>343</v>
      </c>
    </row>
    <row r="114" spans="1:29" ht="34" x14ac:dyDescent="0.2">
      <c r="A114" s="50" t="s">
        <v>422</v>
      </c>
      <c r="B114" s="38" t="s">
        <v>236</v>
      </c>
      <c r="C114" s="33" t="s">
        <v>163</v>
      </c>
      <c r="F114" s="14" t="s">
        <v>172</v>
      </c>
      <c r="G114" s="4">
        <f>G7*G21</f>
        <v>7500000</v>
      </c>
      <c r="H114" s="4">
        <f>H7*H21</f>
        <v>25000000</v>
      </c>
      <c r="J114" s="4">
        <f>G114 - G135 - G123 - G146+J113*J7</f>
        <v>6966918.08125271</v>
      </c>
      <c r="K114" s="4">
        <f>H114 - H135 - H123 - (H146 - H96)+ K113*K7</f>
        <v>23723974.534997292</v>
      </c>
      <c r="M114" s="4">
        <f>J114 - J135 - J123 - J146+M113*M7</f>
        <v>6430976.9232831635</v>
      </c>
      <c r="N114" s="4">
        <f>K114 - K135 - K123 - (K146 - K96)+ N113*N7</f>
        <v>22403030.169761121</v>
      </c>
      <c r="P114" s="4">
        <f>M114 - M135 - M123 - M146+P113*P7</f>
        <v>5878439.281534086</v>
      </c>
      <c r="Q114" s="4">
        <f>N114 - N135 - N123 - (N146 - N96)+ Q113*Q7</f>
        <v>21042661.125952005</v>
      </c>
      <c r="S114" s="4">
        <f>P114 - P135 - P123 - P146+S113*S7</f>
        <v>5319767.3070256906</v>
      </c>
      <c r="T114" s="4">
        <f>Q114 - Q135 - Q123 - (Q146 - Q96)+ T113*T7</f>
        <v>19588129.954529207</v>
      </c>
      <c r="V114" s="4">
        <f>S114 - S135 - S123 - S146+V113*V7</f>
        <v>4639771.7554611461</v>
      </c>
      <c r="W114" s="4">
        <f>T114 - T135 - T123 - (T146 - T96)+ W113*W7</f>
        <v>17473377.857190389</v>
      </c>
      <c r="Y114" s="4">
        <f>V114 - V135 - V123 - V146+Y113*Y7</f>
        <v>4179370.6044759089</v>
      </c>
      <c r="Z114" s="4">
        <f>W114 - W135 - W123 - (W146 - W96)+ Z113*Z7</f>
        <v>15778712.754563004</v>
      </c>
      <c r="AA114" s="38" t="s">
        <v>468</v>
      </c>
      <c r="AB114" s="42" t="s">
        <v>373</v>
      </c>
      <c r="AC114" s="43" t="s">
        <v>319</v>
      </c>
    </row>
    <row r="115" spans="1:29" ht="34" x14ac:dyDescent="0.2">
      <c r="A115" s="50" t="s">
        <v>422</v>
      </c>
      <c r="B115" s="38" t="s">
        <v>239</v>
      </c>
      <c r="C115" s="33" t="s">
        <v>163</v>
      </c>
      <c r="F115" s="14" t="s">
        <v>142</v>
      </c>
      <c r="G115" s="4">
        <f>IF(G7=0,0,G114/G7)</f>
        <v>150</v>
      </c>
      <c r="H115" s="4">
        <f>IF(H7=0,0,H114/H7)</f>
        <v>100</v>
      </c>
      <c r="J115" s="4">
        <f>IF(J7=0,0,J114/J7)</f>
        <v>139.47783946451872</v>
      </c>
      <c r="K115" s="4">
        <f>IF(K7=0,0,K114/K7)</f>
        <v>94.933871688664638</v>
      </c>
      <c r="M115" s="4">
        <f>IF(M7=0,0,M114/M7)</f>
        <v>128.90829304207753</v>
      </c>
      <c r="N115" s="4">
        <f>IF(N7=0,0,N114/N7)</f>
        <v>89.687458143885351</v>
      </c>
      <c r="P115" s="4">
        <f>IF(P7=0,0,P114/P7)</f>
        <v>117.96988323367621</v>
      </c>
      <c r="Q115" s="4">
        <f>IF(Q7=0,0,Q114/Q7)</f>
        <v>84.273120618480093</v>
      </c>
      <c r="S115" s="4">
        <f>IF(S7=0,0,S114/S7)</f>
        <v>106.90850697398896</v>
      </c>
      <c r="T115" s="4">
        <f>IF(T7=0,0,T114/T7)</f>
        <v>78.508280246125139</v>
      </c>
      <c r="V115" s="4">
        <f>IF(V7=0,0,V114/V7)</f>
        <v>93.430764306507172</v>
      </c>
      <c r="W115" s="4">
        <f>IF(W7=0,0,W114/W7)</f>
        <v>70.043404313993506</v>
      </c>
      <c r="Y115" s="4">
        <f>IF(Y7=0,0,Y114/Y7)</f>
        <v>84.326108802629207</v>
      </c>
      <c r="Z115" s="4">
        <f>IF(Z7=0,0,Z114/Z7)</f>
        <v>63.276839727955583</v>
      </c>
      <c r="AA115" s="38" t="s">
        <v>464</v>
      </c>
      <c r="AB115" s="42" t="s">
        <v>374</v>
      </c>
      <c r="AC115" s="43" t="s">
        <v>343</v>
      </c>
    </row>
    <row r="116" spans="1:29" ht="68" x14ac:dyDescent="0.2">
      <c r="A116" s="50" t="s">
        <v>422</v>
      </c>
      <c r="B116" s="38" t="s">
        <v>277</v>
      </c>
      <c r="C116" s="28" t="s">
        <v>174</v>
      </c>
      <c r="F116" s="10" t="s">
        <v>75</v>
      </c>
      <c r="G116" s="4">
        <f>MAX(G115-$G23,0)</f>
        <v>100.4134425</v>
      </c>
      <c r="H116" s="4">
        <f>MAX(H115-$H23,0)</f>
        <v>62.199106999999998</v>
      </c>
      <c r="J116" s="4">
        <f>MAX(J115-$G23,0)</f>
        <v>89.891281964518726</v>
      </c>
      <c r="K116" s="4">
        <f>MAX(K115-$H23,0)</f>
        <v>57.132978688664636</v>
      </c>
      <c r="M116" s="4">
        <f>MAX(M115-$G23,0)</f>
        <v>79.321735542077533</v>
      </c>
      <c r="N116" s="4">
        <f>MAX(N115-$H23,0)</f>
        <v>51.886565143885349</v>
      </c>
      <c r="P116" s="4">
        <f>MAX(P115-$G23,0)</f>
        <v>68.383325733676216</v>
      </c>
      <c r="Q116" s="4">
        <f>MAX(Q115-$H23,0)</f>
        <v>46.47222761848009</v>
      </c>
      <c r="S116" s="4">
        <f>MAX(S115-$G23,0)</f>
        <v>57.321949473988965</v>
      </c>
      <c r="T116" s="4">
        <f>MAX(T115-$H23,0)</f>
        <v>40.707387246125137</v>
      </c>
      <c r="V116" s="4">
        <f>MAX(V115-$G23,0)</f>
        <v>43.844206806507174</v>
      </c>
      <c r="W116" s="4">
        <f>MAX(W115-$H23,0)</f>
        <v>32.242511313993504</v>
      </c>
      <c r="Y116" s="4">
        <f>MAX(Y115-$G23,0)</f>
        <v>34.739551302629209</v>
      </c>
      <c r="Z116" s="4">
        <f>MAX(Z115-$H23,0)</f>
        <v>25.475946727955581</v>
      </c>
      <c r="AA116" s="38" t="s">
        <v>465</v>
      </c>
      <c r="AB116" s="46" t="s">
        <v>375</v>
      </c>
      <c r="AC116" s="43" t="s">
        <v>343</v>
      </c>
    </row>
    <row r="117" spans="1:29" x14ac:dyDescent="0.2">
      <c r="F117" s="13"/>
      <c r="AB117" s="42"/>
      <c r="AC117" s="43"/>
    </row>
    <row r="118" spans="1:29" ht="17" x14ac:dyDescent="0.2">
      <c r="F118" s="11" t="s">
        <v>58</v>
      </c>
      <c r="G118" s="12"/>
      <c r="H118" s="12"/>
      <c r="J118" s="12"/>
      <c r="K118" s="12"/>
      <c r="M118" s="12"/>
      <c r="N118" s="12"/>
      <c r="P118" s="12"/>
      <c r="Q118" s="12"/>
      <c r="S118" s="12"/>
      <c r="T118" s="12"/>
      <c r="V118" s="12"/>
      <c r="W118" s="12"/>
      <c r="Y118" s="12"/>
      <c r="Z118" s="12"/>
      <c r="AB118" s="42"/>
      <c r="AC118" s="43"/>
    </row>
    <row r="119" spans="1:29" ht="34" x14ac:dyDescent="0.2">
      <c r="A119" s="50" t="s">
        <v>422</v>
      </c>
      <c r="B119" s="38" t="s">
        <v>241</v>
      </c>
      <c r="C119" s="34" t="s">
        <v>180</v>
      </c>
      <c r="F119" s="10" t="s">
        <v>217</v>
      </c>
      <c r="G119" s="4">
        <f>G115*G7</f>
        <v>7500000</v>
      </c>
      <c r="H119" s="4">
        <f>H115*H7</f>
        <v>25000000</v>
      </c>
      <c r="J119" s="4">
        <f>J115*J7</f>
        <v>6966918.08125271</v>
      </c>
      <c r="K119" s="4">
        <f>K115*K7</f>
        <v>23723974.534997292</v>
      </c>
      <c r="M119" s="4">
        <f>M115*M7</f>
        <v>6430976.9232831635</v>
      </c>
      <c r="N119" s="4">
        <f>N115*N7</f>
        <v>22403030.169761121</v>
      </c>
      <c r="P119" s="4">
        <f>P115*P7</f>
        <v>5878439.281534086</v>
      </c>
      <c r="Q119" s="4">
        <f>Q115*Q7</f>
        <v>21042661.125952005</v>
      </c>
      <c r="S119" s="4">
        <f>S115*S7</f>
        <v>5319767.3070256906</v>
      </c>
      <c r="T119" s="4">
        <f>T115*T7</f>
        <v>19588129.954529207</v>
      </c>
      <c r="V119" s="4">
        <f>V115*V7</f>
        <v>4639771.7554611461</v>
      </c>
      <c r="W119" s="4">
        <f>W115*W7</f>
        <v>17473377.857190389</v>
      </c>
      <c r="Y119" s="4">
        <f>Y115*Y7</f>
        <v>4179370.6044759089</v>
      </c>
      <c r="Z119" s="4">
        <f>Z115*Z7</f>
        <v>15778712.754563004</v>
      </c>
      <c r="AA119" s="38"/>
      <c r="AB119" s="42"/>
      <c r="AC119" s="43"/>
    </row>
    <row r="120" spans="1:29" ht="34" x14ac:dyDescent="0.2">
      <c r="A120" s="50" t="s">
        <v>422</v>
      </c>
      <c r="B120" s="38" t="s">
        <v>240</v>
      </c>
      <c r="C120" s="33" t="s">
        <v>163</v>
      </c>
      <c r="F120" s="10" t="s">
        <v>216</v>
      </c>
      <c r="H120" s="4">
        <f>SUM(H98:H101)</f>
        <v>0</v>
      </c>
      <c r="K120" s="4">
        <f>SUM(K98:K101)</f>
        <v>0.85</v>
      </c>
      <c r="N120" s="4">
        <f>SUM(N98:N101)</f>
        <v>5.8986654999999999</v>
      </c>
      <c r="Q120" s="4">
        <f>SUM(Q98:Q101)</f>
        <v>21.009404595165002</v>
      </c>
      <c r="T120" s="4">
        <f>SUM(T98:T101)</f>
        <v>52.606419829950589</v>
      </c>
      <c r="W120" s="4">
        <f>SUM(W98:W101)</f>
        <v>112.31382775081757</v>
      </c>
      <c r="Z120" s="4">
        <f>SUM(Z98:Z101)</f>
        <v>215.49749504124878</v>
      </c>
      <c r="AA120" s="38" t="s">
        <v>320</v>
      </c>
      <c r="AB120" s="42" t="s">
        <v>409</v>
      </c>
      <c r="AC120" s="43" t="s">
        <v>347</v>
      </c>
    </row>
    <row r="121" spans="1:29" ht="34" x14ac:dyDescent="0.2">
      <c r="A121" s="50" t="s">
        <v>422</v>
      </c>
      <c r="B121" s="38" t="s">
        <v>237</v>
      </c>
      <c r="C121" s="33" t="s">
        <v>163</v>
      </c>
      <c r="F121" s="10" t="s">
        <v>215</v>
      </c>
      <c r="G121" s="4">
        <f>G119+G120</f>
        <v>7500000</v>
      </c>
      <c r="H121" s="4">
        <f>H119+H120</f>
        <v>25000000</v>
      </c>
      <c r="J121" s="4">
        <f>J119+J120</f>
        <v>6966918.08125271</v>
      </c>
      <c r="K121" s="4">
        <f>K119+K120</f>
        <v>23723975.384997293</v>
      </c>
      <c r="M121" s="4">
        <f>M119+M120</f>
        <v>6430976.9232831635</v>
      </c>
      <c r="N121" s="4">
        <f>N119+N120</f>
        <v>22403036.06842662</v>
      </c>
      <c r="P121" s="4">
        <f>P119+P120</f>
        <v>5878439.281534086</v>
      </c>
      <c r="Q121" s="4">
        <f>Q119+Q120</f>
        <v>21042682.135356601</v>
      </c>
      <c r="S121" s="4">
        <f>S119+S120</f>
        <v>5319767.3070256906</v>
      </c>
      <c r="T121" s="4">
        <f>T119+T120</f>
        <v>19588182.560949039</v>
      </c>
      <c r="V121" s="4">
        <f>V119+V120</f>
        <v>4639771.7554611461</v>
      </c>
      <c r="W121" s="4">
        <f>W119+W120</f>
        <v>17473490.171018139</v>
      </c>
      <c r="Y121" s="4">
        <f>Y119+Y120</f>
        <v>4179370.6044759089</v>
      </c>
      <c r="Z121" s="4">
        <f>Z119+Z120</f>
        <v>15778928.252058046</v>
      </c>
      <c r="AA121" s="38" t="s">
        <v>463</v>
      </c>
      <c r="AB121" s="42" t="s">
        <v>460</v>
      </c>
      <c r="AC121" s="43" t="s">
        <v>319</v>
      </c>
    </row>
    <row r="122" spans="1:29" ht="34" x14ac:dyDescent="0.2">
      <c r="A122" s="50" t="s">
        <v>422</v>
      </c>
      <c r="B122" s="38" t="s">
        <v>238</v>
      </c>
      <c r="C122" s="33" t="s">
        <v>163</v>
      </c>
      <c r="F122" s="10" t="s">
        <v>218</v>
      </c>
      <c r="G122" s="4">
        <f>G121*$G$22</f>
        <v>2250000</v>
      </c>
      <c r="H122" s="4">
        <f>H121*$H$22</f>
        <v>6250000</v>
      </c>
      <c r="J122" s="4">
        <f>J121*$G$22</f>
        <v>2090075.424375813</v>
      </c>
      <c r="K122" s="4">
        <f>K121*$H$22</f>
        <v>5930993.8462493233</v>
      </c>
      <c r="M122" s="4">
        <f>M121*$G$22</f>
        <v>1929293.0769849489</v>
      </c>
      <c r="N122" s="4">
        <f>N121*$H$22</f>
        <v>5600759.0171066551</v>
      </c>
      <c r="P122" s="4">
        <f>P121*$G$22</f>
        <v>1763531.7844602258</v>
      </c>
      <c r="Q122" s="4">
        <f>Q121*$H$22</f>
        <v>5260670.5338391503</v>
      </c>
      <c r="S122" s="4">
        <f>S121*$G$22</f>
        <v>1595930.192107707</v>
      </c>
      <c r="T122" s="4">
        <f>T121*$H$22</f>
        <v>4897045.6402372597</v>
      </c>
      <c r="V122" s="4">
        <f>V121*$G$22</f>
        <v>1391931.5266383437</v>
      </c>
      <c r="W122" s="4">
        <f>W121*$H$22</f>
        <v>4368372.5427545346</v>
      </c>
      <c r="Y122" s="4">
        <f>Y121*$G$22</f>
        <v>1253811.1813427727</v>
      </c>
      <c r="Z122" s="4">
        <f>Z121*$H$22</f>
        <v>3944732.0630145115</v>
      </c>
      <c r="AA122" s="38" t="s">
        <v>462</v>
      </c>
      <c r="AB122" s="42" t="s">
        <v>461</v>
      </c>
      <c r="AC122" s="43" t="s">
        <v>319</v>
      </c>
    </row>
    <row r="123" spans="1:29" ht="17" x14ac:dyDescent="0.2">
      <c r="A123" s="50" t="s">
        <v>422</v>
      </c>
      <c r="B123" s="38" t="s">
        <v>276</v>
      </c>
      <c r="C123" s="28" t="s">
        <v>174</v>
      </c>
      <c r="F123" s="10" t="s">
        <v>264</v>
      </c>
      <c r="G123" s="4">
        <f>G12*G115</f>
        <v>7500</v>
      </c>
      <c r="H123" s="4">
        <f>H12*H115</f>
        <v>10000</v>
      </c>
      <c r="J123" s="4">
        <f>J12*J115</f>
        <v>8647.6260468001601</v>
      </c>
      <c r="K123" s="4">
        <f>K12*K115</f>
        <v>10442.725885753111</v>
      </c>
      <c r="M123" s="4">
        <f>M12*M115</f>
        <v>7476.6809964404965</v>
      </c>
      <c r="N123" s="4">
        <f>N12*N115</f>
        <v>8430.6210655252235</v>
      </c>
      <c r="P123" s="4">
        <f>P12*P115</f>
        <v>8257.8918263573341</v>
      </c>
      <c r="Q123" s="4">
        <f>Q12*Q115</f>
        <v>16180.439158748177</v>
      </c>
      <c r="S123" s="4">
        <f>S12*S115</f>
        <v>10690.850697398897</v>
      </c>
      <c r="T123" s="4">
        <f>T12*T115</f>
        <v>3061.8229295988804</v>
      </c>
      <c r="V123" s="4">
        <f>V12*V115</f>
        <v>9156.2149020377037</v>
      </c>
      <c r="W123" s="4">
        <f>W12*W115</f>
        <v>7354.5574529693185</v>
      </c>
      <c r="Y123" s="4">
        <f>Y12*Y115</f>
        <v>8263.958662657662</v>
      </c>
      <c r="Z123" s="4">
        <f>Z12*Z115</f>
        <v>7340.1134084428477</v>
      </c>
      <c r="AA123" s="38" t="s">
        <v>481</v>
      </c>
      <c r="AB123" s="42" t="s">
        <v>376</v>
      </c>
      <c r="AC123" s="43" t="s">
        <v>319</v>
      </c>
    </row>
    <row r="124" spans="1:29" ht="51" x14ac:dyDescent="0.2">
      <c r="A124" s="50" t="s">
        <v>422</v>
      </c>
      <c r="B124" s="38" t="s">
        <v>260</v>
      </c>
      <c r="C124" s="28" t="s">
        <v>174</v>
      </c>
      <c r="F124" s="10" t="s">
        <v>265</v>
      </c>
      <c r="G124" s="4">
        <f>MIN(G123,G12*G16)</f>
        <v>250</v>
      </c>
      <c r="H124" s="4">
        <f>MIN(H123,H12*H16)</f>
        <v>1000</v>
      </c>
      <c r="J124" s="4">
        <f>MIN(J123,J12*J16)</f>
        <v>316.2</v>
      </c>
      <c r="K124" s="4">
        <f>MIN(K123,K12*K16)</f>
        <v>1078</v>
      </c>
      <c r="M124" s="4">
        <f>MIN(M123,M12*M16)</f>
        <v>301.60000000000002</v>
      </c>
      <c r="N124" s="4">
        <f>MIN(N123,N12*N16)</f>
        <v>921.2</v>
      </c>
      <c r="P124" s="4">
        <f>MIN(P123,P12*P16)</f>
        <v>329</v>
      </c>
      <c r="Q124" s="4">
        <f>MIN(Q123,Q12*Q16)</f>
        <v>1900.8000000000002</v>
      </c>
      <c r="S124" s="4">
        <f>MIN(S123,S12*S16)</f>
        <v>520</v>
      </c>
      <c r="T124" s="4">
        <f>MIN(T123,T12*T16)</f>
        <v>393.9</v>
      </c>
      <c r="V124" s="4">
        <f>MIN(V123,V12*V16)</f>
        <v>401.79999999999995</v>
      </c>
      <c r="W124" s="4">
        <f>MIN(W123,W12*W16)</f>
        <v>1155</v>
      </c>
      <c r="Y124" s="4">
        <f>MIN(Y123,Y12*Y16)</f>
        <v>499.79999999999995</v>
      </c>
      <c r="Z124" s="4">
        <f>MIN(Z123,Z12*Z16)</f>
        <v>1044</v>
      </c>
      <c r="AA124" s="38" t="s">
        <v>482</v>
      </c>
      <c r="AB124" s="42" t="s">
        <v>479</v>
      </c>
      <c r="AC124" s="43" t="s">
        <v>319</v>
      </c>
    </row>
    <row r="125" spans="1:29" ht="34" x14ac:dyDescent="0.2">
      <c r="A125" s="50" t="s">
        <v>422</v>
      </c>
      <c r="B125" s="38" t="s">
        <v>278</v>
      </c>
      <c r="C125" s="28" t="s">
        <v>174</v>
      </c>
      <c r="F125" s="10" t="s">
        <v>252</v>
      </c>
      <c r="G125" s="4">
        <f>(G123-G124)*$G$15</f>
        <v>5075</v>
      </c>
      <c r="H125" s="4">
        <f>(H123-H124+H55)*$G$15</f>
        <v>6300</v>
      </c>
      <c r="J125" s="4">
        <f>(J123-J124)*$G$15</f>
        <v>5831.998232760111</v>
      </c>
      <c r="K125" s="4">
        <f>(K123-K124+K55)*$G$15</f>
        <v>6555.3081200271772</v>
      </c>
      <c r="M125" s="4">
        <f>(M123-M124)*$G$15</f>
        <v>5022.5566975083466</v>
      </c>
      <c r="N125" s="4">
        <f>(N123-N124+N55)*$G$15</f>
        <v>5256.5947458676565</v>
      </c>
      <c r="P125" s="4">
        <f>(P123-P124)*$G$15</f>
        <v>5550.2242784501332</v>
      </c>
      <c r="Q125" s="4">
        <f>(Q123-Q124+Q55)*$G$15</f>
        <v>9995.7474111237243</v>
      </c>
      <c r="S125" s="4">
        <f>(S123-S124)*$G$15</f>
        <v>7119.5954881792277</v>
      </c>
      <c r="T125" s="4">
        <f>(T123-T124+T55)*$G$15</f>
        <v>1867.5460507192161</v>
      </c>
      <c r="V125" s="4">
        <f>(V123-V124)*$G$15</f>
        <v>6128.0904314263926</v>
      </c>
      <c r="W125" s="4">
        <f>(W123-W124+W55)*$G$15</f>
        <v>4339.6902170785224</v>
      </c>
      <c r="Y125" s="4">
        <f>(Y123-Y124)*$G$15</f>
        <v>5434.9110638603634</v>
      </c>
      <c r="Z125" s="4">
        <f>(Z123-Z124+Z55)*$G$15</f>
        <v>4407.2793859099929</v>
      </c>
      <c r="AA125" s="38" t="s">
        <v>483</v>
      </c>
      <c r="AB125" s="42" t="s">
        <v>480</v>
      </c>
      <c r="AC125" s="43" t="s">
        <v>319</v>
      </c>
    </row>
    <row r="126" spans="1:29" ht="34" x14ac:dyDescent="0.2">
      <c r="A126" s="50" t="s">
        <v>422</v>
      </c>
      <c r="B126" s="38" t="s">
        <v>253</v>
      </c>
      <c r="C126" s="33" t="s">
        <v>163</v>
      </c>
      <c r="F126" s="14" t="s">
        <v>250</v>
      </c>
      <c r="G126" s="4">
        <f>MIN(G125+H125, G34)</f>
        <v>11375</v>
      </c>
      <c r="J126" s="4">
        <f>MIN(J125+K125, J34)</f>
        <v>12387.306352787287</v>
      </c>
      <c r="M126" s="4">
        <f>MIN(M125+N125, M34)</f>
        <v>10279.151443376002</v>
      </c>
      <c r="P126" s="4">
        <f>MIN(P125+Q125, P34)</f>
        <v>15545.971689573857</v>
      </c>
      <c r="S126" s="4">
        <f>MIN(S125+T125, S34)</f>
        <v>8987.1415388984442</v>
      </c>
      <c r="V126" s="4">
        <f>MIN(V125+W125, V34)</f>
        <v>10467.780648504915</v>
      </c>
      <c r="Y126" s="4">
        <f>MIN(Y125+Z125, Y34)</f>
        <v>9842.1904497703563</v>
      </c>
      <c r="AA126" s="38" t="s">
        <v>327</v>
      </c>
      <c r="AB126" s="42" t="s">
        <v>328</v>
      </c>
      <c r="AC126" s="43" t="s">
        <v>326</v>
      </c>
    </row>
    <row r="127" spans="1:29" ht="34" x14ac:dyDescent="0.2">
      <c r="A127" s="50" t="s">
        <v>422</v>
      </c>
      <c r="B127" s="38" t="s">
        <v>254</v>
      </c>
      <c r="C127" s="28" t="s">
        <v>174</v>
      </c>
      <c r="F127" s="14" t="s">
        <v>266</v>
      </c>
      <c r="G127" s="4">
        <f>G125/(G125+H125)</f>
        <v>0.44615384615384618</v>
      </c>
      <c r="H127" s="4">
        <f>H125/(G125+H125)</f>
        <v>0.55384615384615388</v>
      </c>
      <c r="J127" s="4">
        <f>J125/(J125+K125)</f>
        <v>0.47080439174315275</v>
      </c>
      <c r="K127" s="4">
        <f>K125/(J125+K125)</f>
        <v>0.52919560825684731</v>
      </c>
      <c r="M127" s="4">
        <f>M125/(M125+N125)</f>
        <v>0.48861588674665718</v>
      </c>
      <c r="N127" s="4">
        <f>N125/(M125+N125)</f>
        <v>0.51138411325334288</v>
      </c>
      <c r="P127" s="4">
        <f>P125/(P125+Q125)</f>
        <v>0.35702009429056636</v>
      </c>
      <c r="Q127" s="4">
        <f>Q125/(P125+Q125)</f>
        <v>0.64297990570943375</v>
      </c>
      <c r="S127" s="4">
        <f>S125/(S125+T125)</f>
        <v>0.79219799280605052</v>
      </c>
      <c r="T127" s="4">
        <f>T125/(S125+T125)</f>
        <v>0.2078020071939494</v>
      </c>
      <c r="V127" s="4">
        <f>V125/(V125+W125)</f>
        <v>0.58542403945975419</v>
      </c>
      <c r="W127" s="4">
        <f>W125/(V125+W125)</f>
        <v>0.41457596054024581</v>
      </c>
      <c r="Y127" s="4">
        <f>Y125/(Y125+Z125)</f>
        <v>0.55220543552753276</v>
      </c>
      <c r="Z127" s="4">
        <f>Z125/(Y125+Z125)</f>
        <v>0.44779456447246724</v>
      </c>
      <c r="AA127" s="38" t="s">
        <v>486</v>
      </c>
      <c r="AB127" s="42" t="s">
        <v>377</v>
      </c>
      <c r="AC127" s="43" t="s">
        <v>357</v>
      </c>
    </row>
    <row r="128" spans="1:29" ht="68" x14ac:dyDescent="0.2">
      <c r="A128" s="50" t="s">
        <v>422</v>
      </c>
      <c r="B128" s="38" t="s">
        <v>183</v>
      </c>
      <c r="C128" s="28" t="s">
        <v>174</v>
      </c>
      <c r="F128" s="10" t="s">
        <v>121</v>
      </c>
      <c r="G128" s="4">
        <f>MAX(G14-G28, 0)*G116</f>
        <v>4513584.2403750001</v>
      </c>
      <c r="H128" s="4">
        <f>MAX(H14-H28, 0)*H116</f>
        <v>12433601.4893</v>
      </c>
      <c r="J128" s="4">
        <f>MAX(J14-J28, 0)*J116</f>
        <v>4035039.8648233167</v>
      </c>
      <c r="K128" s="4">
        <f>MAX(K14-K28, 0)*K116</f>
        <v>11414597.812208308</v>
      </c>
      <c r="M128" s="4">
        <f>MAX(M14-M28, 0)*M116</f>
        <v>3516332.5365802972</v>
      </c>
      <c r="N128" s="4">
        <f>MAX(N14-N28, 0)*N116</f>
        <v>10361539.512973329</v>
      </c>
      <c r="P128" s="4">
        <f>MAX(P14-P28, 0)*P116</f>
        <v>2992454.3341056714</v>
      </c>
      <c r="Q128" s="4">
        <f>MAX(Q14-Q28, 0)*Q116</f>
        <v>9271395.2987972517</v>
      </c>
      <c r="S128" s="4">
        <f>MAX(S14-S28, 0)*S116</f>
        <v>2474015.3392973635</v>
      </c>
      <c r="T128" s="4">
        <f>MAX(T14-T28, 0)*T116</f>
        <v>8160406.3842944754</v>
      </c>
      <c r="V128" s="4">
        <f>MAX(V14-V28, 0)*V116</f>
        <v>1857328.2887372568</v>
      </c>
      <c r="W128" s="4">
        <f>MAX(W14-W28, 0)*W116</f>
        <v>6443988.3112147413</v>
      </c>
      <c r="Y128" s="4">
        <f>MAX(Y14-Y28, 0)*Y116</f>
        <v>1468232.3962543209</v>
      </c>
      <c r="Z128" s="4">
        <f>MAX(Z14-Z28, 0)*Z116</f>
        <v>5088667.5032287594</v>
      </c>
      <c r="AA128" s="38" t="s">
        <v>484</v>
      </c>
      <c r="AB128" s="42" t="s">
        <v>329</v>
      </c>
      <c r="AC128" s="43" t="s">
        <v>319</v>
      </c>
    </row>
    <row r="129" spans="1:30" x14ac:dyDescent="0.2">
      <c r="AB129" s="42"/>
      <c r="AC129" s="43"/>
    </row>
    <row r="130" spans="1:30" ht="17" x14ac:dyDescent="0.2">
      <c r="F130" s="15" t="s">
        <v>73</v>
      </c>
      <c r="G130" s="8"/>
      <c r="H130" s="8"/>
      <c r="J130" s="8"/>
      <c r="K130" s="8"/>
      <c r="M130" s="8"/>
      <c r="N130" s="8"/>
      <c r="P130" s="8"/>
      <c r="Q130" s="8"/>
      <c r="S130" s="8"/>
      <c r="T130" s="8"/>
      <c r="V130" s="8"/>
      <c r="W130" s="8"/>
      <c r="Y130" s="8"/>
      <c r="Z130" s="8"/>
      <c r="AB130" s="42"/>
      <c r="AC130" s="43"/>
    </row>
    <row r="131" spans="1:30" ht="51" x14ac:dyDescent="0.2">
      <c r="B131" s="38" t="s">
        <v>255</v>
      </c>
      <c r="C131" s="28" t="s">
        <v>174</v>
      </c>
      <c r="F131" s="14" t="s">
        <v>257</v>
      </c>
      <c r="G131" s="4">
        <f>MAX(G34-G126,0)</f>
        <v>1988625</v>
      </c>
      <c r="J131" s="4">
        <f>MAX(J34-J126,0)</f>
        <v>2037612.6936472128</v>
      </c>
      <c r="M131" s="4">
        <f>MAX(M34-M126,0)</f>
        <v>2099720.8485566238</v>
      </c>
      <c r="P131" s="4">
        <f>MAX(P34-P126,0)</f>
        <v>2194454.028310426</v>
      </c>
      <c r="S131" s="4">
        <f>MAX(S34-S126,0)</f>
        <v>2991012.8584611015</v>
      </c>
      <c r="V131" s="4">
        <f>MAX(V34-V126,0)</f>
        <v>24989532.219351497</v>
      </c>
      <c r="Y131" s="4">
        <f>MAX(Y34-Y126,0)</f>
        <v>2510157.8095502295</v>
      </c>
      <c r="AA131" s="38" t="s">
        <v>442</v>
      </c>
      <c r="AB131" s="42" t="s">
        <v>410</v>
      </c>
      <c r="AC131" s="43" t="s">
        <v>345</v>
      </c>
    </row>
    <row r="132" spans="1:30" ht="34" x14ac:dyDescent="0.2">
      <c r="B132" s="38" t="s">
        <v>256</v>
      </c>
      <c r="C132" s="28" t="s">
        <v>174</v>
      </c>
      <c r="F132" s="10" t="s">
        <v>165</v>
      </c>
      <c r="G132" s="4">
        <f>MIN(G142,G131)</f>
        <v>1988625</v>
      </c>
      <c r="J132" s="4">
        <f>MIN(J142,J131)</f>
        <v>2037612.6936472128</v>
      </c>
      <c r="M132" s="4">
        <f>MIN(M142,M131)</f>
        <v>2099720.8485566238</v>
      </c>
      <c r="P132" s="4">
        <f>MIN(P142,P131)</f>
        <v>2194454.028310426</v>
      </c>
      <c r="S132" s="4">
        <f>MIN(S142,S131)</f>
        <v>2991012.8584611015</v>
      </c>
      <c r="V132" s="4">
        <f>MIN(V142,V131)</f>
        <v>2349768.217245861</v>
      </c>
      <c r="Y132" s="4">
        <f>MIN(Y142,Y131)</f>
        <v>388638.22348903998</v>
      </c>
      <c r="AA132" s="38" t="s">
        <v>441</v>
      </c>
      <c r="AB132" s="42" t="s">
        <v>411</v>
      </c>
      <c r="AC132" s="43" t="s">
        <v>326</v>
      </c>
    </row>
    <row r="133" spans="1:30" ht="34" x14ac:dyDescent="0.2">
      <c r="B133" s="38" t="s">
        <v>267</v>
      </c>
      <c r="C133" s="28" t="s">
        <v>174</v>
      </c>
      <c r="F133" s="10" t="s">
        <v>123</v>
      </c>
      <c r="G133" s="4">
        <f>G131-G132</f>
        <v>0</v>
      </c>
      <c r="J133" s="4">
        <f>J131-J132</f>
        <v>0</v>
      </c>
      <c r="M133" s="4">
        <f>M131-M132</f>
        <v>0</v>
      </c>
      <c r="P133" s="4">
        <f>P131-P132</f>
        <v>0</v>
      </c>
      <c r="S133" s="4">
        <f>S131-S132</f>
        <v>0</v>
      </c>
      <c r="V133" s="4">
        <f>V131-V132</f>
        <v>22639764.002105635</v>
      </c>
      <c r="Y133" s="4">
        <f>Y131-Y132</f>
        <v>2121519.5860611894</v>
      </c>
      <c r="AA133" s="38" t="s">
        <v>440</v>
      </c>
      <c r="AB133" s="42" t="s">
        <v>412</v>
      </c>
      <c r="AC133" s="43" t="s">
        <v>330</v>
      </c>
    </row>
    <row r="134" spans="1:30" ht="34" x14ac:dyDescent="0.2">
      <c r="B134" s="38" t="s">
        <v>214</v>
      </c>
      <c r="C134" s="28" t="s">
        <v>174</v>
      </c>
      <c r="F134" s="10" t="s">
        <v>146</v>
      </c>
      <c r="G134" s="4">
        <f>MIN(G133,H78)</f>
        <v>0</v>
      </c>
      <c r="J134" s="4">
        <f>MIN(J133,K78)</f>
        <v>0</v>
      </c>
      <c r="M134" s="4">
        <f>MIN(M133,N78)</f>
        <v>0</v>
      </c>
      <c r="P134" s="4">
        <f>MIN(P133,Q78)</f>
        <v>0</v>
      </c>
      <c r="S134" s="4">
        <f>MIN(S133,T78)</f>
        <v>0</v>
      </c>
      <c r="V134" s="4">
        <f>MIN(V133,W78)</f>
        <v>0</v>
      </c>
      <c r="Y134" s="4">
        <f>MIN(Y133,Z78)</f>
        <v>0</v>
      </c>
      <c r="AA134" s="38" t="s">
        <v>437</v>
      </c>
      <c r="AB134" s="42" t="s">
        <v>413</v>
      </c>
      <c r="AC134" s="43" t="s">
        <v>326</v>
      </c>
    </row>
    <row r="135" spans="1:30" ht="34" x14ac:dyDescent="0.2">
      <c r="B135" s="38" t="s">
        <v>263</v>
      </c>
      <c r="C135" s="28" t="s">
        <v>174</v>
      </c>
      <c r="F135" s="10" t="s">
        <v>120</v>
      </c>
      <c r="G135" s="4">
        <f>G143*G132</f>
        <v>529635.22104433016</v>
      </c>
      <c r="H135" s="4">
        <f>H143*G132</f>
        <v>1458989.7789556701</v>
      </c>
      <c r="J135" s="4">
        <f>J143*J132</f>
        <v>532170.95570853585</v>
      </c>
      <c r="K135" s="4">
        <f>K143*J132</f>
        <v>1505441.737938677</v>
      </c>
      <c r="M135" s="4">
        <f>M143*M132</f>
        <v>550789.80536667234</v>
      </c>
      <c r="N135" s="4">
        <f>N143*M132</f>
        <v>1548931.0431899517</v>
      </c>
      <c r="P135" s="4">
        <f>P143*P132</f>
        <v>557000.38851015724</v>
      </c>
      <c r="Q135" s="4">
        <f>Q143*P132</f>
        <v>1637453.6398002687</v>
      </c>
      <c r="S135" s="4">
        <f>S143*S132</f>
        <v>676930.2312938408</v>
      </c>
      <c r="T135" s="4">
        <f>T143*S132</f>
        <v>2314082.6271672607</v>
      </c>
      <c r="V135" s="4">
        <f>V143*V132</f>
        <v>457497.26325426705</v>
      </c>
      <c r="W135" s="4">
        <f>W143*V132</f>
        <v>1892270.9539915938</v>
      </c>
      <c r="Y135" s="4">
        <f>Y143*Y132</f>
        <v>52472.144479718736</v>
      </c>
      <c r="Z135" s="4">
        <f>Z143*Y132</f>
        <v>336166.07900932123</v>
      </c>
      <c r="AA135" s="38" t="s">
        <v>438</v>
      </c>
      <c r="AB135" s="42" t="s">
        <v>378</v>
      </c>
      <c r="AC135" s="43" t="s">
        <v>348</v>
      </c>
    </row>
    <row r="136" spans="1:30" ht="34" x14ac:dyDescent="0.2">
      <c r="B136" s="38" t="s">
        <v>268</v>
      </c>
      <c r="C136" s="33" t="s">
        <v>163</v>
      </c>
      <c r="F136" s="10" t="s">
        <v>165</v>
      </c>
      <c r="G136" s="4">
        <f>G135</f>
        <v>529635.22104433016</v>
      </c>
      <c r="H136" s="4">
        <f>H135+G134</f>
        <v>1458989.7789556701</v>
      </c>
      <c r="J136" s="4">
        <f>J135</f>
        <v>532170.95570853585</v>
      </c>
      <c r="K136" s="4">
        <f>K135+J134</f>
        <v>1505441.737938677</v>
      </c>
      <c r="M136" s="4">
        <f>M135</f>
        <v>550789.80536667234</v>
      </c>
      <c r="N136" s="4">
        <f>N135+M134</f>
        <v>1548931.0431899517</v>
      </c>
      <c r="P136" s="4">
        <f>P135</f>
        <v>557000.38851015724</v>
      </c>
      <c r="Q136" s="4">
        <f>Q135+P134</f>
        <v>1637453.6398002687</v>
      </c>
      <c r="S136" s="4">
        <f>S135</f>
        <v>676930.2312938408</v>
      </c>
      <c r="T136" s="4">
        <f>T135+S134</f>
        <v>2314082.6271672607</v>
      </c>
      <c r="V136" s="4">
        <f>V135</f>
        <v>457497.26325426705</v>
      </c>
      <c r="W136" s="4">
        <f>W135+V134</f>
        <v>1892270.9539915938</v>
      </c>
      <c r="Y136" s="4">
        <f>Y135</f>
        <v>52472.144479718736</v>
      </c>
      <c r="Z136" s="4">
        <f>Z135+Y134</f>
        <v>336166.07900932123</v>
      </c>
      <c r="AA136" s="38" t="s">
        <v>439</v>
      </c>
      <c r="AB136" s="42" t="s">
        <v>444</v>
      </c>
      <c r="AC136" s="43" t="s">
        <v>348</v>
      </c>
    </row>
    <row r="137" spans="1:30" ht="17" x14ac:dyDescent="0.2">
      <c r="F137" s="15" t="s">
        <v>74</v>
      </c>
      <c r="G137" s="8"/>
      <c r="H137" s="8"/>
      <c r="J137" s="8"/>
      <c r="K137" s="8"/>
      <c r="M137" s="8"/>
      <c r="N137" s="8"/>
      <c r="P137" s="8"/>
      <c r="Q137" s="8"/>
      <c r="S137" s="8"/>
      <c r="T137" s="8"/>
      <c r="V137" s="8"/>
      <c r="W137" s="8"/>
      <c r="Y137" s="8"/>
      <c r="Z137" s="8"/>
      <c r="AB137" s="42"/>
      <c r="AC137" s="43"/>
    </row>
    <row r="138" spans="1:30" ht="119" x14ac:dyDescent="0.2">
      <c r="B138" s="38" t="s">
        <v>271</v>
      </c>
      <c r="C138" s="28" t="s">
        <v>174</v>
      </c>
      <c r="F138" s="10" t="s">
        <v>137</v>
      </c>
      <c r="G138" s="4">
        <f>G116/$G$24</f>
        <v>1</v>
      </c>
      <c r="H138" s="4">
        <f>H116/$H$24</f>
        <v>1</v>
      </c>
      <c r="J138" s="4">
        <f>J116/$G$24</f>
        <v>0.8952116342841121</v>
      </c>
      <c r="K138" s="4">
        <f>K116/$H$24</f>
        <v>0.91854982240604577</v>
      </c>
      <c r="M138" s="4">
        <f>M116/$G$24</f>
        <v>0.78995136076604022</v>
      </c>
      <c r="N138" s="4">
        <f>N116/$H$24</f>
        <v>0.83420112677639169</v>
      </c>
      <c r="P138" s="4">
        <f>P116/$G$24</f>
        <v>0.681017640976468</v>
      </c>
      <c r="Q138" s="4">
        <f>Q116/$H$24</f>
        <v>0.74715264993241937</v>
      </c>
      <c r="S138" s="4">
        <f>S116/$G$24</f>
        <v>0.57085931969705117</v>
      </c>
      <c r="T138" s="4">
        <f>T116/$H$24</f>
        <v>0.6544689981823234</v>
      </c>
      <c r="V138" s="4">
        <f>V116/$G$24</f>
        <v>0.43663682585633068</v>
      </c>
      <c r="W138" s="4">
        <f>W116/$H$24</f>
        <v>0.51837579137580714</v>
      </c>
      <c r="Y138" s="4">
        <f>Y116/$G$24</f>
        <v>0.34596514607722179</v>
      </c>
      <c r="Z138" s="4">
        <f>Z116/$H$24</f>
        <v>0.40958701751064658</v>
      </c>
      <c r="AA138" s="38" t="s">
        <v>359</v>
      </c>
      <c r="AB138" s="42" t="s">
        <v>379</v>
      </c>
      <c r="AC138" s="43" t="s">
        <v>356</v>
      </c>
      <c r="AD138">
        <v>20</v>
      </c>
    </row>
    <row r="139" spans="1:30" ht="34" x14ac:dyDescent="0.2">
      <c r="A139" s="48" t="s">
        <v>286</v>
      </c>
      <c r="B139" s="38" t="s">
        <v>184</v>
      </c>
      <c r="C139" s="28" t="s">
        <v>174</v>
      </c>
      <c r="F139" s="10" t="s">
        <v>185</v>
      </c>
      <c r="G139" s="4">
        <f>MAX(MIN((G138-$G$18)/$G$19, 1), 0)</f>
        <v>1</v>
      </c>
      <c r="H139" s="4">
        <f>MAX(MIN((H138-$H$18)/$H$19, 1), 0)</f>
        <v>1</v>
      </c>
      <c r="J139" s="4">
        <f>MAX(MIN((J138-$G$18)/$G$19, 1), 0)</f>
        <v>1</v>
      </c>
      <c r="K139" s="4">
        <f>MAX(MIN((K138-$H$18)/$H$19, 1), 0)</f>
        <v>1</v>
      </c>
      <c r="M139" s="4">
        <f>MAX(MIN((M138-$G$18)/$G$19, 1), 0)</f>
        <v>1</v>
      </c>
      <c r="N139" s="4">
        <f>MAX(MIN((N138-$H$18)/$H$19, 1), 0)</f>
        <v>0.95435915135809635</v>
      </c>
      <c r="P139" s="4">
        <f>MAX(MIN((P138-$G$18)/$G$19, 1), 0)</f>
        <v>0.81388590259622062</v>
      </c>
      <c r="Q139" s="4">
        <f>MAX(MIN((Q138-$H$18)/$H$19, 1), 0)</f>
        <v>0.77225276927863951</v>
      </c>
      <c r="S139" s="4">
        <f>MAX(MIN((S138-$G$18)/$G$19, 1), 0)</f>
        <v>0.55804708982295081</v>
      </c>
      <c r="T139" s="4">
        <f>MAX(MIN((T138-$H$18)/$H$19, 1), 0)</f>
        <v>0.57835753859728811</v>
      </c>
      <c r="V139" s="4">
        <f>MAX(MIN((V138-$G$18)/$G$19, 1), 0)</f>
        <v>0.2463200856997155</v>
      </c>
      <c r="W139" s="4">
        <f>MAX(MIN((W138-$H$18)/$H$19, 1), 0)</f>
        <v>0.29364903575296619</v>
      </c>
      <c r="Y139" s="4">
        <f>MAX(MIN((Y138-$G$18)/$G$19, 1), 0)</f>
        <v>3.5738309966176322E-2</v>
      </c>
      <c r="Z139" s="4">
        <f>MAX(MIN((Z138-$H$18)/$H$19, 1), 0)</f>
        <v>6.6061710417515754E-2</v>
      </c>
      <c r="AA139" s="39" t="s">
        <v>333</v>
      </c>
      <c r="AB139" s="42" t="s">
        <v>380</v>
      </c>
      <c r="AC139" s="43" t="s">
        <v>356</v>
      </c>
      <c r="AD139">
        <v>20</v>
      </c>
    </row>
    <row r="140" spans="1:30" x14ac:dyDescent="0.2">
      <c r="B140" s="38"/>
      <c r="AA140" s="38"/>
      <c r="AB140" s="42"/>
      <c r="AC140" s="43"/>
      <c r="AD140">
        <v>20</v>
      </c>
    </row>
    <row r="141" spans="1:30" ht="51" x14ac:dyDescent="0.2">
      <c r="B141" s="38" t="s">
        <v>186</v>
      </c>
      <c r="C141" s="28" t="s">
        <v>174</v>
      </c>
      <c r="F141" s="10" t="s">
        <v>76</v>
      </c>
      <c r="G141" s="4">
        <f>G128*G139</f>
        <v>4513584.2403750001</v>
      </c>
      <c r="H141" s="4">
        <f>H128*H139</f>
        <v>12433601.4893</v>
      </c>
      <c r="J141" s="4">
        <f>J128*J139</f>
        <v>4035039.8648233167</v>
      </c>
      <c r="K141" s="4">
        <f>K128*K139</f>
        <v>11414597.812208308</v>
      </c>
      <c r="M141" s="4">
        <f>M128*M139</f>
        <v>3516332.5365802972</v>
      </c>
      <c r="N141" s="4">
        <f>N128*N139</f>
        <v>9888630.0563646089</v>
      </c>
      <c r="P141" s="4">
        <f>P128*P139</f>
        <v>2435516.3966915668</v>
      </c>
      <c r="Q141" s="4">
        <f>Q128*Q139</f>
        <v>7159860.694573137</v>
      </c>
      <c r="S141" s="4">
        <f>S128*S139</f>
        <v>1380617.060272234</v>
      </c>
      <c r="T141" s="4">
        <f>T128*T139</f>
        <v>4719632.5503741484</v>
      </c>
      <c r="V141" s="4">
        <f>V128*V139</f>
        <v>457497.26325426705</v>
      </c>
      <c r="W141" s="4">
        <f>W128*W139</f>
        <v>1892270.9539915938</v>
      </c>
      <c r="Y141" s="4">
        <f>Y128*Y139</f>
        <v>52472.144479718736</v>
      </c>
      <c r="Z141" s="4">
        <f>Z128*Z139</f>
        <v>336166.07900932123</v>
      </c>
      <c r="AA141" s="38" t="s">
        <v>485</v>
      </c>
      <c r="AB141" s="42" t="s">
        <v>381</v>
      </c>
      <c r="AC141" s="43" t="s">
        <v>319</v>
      </c>
      <c r="AD141">
        <v>20</v>
      </c>
    </row>
    <row r="142" spans="1:30" ht="34" x14ac:dyDescent="0.2">
      <c r="B142" s="38" t="s">
        <v>187</v>
      </c>
      <c r="C142" s="28" t="s">
        <v>174</v>
      </c>
      <c r="F142" s="10" t="s">
        <v>122</v>
      </c>
      <c r="G142" s="4">
        <f>G141+H141</f>
        <v>16947185.729674999</v>
      </c>
      <c r="H142" s="4">
        <f>G142</f>
        <v>16947185.729674999</v>
      </c>
      <c r="J142" s="4">
        <f>J141+K141</f>
        <v>15449637.677031625</v>
      </c>
      <c r="K142" s="4">
        <f>J142</f>
        <v>15449637.677031625</v>
      </c>
      <c r="M142" s="4">
        <f>M141+N141</f>
        <v>13404962.592944905</v>
      </c>
      <c r="N142" s="4">
        <f>M142</f>
        <v>13404962.592944905</v>
      </c>
      <c r="P142" s="4">
        <f>P141+Q141</f>
        <v>9595377.0912647042</v>
      </c>
      <c r="Q142" s="4">
        <f>P142</f>
        <v>9595377.0912647042</v>
      </c>
      <c r="S142" s="4">
        <f>S141+T141</f>
        <v>6100249.610646382</v>
      </c>
      <c r="T142" s="4">
        <f>S142</f>
        <v>6100249.610646382</v>
      </c>
      <c r="V142" s="4">
        <f>V141+W141</f>
        <v>2349768.217245861</v>
      </c>
      <c r="W142" s="4">
        <f>V142</f>
        <v>2349768.217245861</v>
      </c>
      <c r="Y142" s="4">
        <f>Y141+Z141</f>
        <v>388638.22348903998</v>
      </c>
      <c r="Z142" s="4">
        <f>Y142</f>
        <v>388638.22348903998</v>
      </c>
      <c r="AA142" s="38" t="s">
        <v>360</v>
      </c>
      <c r="AB142" s="42" t="s">
        <v>331</v>
      </c>
      <c r="AC142" s="43" t="s">
        <v>344</v>
      </c>
    </row>
    <row r="143" spans="1:30" ht="34" x14ac:dyDescent="0.2">
      <c r="B143" s="38" t="s">
        <v>188</v>
      </c>
      <c r="C143" s="28" t="s">
        <v>174</v>
      </c>
      <c r="F143" s="10" t="s">
        <v>119</v>
      </c>
      <c r="G143" s="4">
        <f>G141/G142</f>
        <v>0.26633237591015407</v>
      </c>
      <c r="H143" s="4">
        <f>H141/H142</f>
        <v>0.73366762408984598</v>
      </c>
      <c r="J143" s="4">
        <f>J141/J142</f>
        <v>0.26117375366168316</v>
      </c>
      <c r="K143" s="4">
        <f>K141/K142</f>
        <v>0.73882624633831684</v>
      </c>
      <c r="M143" s="4">
        <f>M141/M142</f>
        <v>0.26231572913384776</v>
      </c>
      <c r="N143" s="4">
        <f>N141/N142</f>
        <v>0.73768427086615229</v>
      </c>
      <c r="P143" s="4">
        <f>P141/P142</f>
        <v>0.25382185332859675</v>
      </c>
      <c r="Q143" s="4">
        <f>Q141/Q142</f>
        <v>0.74617814667140325</v>
      </c>
      <c r="S143" s="4">
        <f>S141/S142</f>
        <v>0.22632140459674469</v>
      </c>
      <c r="T143" s="4">
        <f>T141/T142</f>
        <v>0.77367859540325534</v>
      </c>
      <c r="V143" s="4">
        <f>V141/V142</f>
        <v>0.19469888982943809</v>
      </c>
      <c r="W143" s="4">
        <f>W141/W142</f>
        <v>0.80530111017056183</v>
      </c>
      <c r="Y143" s="4">
        <f>Y141/Y142</f>
        <v>0.13501539814752295</v>
      </c>
      <c r="Z143" s="4">
        <f>Z141/Z142</f>
        <v>0.86498460185247705</v>
      </c>
      <c r="AA143" s="38" t="s">
        <v>332</v>
      </c>
      <c r="AB143" s="42" t="s">
        <v>382</v>
      </c>
      <c r="AC143" s="43" t="s">
        <v>357</v>
      </c>
    </row>
    <row r="144" spans="1:30" x14ac:dyDescent="0.2">
      <c r="AB144" s="42"/>
      <c r="AC144" s="43"/>
    </row>
    <row r="145" spans="2:29" ht="17" x14ac:dyDescent="0.2">
      <c r="F145" s="15" t="s">
        <v>251</v>
      </c>
      <c r="G145" s="8"/>
      <c r="H145" s="8"/>
      <c r="J145" s="8"/>
      <c r="K145" s="8"/>
      <c r="M145" s="8"/>
      <c r="N145" s="8"/>
      <c r="P145" s="8"/>
      <c r="Q145" s="8"/>
      <c r="S145" s="8"/>
      <c r="T145" s="8"/>
      <c r="V145" s="8"/>
      <c r="W145" s="8"/>
      <c r="Y145" s="8"/>
      <c r="Z145" s="8"/>
      <c r="AB145" s="42"/>
      <c r="AC145" s="43"/>
    </row>
    <row r="146" spans="2:29" ht="51" x14ac:dyDescent="0.2">
      <c r="B146" s="38" t="s">
        <v>269</v>
      </c>
      <c r="C146" s="33" t="s">
        <v>163</v>
      </c>
      <c r="F146" s="10" t="s">
        <v>201</v>
      </c>
      <c r="G146" s="4">
        <f>(G114 - G135 - G123)*$G$31</f>
        <v>10931.697702960402</v>
      </c>
      <c r="H146" s="4">
        <f>(H114 - H135 - H123)*$H$31+H96</f>
        <v>36943.686047039599</v>
      </c>
      <c r="J146" s="4">
        <f>(J114 - J135 - J123)*$G$31</f>
        <v>10088.976214210876</v>
      </c>
      <c r="K146" s="4">
        <f>(K114 - K135 - K123)*$H$31+K96</f>
        <v>34866.701411741393</v>
      </c>
      <c r="M146" s="4">
        <f>(M114 - M135 - M123)*$G$31</f>
        <v>9220.1553859644791</v>
      </c>
      <c r="N146" s="4">
        <f>(N114 - N135 - N123)*$H$31+N96</f>
        <v>32727.700888143867</v>
      </c>
      <c r="P146" s="4">
        <f>(P114 - P135 - P123)*$G$31</f>
        <v>8341.6941718801863</v>
      </c>
      <c r="Q146" s="4">
        <f>(Q114 - Q135 - Q123)*$H$31+Q96</f>
        <v>30440.781724683824</v>
      </c>
      <c r="S146" s="4">
        <f>(S114 - S135 - S123)*$G$31</f>
        <v>7272.4695733040871</v>
      </c>
      <c r="T146" s="4">
        <f>(T114 - T135 - T123)*$H$31+T96</f>
        <v>27115.480226723997</v>
      </c>
      <c r="V146" s="4">
        <f>(V114 - V135 - V123)*$G$31</f>
        <v>6551.7956953686007</v>
      </c>
      <c r="W146" s="4">
        <f>(W114 - W135 - W123)*$H$31+W96</f>
        <v>24450.873774900079</v>
      </c>
      <c r="Y146" s="4">
        <f>(Y114 - Y135 - Y123)*$G$31</f>
        <v>6466.2561670936466</v>
      </c>
      <c r="Z146" s="4">
        <f>(Z114 - Z135 - Z123)*$H$31+Z96</f>
        <v>24233.450635277597</v>
      </c>
      <c r="AA146" s="38" t="s">
        <v>453</v>
      </c>
      <c r="AB146" s="42" t="s">
        <v>383</v>
      </c>
      <c r="AC146" s="43" t="s">
        <v>315</v>
      </c>
    </row>
    <row r="147" spans="2:29" x14ac:dyDescent="0.2">
      <c r="B147" s="38" t="s">
        <v>285</v>
      </c>
      <c r="C147" s="33" t="s">
        <v>163</v>
      </c>
      <c r="G147" s="4">
        <f>G146*$G22</f>
        <v>3279.5093108881206</v>
      </c>
      <c r="H147" s="4">
        <f>H146*$H22</f>
        <v>9235.9215117598997</v>
      </c>
      <c r="J147" s="4">
        <f>J146*$G22</f>
        <v>3026.6928642632624</v>
      </c>
      <c r="K147" s="4">
        <f>K146*$H22</f>
        <v>8716.6753529353482</v>
      </c>
      <c r="M147" s="4">
        <f>M146*$G22</f>
        <v>2766.0466157893438</v>
      </c>
      <c r="N147" s="4">
        <f>N146*$H22</f>
        <v>8181.9252220359667</v>
      </c>
      <c r="P147" s="4">
        <f>P146*$G22</f>
        <v>2502.5082515640556</v>
      </c>
      <c r="Q147" s="4">
        <f>Q146*$H22</f>
        <v>7610.195431170956</v>
      </c>
      <c r="S147" s="4">
        <f>S146*$G22</f>
        <v>2181.740871991226</v>
      </c>
      <c r="T147" s="4">
        <f>T146*$H22</f>
        <v>6778.8700566809994</v>
      </c>
      <c r="V147" s="4">
        <f>V146*$G22</f>
        <v>1965.5387086105802</v>
      </c>
      <c r="W147" s="4">
        <f>W146*$H22</f>
        <v>6112.7184437250198</v>
      </c>
      <c r="Y147" s="4">
        <f>Y146*$G22</f>
        <v>1939.8768501280938</v>
      </c>
      <c r="Z147" s="4">
        <f>Z146*$H22</f>
        <v>6058.3626588193993</v>
      </c>
      <c r="AA147" s="38" t="s">
        <v>454</v>
      </c>
      <c r="AB147" s="42" t="s">
        <v>384</v>
      </c>
      <c r="AC147" s="43" t="s">
        <v>315</v>
      </c>
    </row>
    <row r="148" spans="2:29" ht="51" x14ac:dyDescent="0.2">
      <c r="B148" s="38" t="s">
        <v>270</v>
      </c>
      <c r="C148" s="33" t="s">
        <v>163</v>
      </c>
      <c r="F148" s="14" t="s">
        <v>213</v>
      </c>
      <c r="G148" s="4">
        <f>G135*$G22</f>
        <v>158890.56631329903</v>
      </c>
      <c r="H148" s="4">
        <f>(H135+G134)*$H22</f>
        <v>364747.44473891752</v>
      </c>
      <c r="J148" s="4">
        <f>J135*$G22</f>
        <v>159651.28671256074</v>
      </c>
      <c r="K148" s="4">
        <f>(K135+J134)*$H22</f>
        <v>376360.43448466924</v>
      </c>
      <c r="M148" s="4">
        <f>M135*$G22</f>
        <v>165236.9416100017</v>
      </c>
      <c r="N148" s="4">
        <f>(N135+M134)*$H22</f>
        <v>387232.76079748792</v>
      </c>
      <c r="P148" s="4">
        <f>P135*$G22</f>
        <v>167100.11655304718</v>
      </c>
      <c r="Q148" s="4">
        <f>(Q135+P134)*$H22</f>
        <v>409363.40995006717</v>
      </c>
      <c r="S148" s="4">
        <f>S135*$G22</f>
        <v>203079.06938815225</v>
      </c>
      <c r="T148" s="4">
        <f>(T135+S134)*$H22</f>
        <v>578520.65679181518</v>
      </c>
      <c r="V148" s="4">
        <f>V135*$G22</f>
        <v>137249.17897628012</v>
      </c>
      <c r="W148" s="4">
        <f>(W135+V134)*$H22</f>
        <v>473067.73849789845</v>
      </c>
      <c r="Y148" s="4">
        <f>Y135*$G22</f>
        <v>15741.643343915621</v>
      </c>
      <c r="Z148" s="4">
        <f>(Z135+Y134)*$H22</f>
        <v>84041.519752330307</v>
      </c>
      <c r="AA148" s="38" t="s">
        <v>336</v>
      </c>
      <c r="AB148" s="42" t="s">
        <v>385</v>
      </c>
      <c r="AC148" s="43" t="s">
        <v>315</v>
      </c>
    </row>
    <row r="149" spans="2:29" ht="34" x14ac:dyDescent="0.2">
      <c r="B149" s="38" t="s">
        <v>176</v>
      </c>
      <c r="C149" s="33" t="s">
        <v>163</v>
      </c>
      <c r="F149" s="10" t="s">
        <v>166</v>
      </c>
      <c r="G149" s="4">
        <f>G123-G126*G127-G124</f>
        <v>2175</v>
      </c>
      <c r="H149" s="4">
        <f>H123-G126*H127-H124+H55</f>
        <v>2700</v>
      </c>
      <c r="J149" s="4">
        <f>J123-J126*J127-J124</f>
        <v>2499.4278140400493</v>
      </c>
      <c r="K149" s="4">
        <f>K123-J126*K127-K124+K55</f>
        <v>2809.4177657259334</v>
      </c>
      <c r="M149" s="4">
        <f>M123-M126*M127-M124</f>
        <v>2152.52429893215</v>
      </c>
      <c r="N149" s="4">
        <f>N123-M126*N127-N124+N55</f>
        <v>2252.8263196575672</v>
      </c>
      <c r="P149" s="4">
        <f>P123-P126*P127-P124</f>
        <v>2378.667547907201</v>
      </c>
      <c r="Q149" s="4">
        <f>Q123-P126*Q127-Q124+Q55</f>
        <v>4283.8917476244524</v>
      </c>
      <c r="S149" s="4">
        <f>S123-S126*S127-S124</f>
        <v>3051.2552092196693</v>
      </c>
      <c r="T149" s="4">
        <f>T123-S126*T127-T124+T55</f>
        <v>800.37687887966456</v>
      </c>
      <c r="V149" s="4">
        <f>V123-V126*V127-V124</f>
        <v>2626.324470611311</v>
      </c>
      <c r="W149" s="4">
        <f>W123-V126*W127-W124+W55</f>
        <v>1859.8672358907961</v>
      </c>
      <c r="Y149" s="4">
        <f>Y123-Y126*Y127-Y124</f>
        <v>2329.2475987972985</v>
      </c>
      <c r="Z149" s="4">
        <f>Z123-Y126*Z127-Z124+Z55</f>
        <v>1888.8340225328548</v>
      </c>
      <c r="AA149" s="38" t="s">
        <v>337</v>
      </c>
      <c r="AB149" s="42" t="s">
        <v>386</v>
      </c>
      <c r="AC149" s="43" t="s">
        <v>315</v>
      </c>
    </row>
    <row r="150" spans="2:29" ht="34" x14ac:dyDescent="0.2">
      <c r="B150" s="38" t="s">
        <v>177</v>
      </c>
      <c r="C150" s="33" t="s">
        <v>163</v>
      </c>
      <c r="F150" s="10" t="s">
        <v>167</v>
      </c>
      <c r="G150" s="4">
        <f>MAX((G123 - G124)*$G22-G17*G9,0)</f>
        <v>2128.25</v>
      </c>
      <c r="H150" s="4">
        <f>MAX((H123-H124+H55)*$H22-H17*H9,0)</f>
        <v>2058</v>
      </c>
      <c r="J150" s="4">
        <f>MAX((J123 - J124)*$G22-J17*J9,0)</f>
        <v>2440.2984140400481</v>
      </c>
      <c r="K150" s="4">
        <f>MAX((K123-K124+K55)*$H22-K17*K9,0)</f>
        <v>2134.2054714382775</v>
      </c>
      <c r="M150" s="4">
        <f>MAX((M123 - M124)*$G22-M17*M9,0)</f>
        <v>2096.1250989321488</v>
      </c>
      <c r="N150" s="4">
        <f>MAX((N123-N124+N55)*$H22-N17*N9,0)</f>
        <v>1700.4848663813059</v>
      </c>
      <c r="P150" s="4">
        <f>MAX((P123 - P124)*$G22-P17*P9,0)</f>
        <v>2317.1445479071999</v>
      </c>
      <c r="Q150" s="4">
        <f>MAX((Q123-Q124+Q55)*$H22-Q17*Q9,0)</f>
        <v>3204.9561896870446</v>
      </c>
      <c r="S150" s="4">
        <f>MAX((S123 - S124)*$G22-S17*S9,0)</f>
        <v>2954.0152092196686</v>
      </c>
      <c r="T150" s="4">
        <f>MAX((T123-T124+T55)*$H22-T17*T9,0)</f>
        <v>591.35193239972011</v>
      </c>
      <c r="V150" s="4">
        <f>MAX((V123 - V124)*$G22-V17*V9,0)</f>
        <v>2551.1878706113116</v>
      </c>
      <c r="W150" s="4">
        <f>MAX((W123-W124+W55)*$H22-W17*W9,0)</f>
        <v>1328.1293632423296</v>
      </c>
      <c r="Y150" s="4">
        <f>MAX((Y123 - Y124)*$G22-Y17*Y9,0)</f>
        <v>2235.7849987972986</v>
      </c>
      <c r="Z150" s="4">
        <f>MAX((Z123-Z124+Z55)*$H22-Z17*Z9,0)</f>
        <v>1373.5803521107118</v>
      </c>
      <c r="AA150" s="38" t="s">
        <v>334</v>
      </c>
      <c r="AB150" s="42" t="s">
        <v>387</v>
      </c>
      <c r="AC150" s="43" t="s">
        <v>315</v>
      </c>
    </row>
    <row r="151" spans="2:29" x14ac:dyDescent="0.2">
      <c r="B151" s="38" t="s">
        <v>284</v>
      </c>
      <c r="C151" s="33" t="s">
        <v>163</v>
      </c>
      <c r="G151" s="4">
        <f>J113*J7*(1+$G22)</f>
        <v>19480.5</v>
      </c>
      <c r="H151" s="4">
        <f>(K113*K7+SUMPRODUCT(H39:H42,H87:H90))*(1+$H22)</f>
        <v>287385</v>
      </c>
      <c r="J151" s="4">
        <f>M113*M7*(1+$G22)</f>
        <v>19456.32</v>
      </c>
      <c r="K151" s="4">
        <f>(N113*N7+SUMPRODUCT(K39:K42,K87:K90))*(1+$H22)</f>
        <v>287259.5625</v>
      </c>
      <c r="M151" s="4">
        <f>P113*P7*(1+$G22)</f>
        <v>19433.7</v>
      </c>
      <c r="N151" s="4">
        <f>(Q113*Q7+SUMPRODUCT(N39:N42,N87:N90))*(1+$H22)</f>
        <v>287156.71250000002</v>
      </c>
      <c r="P151" s="4">
        <f>S113*S7*(1+$G22)</f>
        <v>19406.400000000001</v>
      </c>
      <c r="Q151" s="4">
        <f>(T113*T7+SUMPRODUCT(Q39:Q42,Q87:Q90))*(1+$H22)</f>
        <v>286948.5</v>
      </c>
      <c r="S151" s="4">
        <f>V113*V7*(1+$G22)</f>
        <v>19367.400000000001</v>
      </c>
      <c r="T151" s="4">
        <f>(W113*W7+SUMPRODUCT(T39:T42,T87:T90))*(1+$H22)</f>
        <v>286924.28750000003</v>
      </c>
      <c r="V151" s="4">
        <f>Y113*Y7*(1+$G22)</f>
        <v>16645.359726367005</v>
      </c>
      <c r="W151" s="4">
        <f>(Z113*Z7+SUMPRODUCT(W39:W42,W87:W90))*(1+$H22)</f>
        <v>286838.73750000005</v>
      </c>
      <c r="Y151" s="4" t="e">
        <f>AB113*AB7*(1+$G22)</f>
        <v>#VALUE!</v>
      </c>
      <c r="Z151" s="4" t="e">
        <f>(AC113*AC7+SUMPRODUCT(Z39:Z42,Z87:Z90))*(1+$H22)</f>
        <v>#VALUE!</v>
      </c>
      <c r="AA151" s="38" t="s">
        <v>338</v>
      </c>
      <c r="AB151" s="42" t="s">
        <v>388</v>
      </c>
      <c r="AC151" s="43" t="s">
        <v>342</v>
      </c>
    </row>
    <row r="152" spans="2:29" x14ac:dyDescent="0.2">
      <c r="AB152" s="42"/>
      <c r="AC152" s="43"/>
    </row>
    <row r="153" spans="2:29" x14ac:dyDescent="0.2">
      <c r="AB153" s="42"/>
      <c r="AC153" s="43"/>
    </row>
    <row r="154" spans="2:29" x14ac:dyDescent="0.2">
      <c r="B154" s="24" t="s">
        <v>262</v>
      </c>
      <c r="G154" s="4">
        <f>G149+G124</f>
        <v>2425</v>
      </c>
      <c r="H154" s="4">
        <f>H149+H124</f>
        <v>3700</v>
      </c>
      <c r="J154" s="4">
        <f>J149+J124</f>
        <v>2815.6278140400491</v>
      </c>
      <c r="K154" s="4">
        <f>K149+K124</f>
        <v>3887.4177657259334</v>
      </c>
      <c r="M154" s="4">
        <f>M149+M124</f>
        <v>2454.1242989321499</v>
      </c>
      <c r="N154" s="4">
        <f>N149+N124</f>
        <v>3174.026319657567</v>
      </c>
      <c r="P154" s="4">
        <f>P149+P124</f>
        <v>2707.667547907201</v>
      </c>
      <c r="Q154" s="4">
        <f>Q149+Q124</f>
        <v>6184.6917476244525</v>
      </c>
      <c r="S154" s="4">
        <f>S149+S124</f>
        <v>3571.2552092196693</v>
      </c>
      <c r="T154" s="4">
        <f>T149+T124</f>
        <v>1194.2768788796645</v>
      </c>
      <c r="V154" s="4">
        <f>V149+V124</f>
        <v>3028.1244706113112</v>
      </c>
      <c r="W154" s="4">
        <f>W149+W124</f>
        <v>3014.8672358907961</v>
      </c>
      <c r="Y154" s="4">
        <f>Y149+Y124</f>
        <v>2829.0475987972986</v>
      </c>
      <c r="Z154" s="4">
        <f>Z149+Z124</f>
        <v>2932.8340225328548</v>
      </c>
      <c r="AB154" s="42"/>
      <c r="AC154" s="43"/>
    </row>
    <row r="155" spans="2:29" x14ac:dyDescent="0.2">
      <c r="AB155" s="42"/>
      <c r="AC155" s="43"/>
    </row>
    <row r="156" spans="2:29" x14ac:dyDescent="0.2">
      <c r="B156" s="38" t="s">
        <v>272</v>
      </c>
      <c r="C156" s="33" t="s">
        <v>163</v>
      </c>
      <c r="G156" s="4">
        <f>G126+G135+H135+G134</f>
        <v>2000000.0000000002</v>
      </c>
      <c r="J156" s="4">
        <f>J126+J135+K135</f>
        <v>2050000</v>
      </c>
      <c r="M156" s="4">
        <f>M126+M135+N135</f>
        <v>2110000</v>
      </c>
      <c r="P156" s="4">
        <f>P126+P135+Q135</f>
        <v>2210000</v>
      </c>
      <c r="S156" s="4">
        <f>S126+S135+T135</f>
        <v>3000000</v>
      </c>
      <c r="V156" s="4">
        <f>V126+V135+W135</f>
        <v>2360235.9978943658</v>
      </c>
      <c r="Y156" s="4">
        <f>Y126+Y135+Z135</f>
        <v>398480.41393881035</v>
      </c>
      <c r="AA156" s="38" t="s">
        <v>339</v>
      </c>
      <c r="AB156" s="42" t="s">
        <v>414</v>
      </c>
      <c r="AC156" s="43" t="s">
        <v>349</v>
      </c>
    </row>
    <row r="157" spans="2:29" x14ac:dyDescent="0.2">
      <c r="G157" s="4">
        <f>G156/G34</f>
        <v>1.0000000000000002</v>
      </c>
      <c r="J157" s="4">
        <f>J156/J34</f>
        <v>1</v>
      </c>
      <c r="M157" s="4">
        <f>M156/M34</f>
        <v>1</v>
      </c>
      <c r="P157" s="4">
        <f>P156/P34</f>
        <v>1</v>
      </c>
      <c r="S157" s="4">
        <f>S156/S34</f>
        <v>1</v>
      </c>
      <c r="V157" s="4">
        <f>V156/V34</f>
        <v>9.4409439915774634E-2</v>
      </c>
      <c r="Y157" s="4">
        <f>Y156/Y34</f>
        <v>0.15812714838841679</v>
      </c>
      <c r="AA157" s="38"/>
      <c r="AB157" s="42"/>
      <c r="AC157" s="43"/>
    </row>
    <row r="158" spans="2:29" x14ac:dyDescent="0.2">
      <c r="B158" s="38" t="s">
        <v>361</v>
      </c>
      <c r="C158" s="31" t="s">
        <v>162</v>
      </c>
      <c r="AA158" s="38" t="s">
        <v>362</v>
      </c>
      <c r="AB158" s="42" t="s">
        <v>363</v>
      </c>
      <c r="AC158" s="43" t="s">
        <v>364</v>
      </c>
    </row>
    <row r="159" spans="2:29" x14ac:dyDescent="0.2">
      <c r="B159" s="38"/>
      <c r="AA159" s="38"/>
      <c r="AB159" s="42"/>
      <c r="AC159" s="43"/>
    </row>
    <row r="160" spans="2:29" x14ac:dyDescent="0.2">
      <c r="AA160" s="38"/>
      <c r="AB160" s="42"/>
      <c r="AC160" s="43"/>
    </row>
    <row r="161" spans="27:30" x14ac:dyDescent="0.2">
      <c r="AA161" s="38"/>
      <c r="AB161" s="42"/>
      <c r="AC161" s="43"/>
    </row>
    <row r="162" spans="27:30" x14ac:dyDescent="0.2">
      <c r="AA162" s="38"/>
      <c r="AB162" s="42"/>
      <c r="AC162" s="43"/>
      <c r="AD162">
        <v>20</v>
      </c>
    </row>
    <row r="163" spans="27:30" x14ac:dyDescent="0.2">
      <c r="AA163" s="38"/>
      <c r="AB163" s="42"/>
      <c r="AC163" s="43"/>
      <c r="AD163">
        <v>20</v>
      </c>
    </row>
    <row r="164" spans="27:30" x14ac:dyDescent="0.2">
      <c r="AA164" s="38"/>
      <c r="AB164" s="42"/>
      <c r="AC164" s="43"/>
      <c r="AD164">
        <v>20</v>
      </c>
    </row>
    <row r="165" spans="27:30" x14ac:dyDescent="0.2">
      <c r="AA165" s="38"/>
      <c r="AB165" s="42"/>
      <c r="AC165" s="43"/>
    </row>
    <row r="166" spans="27:30" x14ac:dyDescent="0.2">
      <c r="AA166" s="38"/>
      <c r="AB166" s="42"/>
      <c r="AC166" s="43"/>
    </row>
  </sheetData>
  <mergeCells count="36">
    <mergeCell ref="B103:B106"/>
    <mergeCell ref="C103:C106"/>
    <mergeCell ref="B50:B53"/>
    <mergeCell ref="C50:C53"/>
    <mergeCell ref="E50:E53"/>
    <mergeCell ref="C80:C84"/>
    <mergeCell ref="C87:C90"/>
    <mergeCell ref="B98:B101"/>
    <mergeCell ref="C98:C101"/>
    <mergeCell ref="B92:B95"/>
    <mergeCell ref="C92:C95"/>
    <mergeCell ref="B74:B77"/>
    <mergeCell ref="C74:C77"/>
    <mergeCell ref="C39:C42"/>
    <mergeCell ref="C63:C66"/>
    <mergeCell ref="B69:B72"/>
    <mergeCell ref="C69:C72"/>
    <mergeCell ref="C44:C47"/>
    <mergeCell ref="B44:B47"/>
    <mergeCell ref="B63:B66"/>
    <mergeCell ref="B57:B60"/>
    <mergeCell ref="C57:C60"/>
    <mergeCell ref="AE4:AG4"/>
    <mergeCell ref="I2:J2"/>
    <mergeCell ref="I3:J3"/>
    <mergeCell ref="J5:K5"/>
    <mergeCell ref="M5:N5"/>
    <mergeCell ref="E19:E20"/>
    <mergeCell ref="E71:E73"/>
    <mergeCell ref="E76:E79"/>
    <mergeCell ref="Y5:Z5"/>
    <mergeCell ref="P5:Q5"/>
    <mergeCell ref="S5:T5"/>
    <mergeCell ref="V5:W5"/>
    <mergeCell ref="G5:H5"/>
    <mergeCell ref="E30:E31"/>
  </mergeCells>
  <phoneticPr fontId="5" type="noConversion"/>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7113C-E57E-E340-957C-77A5927B4CD4}">
  <dimension ref="A1"/>
  <sheetViews>
    <sheetView workbookViewId="0"/>
  </sheetViews>
  <sheetFormatPr baseColWidth="10" defaultRowHeight="16"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cl_1</vt:lpstr>
      <vt:lpstr>cl_2</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James Coburn Syme</dc:creator>
  <cp:lastModifiedBy>James Coburn Syme</cp:lastModifiedBy>
  <dcterms:created xsi:type="dcterms:W3CDTF">2025-10-11T19:34:45Z</dcterms:created>
  <dcterms:modified xsi:type="dcterms:W3CDTF">2026-08-26T20:35:40Z</dcterms:modified>
</cp:coreProperties>
</file>