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96BCE304-90C2-984A-9BC2-F6666261E3B0}" xr6:coauthVersionLast="47" xr6:coauthVersionMax="47" xr10:uidLastSave="{00000000-0000-0000-0000-000000000000}"/>
  <bookViews>
    <workbookView xWindow="2280" yWindow="760" windowWidth="3368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" i="3" l="1"/>
  <c r="P7" i="3"/>
  <c r="S7" i="3" s="1"/>
  <c r="S8" i="3"/>
  <c r="P8" i="3"/>
  <c r="M8" i="3"/>
  <c r="J8" i="3"/>
  <c r="G8" i="3"/>
  <c r="M49" i="3"/>
  <c r="N47" i="3"/>
  <c r="N46" i="3"/>
  <c r="Q45" i="3"/>
  <c r="N49" i="3"/>
  <c r="N48" i="3"/>
  <c r="N45" i="3"/>
  <c r="M48" i="3"/>
  <c r="M47" i="3"/>
  <c r="M46" i="3"/>
  <c r="J47" i="3"/>
  <c r="J48" i="3"/>
  <c r="G47" i="3"/>
  <c r="G46" i="3"/>
  <c r="F46" i="3"/>
  <c r="F49" i="3"/>
  <c r="F48" i="3"/>
  <c r="F47" i="3"/>
  <c r="D46" i="3"/>
  <c r="M7" i="3"/>
  <c r="J7" i="3"/>
  <c r="G7" i="3"/>
  <c r="E49" i="3"/>
  <c r="E48" i="3"/>
  <c r="E47" i="3"/>
  <c r="E46" i="3"/>
  <c r="E45" i="3"/>
  <c r="H49" i="3"/>
  <c r="H48" i="3"/>
  <c r="H47" i="3"/>
  <c r="I47" i="3" s="1"/>
  <c r="H46" i="3"/>
  <c r="I46" i="3" s="1"/>
  <c r="H45" i="3"/>
  <c r="K46" i="3"/>
  <c r="K47" i="3"/>
  <c r="K48" i="3"/>
  <c r="K49" i="3"/>
  <c r="K45" i="3"/>
  <c r="M72" i="3"/>
  <c r="J71" i="3"/>
  <c r="D70" i="3"/>
  <c r="G70" i="3"/>
  <c r="S70" i="3"/>
  <c r="P70" i="3"/>
  <c r="M70" i="3"/>
  <c r="D10" i="3"/>
  <c r="D84" i="3"/>
  <c r="C84" i="3"/>
  <c r="C86" i="3" s="1"/>
  <c r="C89" i="3"/>
  <c r="C88" i="3"/>
  <c r="D20" i="3"/>
  <c r="C20" i="3"/>
  <c r="D110" i="3"/>
  <c r="D111" i="3"/>
  <c r="D112" i="3"/>
  <c r="D8" i="3"/>
  <c r="C8" i="3"/>
  <c r="G116" i="3"/>
  <c r="M116" i="3"/>
  <c r="J116" i="3"/>
  <c r="I48" i="3" l="1"/>
  <c r="I49" i="3"/>
  <c r="D95" i="3"/>
  <c r="D92" i="3" s="1"/>
  <c r="C95" i="3"/>
  <c r="C92" i="3"/>
  <c r="C90" i="3"/>
  <c r="D90" i="3"/>
  <c r="C21" i="3"/>
  <c r="C96" i="3" s="1"/>
  <c r="C97" i="3" s="1"/>
  <c r="D21" i="3"/>
  <c r="D96" i="3" s="1"/>
  <c r="C99" i="3" l="1"/>
  <c r="D97" i="3"/>
  <c r="D99" i="3" s="1"/>
  <c r="C100" i="3" l="1"/>
  <c r="C122" i="3" s="1"/>
  <c r="C123" i="3" s="1"/>
  <c r="C101" i="3" l="1"/>
  <c r="D101" i="3"/>
  <c r="S71" i="3" l="1"/>
  <c r="S72" i="3"/>
  <c r="P71" i="3"/>
  <c r="J70" i="3"/>
  <c r="P73" i="3"/>
  <c r="S73" i="3"/>
  <c r="P72" i="3"/>
  <c r="M71" i="3"/>
  <c r="D75" i="3"/>
  <c r="D67" i="3"/>
  <c r="J78" i="3"/>
  <c r="G78" i="3"/>
  <c r="G77" i="3"/>
  <c r="V12" i="3"/>
  <c r="V13" i="3"/>
  <c r="V14" i="3"/>
  <c r="V15" i="3"/>
  <c r="V16" i="3"/>
  <c r="V17" i="3"/>
  <c r="V18" i="3"/>
  <c r="V19" i="3"/>
  <c r="V20" i="3"/>
  <c r="V21" i="3"/>
  <c r="V22" i="3"/>
  <c r="V23" i="3"/>
  <c r="V11" i="3"/>
  <c r="V9" i="3"/>
  <c r="V10" i="3"/>
  <c r="V8" i="3"/>
  <c r="J46" i="3"/>
  <c r="C131" i="3"/>
  <c r="D131" i="3"/>
  <c r="D89" i="3"/>
  <c r="F7" i="3"/>
  <c r="D37" i="3"/>
  <c r="C37" i="3"/>
  <c r="D88" i="3"/>
  <c r="V134" i="3"/>
  <c r="AC133" i="3"/>
  <c r="V133" i="3"/>
  <c r="AC132" i="3"/>
  <c r="V132" i="3"/>
  <c r="AC131" i="3"/>
  <c r="V131" i="3"/>
  <c r="AC130" i="3"/>
  <c r="V130" i="3"/>
  <c r="AC129" i="3"/>
  <c r="V129" i="3"/>
  <c r="AC128" i="3"/>
  <c r="V128" i="3"/>
  <c r="AC127" i="3"/>
  <c r="V127" i="3"/>
  <c r="AC126" i="3"/>
  <c r="V126" i="3"/>
  <c r="AC125" i="3"/>
  <c r="V125" i="3"/>
  <c r="AC124" i="3"/>
  <c r="V124" i="3"/>
  <c r="AC123" i="3"/>
  <c r="V123" i="3"/>
  <c r="AC122" i="3"/>
  <c r="V122" i="3"/>
  <c r="AC84" i="3"/>
  <c r="V84" i="3"/>
  <c r="AC36" i="3"/>
  <c r="AC35" i="3"/>
  <c r="AC34" i="3"/>
  <c r="AC33" i="3"/>
  <c r="AC32" i="3"/>
  <c r="AC31" i="3"/>
  <c r="AC30" i="3"/>
  <c r="AC29" i="3"/>
  <c r="AC28" i="3"/>
  <c r="AC27" i="3"/>
  <c r="AC23" i="3"/>
  <c r="AC19" i="3"/>
  <c r="AC13" i="3"/>
  <c r="AC9" i="3"/>
  <c r="AC7" i="3"/>
  <c r="V7" i="3"/>
  <c r="G52" i="3" s="1"/>
  <c r="V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I7" i="3" l="1"/>
  <c r="F8" i="3"/>
  <c r="G10" i="3"/>
  <c r="G105" i="3"/>
  <c r="D104" i="3"/>
  <c r="D85" i="3" s="1"/>
  <c r="D86" i="3" s="1"/>
  <c r="D52" i="3"/>
  <c r="J52" i="3"/>
  <c r="J75" i="3" s="1"/>
  <c r="G67" i="3"/>
  <c r="M55" i="3"/>
  <c r="M78" i="3" s="1"/>
  <c r="M52" i="3"/>
  <c r="M75" i="3" s="1"/>
  <c r="M53" i="3"/>
  <c r="M76" i="3" s="1"/>
  <c r="J53" i="3"/>
  <c r="J54" i="3"/>
  <c r="G53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67" i="3" l="1"/>
  <c r="M54" i="3"/>
  <c r="M77" i="3" s="1"/>
  <c r="J105" i="3"/>
  <c r="G110" i="3"/>
  <c r="G104" i="3"/>
  <c r="D109" i="3"/>
  <c r="L7" i="3"/>
  <c r="I8" i="3"/>
  <c r="J10" i="3"/>
  <c r="C124" i="3"/>
  <c r="J76" i="3"/>
  <c r="G76" i="3"/>
  <c r="G75" i="3"/>
  <c r="J77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J104" i="3" l="1"/>
  <c r="M104" i="3" s="1"/>
  <c r="G109" i="3"/>
  <c r="M105" i="3"/>
  <c r="J110" i="3"/>
  <c r="O7" i="3"/>
  <c r="L8" i="3"/>
  <c r="M10" i="3"/>
  <c r="M67" i="3"/>
  <c r="D76" i="3"/>
  <c r="Q3" i="2"/>
  <c r="AA4" i="2" s="1"/>
  <c r="L47" i="3" l="1"/>
  <c r="L46" i="3"/>
  <c r="L48" i="3"/>
  <c r="L49" i="3"/>
  <c r="M110" i="3"/>
  <c r="M109" i="3"/>
  <c r="J109" i="3"/>
  <c r="R7" i="3"/>
  <c r="R8" i="3" s="1"/>
  <c r="O8" i="3"/>
  <c r="P67" i="3"/>
  <c r="D78" i="3"/>
  <c r="D77" i="3"/>
  <c r="F4" i="2"/>
  <c r="R7" i="2"/>
  <c r="G4" i="2"/>
  <c r="K4" i="2"/>
  <c r="J4" i="2"/>
  <c r="O46" i="3" l="1"/>
  <c r="P46" i="3" s="1"/>
  <c r="P104" i="3" s="1"/>
  <c r="O47" i="3"/>
  <c r="P47" i="3" s="1"/>
  <c r="O48" i="3"/>
  <c r="P48" i="3" s="1"/>
  <c r="O49" i="3"/>
  <c r="P49" i="3" s="1"/>
  <c r="S67" i="3"/>
  <c r="S10" i="3"/>
  <c r="G106" i="3"/>
  <c r="G107" i="3"/>
  <c r="U4" i="2"/>
  <c r="R8" i="2"/>
  <c r="P55" i="3" l="1"/>
  <c r="P78" i="3" s="1"/>
  <c r="P54" i="3"/>
  <c r="P77" i="3" s="1"/>
  <c r="P53" i="3"/>
  <c r="P76" i="3" s="1"/>
  <c r="P105" i="3"/>
  <c r="Q47" i="3"/>
  <c r="R47" i="3" s="1"/>
  <c r="S47" i="3" s="1"/>
  <c r="S53" i="3" s="1"/>
  <c r="S76" i="3" s="1"/>
  <c r="Q46" i="3"/>
  <c r="R46" i="3" s="1"/>
  <c r="S46" i="3" s="1"/>
  <c r="Q48" i="3"/>
  <c r="R48" i="3" s="1"/>
  <c r="S48" i="3" s="1"/>
  <c r="S54" i="3" s="1"/>
  <c r="S77" i="3" s="1"/>
  <c r="Q49" i="3"/>
  <c r="R49" i="3" s="1"/>
  <c r="S49" i="3" s="1"/>
  <c r="S55" i="3" s="1"/>
  <c r="S78" i="3" s="1"/>
  <c r="P52" i="3"/>
  <c r="P75" i="3" s="1"/>
  <c r="J107" i="3"/>
  <c r="G112" i="3"/>
  <c r="J106" i="3"/>
  <c r="G111" i="3"/>
  <c r="P109" i="3"/>
  <c r="O4" i="2"/>
  <c r="P4" i="2" s="1"/>
  <c r="X5" i="2" s="1"/>
  <c r="Z5" i="2" s="1"/>
  <c r="J5" i="2" s="1"/>
  <c r="R9" i="2"/>
  <c r="S52" i="3" l="1"/>
  <c r="S75" i="3" s="1"/>
  <c r="S104" i="3"/>
  <c r="S109" i="3" s="1"/>
  <c r="P110" i="3"/>
  <c r="S105" i="3"/>
  <c r="S110" i="3" s="1"/>
  <c r="M106" i="3"/>
  <c r="J111" i="3"/>
  <c r="M107" i="3"/>
  <c r="J112" i="3"/>
  <c r="Q4" i="2"/>
  <c r="Y5" i="2" s="1"/>
  <c r="AA5" i="2" s="1"/>
  <c r="F5" i="2"/>
  <c r="R10" i="2"/>
  <c r="P107" i="3" l="1"/>
  <c r="M112" i="3"/>
  <c r="M111" i="3"/>
  <c r="P106" i="3"/>
  <c r="R11" i="2"/>
  <c r="G5" i="2"/>
  <c r="U5" i="2" s="1"/>
  <c r="O5" i="2" s="1"/>
  <c r="Q5" i="2" s="1"/>
  <c r="K5" i="2"/>
  <c r="P111" i="3" l="1"/>
  <c r="S106" i="3"/>
  <c r="S111" i="3" s="1"/>
  <c r="S107" i="3"/>
  <c r="S112" i="3" s="1"/>
  <c r="P112" i="3"/>
  <c r="Y6" i="2"/>
  <c r="AA6" i="2" s="1"/>
  <c r="K6" i="2" s="1"/>
  <c r="R12" i="2"/>
  <c r="P5" i="2"/>
  <c r="X6" i="2" s="1"/>
  <c r="Z6" i="2" s="1"/>
  <c r="J6" i="2" s="1"/>
  <c r="G6" i="2" l="1"/>
  <c r="R13" i="2"/>
  <c r="F6" i="2"/>
  <c r="U6" i="2" s="1"/>
  <c r="W6" i="2" s="1"/>
  <c r="O6" i="2" s="1"/>
  <c r="R14" i="2" l="1"/>
  <c r="Y7" i="2"/>
  <c r="AA7" i="2" s="1"/>
  <c r="X7" i="2" l="1"/>
  <c r="Z7" i="2" s="1"/>
  <c r="R15" i="2"/>
  <c r="G7" i="2"/>
  <c r="K7" i="2"/>
  <c r="J7" i="2" l="1"/>
  <c r="F7" i="2"/>
  <c r="U7" i="2" s="1"/>
  <c r="O7" i="2" s="1"/>
  <c r="R16" i="2"/>
  <c r="P7" i="2" l="1"/>
  <c r="X8" i="2" s="1"/>
  <c r="Z8" i="2" s="1"/>
  <c r="Q7" i="2"/>
  <c r="Y8" i="2" s="1"/>
  <c r="AA8" i="2" s="1"/>
  <c r="G8" i="2" s="1"/>
  <c r="J8" i="2"/>
  <c r="R17" i="2"/>
  <c r="F8" i="2"/>
  <c r="K8" i="2" l="1"/>
  <c r="W8" i="2"/>
  <c r="R18" i="2"/>
  <c r="O8" i="2" l="1"/>
  <c r="Q8" i="2" s="1"/>
  <c r="Y9" i="2" s="1"/>
  <c r="AA9" i="2" s="1"/>
  <c r="R19" i="2"/>
  <c r="G9" i="2" l="1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Q9" i="2" l="1"/>
  <c r="Y10" i="2" s="1"/>
  <c r="AA10" i="2" s="1"/>
  <c r="G10" i="2" s="1"/>
  <c r="R21" i="2"/>
  <c r="F10" i="2"/>
  <c r="U10" i="2" l="1"/>
  <c r="W10" i="2" s="1"/>
  <c r="O10" i="2" s="1"/>
  <c r="Q10" i="2" s="1"/>
  <c r="K10" i="2"/>
  <c r="R22" i="2"/>
  <c r="Y11" i="2" l="1"/>
  <c r="P10" i="2"/>
  <c r="X11" i="2" s="1"/>
  <c r="Z11" i="2" s="1"/>
  <c r="J11" i="2" s="1"/>
  <c r="R23" i="2"/>
  <c r="AA11" i="2" l="1"/>
  <c r="G11" i="2" s="1"/>
  <c r="F11" i="2"/>
  <c r="U11" i="2" s="1"/>
  <c r="W11" i="2" s="1"/>
  <c r="O11" i="2" s="1"/>
  <c r="P11" i="2" s="1"/>
  <c r="X12" i="2" s="1"/>
  <c r="Z12" i="2" s="1"/>
  <c r="J12" i="2" s="1"/>
  <c r="R24" i="2"/>
  <c r="K11" i="2" l="1"/>
  <c r="Q11" i="2"/>
  <c r="R25" i="2"/>
  <c r="F12" i="2"/>
  <c r="Y12" i="2" l="1"/>
  <c r="AA12" i="2" s="1"/>
  <c r="R26" i="2"/>
  <c r="G12" i="2" l="1"/>
  <c r="U12" i="2" s="1"/>
  <c r="W12" i="2" s="1"/>
  <c r="O12" i="2" s="1"/>
  <c r="Q12" i="2" s="1"/>
  <c r="K12" i="2"/>
  <c r="R27" i="2"/>
  <c r="Y13" i="2" l="1"/>
  <c r="AA13" i="2" s="1"/>
  <c r="G13" i="2" s="1"/>
  <c r="P12" i="2"/>
  <c r="X13" i="2" s="1"/>
  <c r="Z13" i="2" s="1"/>
  <c r="J13" i="2" s="1"/>
  <c r="R28" i="2"/>
  <c r="K13" i="2" l="1"/>
  <c r="F13" i="2"/>
  <c r="U13" i="2" s="1"/>
  <c r="W13" i="2" s="1"/>
  <c r="O13" i="2" s="1"/>
  <c r="Q13" i="2" s="1"/>
  <c r="Y14" i="2" s="1"/>
  <c r="AA14" i="2" s="1"/>
  <c r="G14" i="2" s="1"/>
  <c r="R30" i="2"/>
  <c r="R29" i="2"/>
  <c r="K14" i="2" l="1"/>
  <c r="P13" i="2"/>
  <c r="X14" i="2" s="1"/>
  <c r="Z14" i="2" s="1"/>
  <c r="J14" i="2" s="1"/>
  <c r="F14" i="2" l="1"/>
  <c r="U14" i="2" s="1"/>
  <c r="W14" i="2" s="1"/>
  <c r="O14" i="2" s="1"/>
  <c r="P14" i="2" s="1"/>
  <c r="X15" i="2" s="1"/>
  <c r="Z15" i="2" s="1"/>
  <c r="J15" i="2" s="1"/>
  <c r="F15" i="2" l="1"/>
  <c r="Q14" i="2"/>
  <c r="Y15" i="2" s="1"/>
  <c r="AA15" i="2" s="1"/>
  <c r="G15" i="2" s="1"/>
  <c r="U15" i="2" s="1"/>
  <c r="W15" i="2" s="1"/>
  <c r="O15" i="2" s="1"/>
  <c r="Q15" i="2" s="1"/>
  <c r="K15" i="2" l="1"/>
  <c r="Y16" i="2" s="1"/>
  <c r="AA16" i="2" s="1"/>
  <c r="G16" i="2" s="1"/>
  <c r="P15" i="2"/>
  <c r="X16" i="2" s="1"/>
  <c r="Z16" i="2" s="1"/>
  <c r="J16" i="2" s="1"/>
  <c r="K16" i="2" l="1"/>
  <c r="F16" i="2"/>
  <c r="U16" i="2" s="1"/>
  <c r="W16" i="2" s="1"/>
  <c r="O16" i="2" s="1"/>
  <c r="P16" i="2" s="1"/>
  <c r="X17" i="2" s="1"/>
  <c r="Z17" i="2" s="1"/>
  <c r="J17" i="2" s="1"/>
  <c r="Q16" i="2" l="1"/>
  <c r="Y17" i="2" s="1"/>
  <c r="AA17" i="2" s="1"/>
  <c r="K17" i="2" s="1"/>
  <c r="F17" i="2"/>
  <c r="G17" i="2" l="1"/>
  <c r="U17" i="2" s="1"/>
  <c r="W17" i="2" s="1"/>
  <c r="O17" i="2" s="1"/>
  <c r="P17" i="2" s="1"/>
  <c r="X18" i="2" s="1"/>
  <c r="Z18" i="2" s="1"/>
  <c r="J18" i="2" s="1"/>
  <c r="Q17" i="2" l="1"/>
  <c r="Y18" i="2" s="1"/>
  <c r="AA18" i="2" s="1"/>
  <c r="G18" i="2" s="1"/>
  <c r="F18" i="2"/>
  <c r="K18" i="2" l="1"/>
  <c r="U18" i="2"/>
  <c r="W18" i="2" s="1"/>
  <c r="O18" i="2" s="1"/>
  <c r="Q18" i="2" s="1"/>
  <c r="Y19" i="2" l="1"/>
  <c r="AA19" i="2" s="1"/>
  <c r="G19" i="2" s="1"/>
  <c r="P18" i="2"/>
  <c r="X19" i="2" s="1"/>
  <c r="Z19" i="2" s="1"/>
  <c r="J19" i="2" s="1"/>
  <c r="K19" i="2" l="1"/>
  <c r="F19" i="2"/>
  <c r="U19" i="2" s="1"/>
  <c r="W19" i="2" s="1"/>
  <c r="O19" i="2" s="1"/>
  <c r="P19" i="2" s="1"/>
  <c r="X20" i="2" s="1"/>
  <c r="Z20" i="2" s="1"/>
  <c r="Q19" i="2" l="1"/>
  <c r="Y20" i="2" s="1"/>
  <c r="AA20" i="2" s="1"/>
  <c r="G20" i="2" s="1"/>
  <c r="J20" i="2"/>
  <c r="F20" i="2"/>
  <c r="K20" i="2" l="1"/>
  <c r="U20" i="2"/>
  <c r="W20" i="2" s="1"/>
  <c r="O20" i="2" l="1"/>
  <c r="P20" i="2" s="1"/>
  <c r="X21" i="2" s="1"/>
  <c r="Z21" i="2" s="1"/>
  <c r="J21" i="2" l="1"/>
  <c r="F21" i="2"/>
  <c r="Q20" i="2"/>
  <c r="Y21" i="2" s="1"/>
  <c r="AA21" i="2" s="1"/>
  <c r="G21" i="2" s="1"/>
  <c r="U21" i="2" l="1"/>
  <c r="W21" i="2" s="1"/>
  <c r="O21" i="2" s="1"/>
  <c r="Q21" i="2" s="1"/>
  <c r="K21" i="2"/>
  <c r="P21" i="2" l="1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K22" i="2" l="1"/>
  <c r="Y23" i="2" s="1"/>
  <c r="AA23" i="2" s="1"/>
  <c r="P22" i="2"/>
  <c r="X23" i="2" s="1"/>
  <c r="Z23" i="2" s="1"/>
  <c r="J23" i="2" s="1"/>
  <c r="G23" i="2" l="1"/>
  <c r="K23" i="2"/>
  <c r="F23" i="2"/>
  <c r="U23" i="2" s="1"/>
  <c r="W23" i="2" s="1"/>
  <c r="O23" i="2" s="1"/>
  <c r="Q23" i="2" s="1"/>
  <c r="Y24" i="2" s="1"/>
  <c r="AA24" i="2" s="1"/>
  <c r="P23" i="2" l="1"/>
  <c r="X24" i="2" s="1"/>
  <c r="Z24" i="2" s="1"/>
  <c r="J24" i="2" s="1"/>
  <c r="G24" i="2"/>
  <c r="K24" i="2"/>
  <c r="F24" i="2" l="1"/>
  <c r="U24" i="2" s="1"/>
  <c r="W24" i="2" s="1"/>
  <c r="O24" i="2" s="1"/>
  <c r="P24" i="2" s="1"/>
  <c r="X25" i="2" s="1"/>
  <c r="Z25" i="2" s="1"/>
  <c r="J25" i="2" s="1"/>
  <c r="Q24" i="2" l="1"/>
  <c r="Y25" i="2" s="1"/>
  <c r="AA25" i="2" s="1"/>
  <c r="G25" i="2" s="1"/>
  <c r="F25" i="2"/>
  <c r="K25" i="2" l="1"/>
  <c r="U25" i="2"/>
  <c r="W25" i="2" s="1"/>
  <c r="O25" i="2" s="1"/>
  <c r="Q25" i="2" s="1"/>
  <c r="Y26" i="2" s="1"/>
  <c r="AA26" i="2" s="1"/>
  <c r="G26" i="2" s="1"/>
  <c r="P25" i="2" l="1"/>
  <c r="X26" i="2" s="1"/>
  <c r="Z26" i="2" s="1"/>
  <c r="J26" i="2" s="1"/>
  <c r="K26" i="2"/>
  <c r="F26" i="2" l="1"/>
  <c r="U26" i="2" s="1"/>
  <c r="W26" i="2" s="1"/>
  <c r="O26" i="2" s="1"/>
  <c r="Q26" i="2" s="1"/>
  <c r="Y27" i="2" s="1"/>
  <c r="AA27" i="2" s="1"/>
  <c r="P26" i="2" l="1"/>
  <c r="X27" i="2" s="1"/>
  <c r="Z27" i="2" s="1"/>
  <c r="J27" i="2" s="1"/>
  <c r="G27" i="2"/>
  <c r="K27" i="2"/>
  <c r="F27" i="2" l="1"/>
  <c r="U27" i="2" s="1"/>
  <c r="W27" i="2" s="1"/>
  <c r="O27" i="2" s="1"/>
  <c r="P27" i="2" s="1"/>
  <c r="X28" i="2" s="1"/>
  <c r="Z28" i="2" s="1"/>
  <c r="J28" i="2" s="1"/>
  <c r="Q27" i="2" l="1"/>
  <c r="Y28" i="2" s="1"/>
  <c r="AA28" i="2" s="1"/>
  <c r="G28" i="2" s="1"/>
  <c r="F28" i="2"/>
  <c r="U28" i="2" l="1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<sst xmlns="http://schemas.openxmlformats.org/spreadsheetml/2006/main" count="227" uniqueCount="166">
  <si>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</si>
  <si>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</si>
  <si>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</si>
  <si>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</si>
  <si>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</si>
  <si>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</si>
  <si>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</si>
  <si>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</si>
  <si>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</si>
  <si>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</si>
  <si>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</si>
  <si>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</si>
  <si>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</si>
  <si>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</si>
  <si>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</si>
  <si>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</si>
  <si>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</si>
  <si>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</si>
  <si>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</si>
  <si>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</si>
  <si>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</si>
  <si>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</si>
  <si>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</si>
  <si>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</si>
  <si>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</si>
  <si>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</si>
  <si>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</si>
  <si>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</si>
  <si>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</si>
  <si>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</si>
  <si>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</si>
  <si>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</si>
  <si>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</si>
  <si>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</si>
  <si>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</si>
  <si>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</si>
  <si>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</si>
  <si>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</si>
  <si>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</si>
  <si>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</si>
  <si>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</si>
  <si>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</si>
  <si>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</si>
  <si>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</si>
  <si>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</si>
  <si>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</si>
  <si>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</si>
  <si>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</si>
  <si>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</si>
  <si>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</si>
  <si>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</si>
  <si>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</si>
  <si>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</si>
  <si>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</si>
  <si>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 xml:space="preserve">c available from conversion </t>
  </si>
  <si>
    <t>frac la conversion available for use</t>
  </si>
  <si>
    <t>land use conversion away</t>
  </si>
  <si>
    <t>Demand</t>
  </si>
  <si>
    <t>calculated variables</t>
  </si>
  <si>
    <t>C stock</t>
  </si>
  <si>
    <t>Sequestration</t>
  </si>
  <si>
    <t>sequestration_curve</t>
  </si>
  <si>
    <t>function</t>
  </si>
  <si>
    <t>base factor</t>
  </si>
  <si>
    <t>base average stock</t>
  </si>
  <si>
    <t>current average stock</t>
  </si>
  <si>
    <t>c available from new sequestration</t>
  </si>
  <si>
    <t>t = 1</t>
  </si>
  <si>
    <t>t = 2</t>
  </si>
  <si>
    <t>land conversion into</t>
  </si>
  <si>
    <t>initial area  from steady state</t>
  </si>
  <si>
    <t>stock in protected areas</t>
  </si>
  <si>
    <t>nominal annual sequestration (tonna/ha/year)</t>
  </si>
  <si>
    <t>Aforestation</t>
  </si>
  <si>
    <t>area_from_t1</t>
  </si>
  <si>
    <t>c_stock_t0</t>
  </si>
  <si>
    <t>c_stock_t1</t>
  </si>
  <si>
    <t>c_stock_t2</t>
  </si>
  <si>
    <t>Protection</t>
  </si>
  <si>
    <t>Removals</t>
  </si>
  <si>
    <t>original forest</t>
  </si>
  <si>
    <t>average stock per ha available (accounts for min frac)</t>
  </si>
  <si>
    <t>new forest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</si>
  <si>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</si>
  <si>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</si>
  <si>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</si>
  <si>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</si>
  <si>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</si>
  <si>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</si>
  <si>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protection applies in an oldest first set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</si>
  <si>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</si>
  <si>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</si>
  <si>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</si>
  <si>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</si>
  <si>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</si>
  <si>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</si>
  <si>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</si>
  <si>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adjusted sequestration in original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</si>
  <si>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</si>
  <si>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</si>
  <si>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</si>
  <si>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</si>
  <si>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</si>
  <si>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</si>
  <si>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</si>
  <si>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</si>
  <si>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</si>
  <si>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</si>
  <si>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</si>
  <si>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c stock</t>
  </si>
  <si>
    <t>6 bins</t>
  </si>
  <si>
    <t>descrip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</si>
  <si>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</si>
  <si>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</si>
  <si>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</si>
  <si>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</si>
  <si>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</si>
  <si>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</si>
  <si>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</si>
  <si>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</si>
  <si>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</si>
  <si>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c_stock_over_thresh_t0</t>
  </si>
  <si>
    <t>c_stock_over_thresh_t1</t>
  </si>
  <si>
    <t>c_stock_over_thresh_t2</t>
  </si>
  <si>
    <t>c_stock_over_thresh_t3</t>
  </si>
  <si>
    <t>D = P + I - E</t>
  </si>
  <si>
    <t>FRAC_IMPORTS = I/(P + I - E)</t>
  </si>
  <si>
    <t>adjusted sequestration_factor_t0</t>
  </si>
  <si>
    <t>adjusted sequestration_factor_t1</t>
  </si>
  <si>
    <t>adjusted sequestration_factor_t2</t>
  </si>
  <si>
    <t>adjusted sequestration_factor_t3</t>
  </si>
  <si>
    <t>removals_from_nf_planted_at_t0</t>
  </si>
  <si>
    <t>removals_from_nf_planted_at_t1</t>
  </si>
  <si>
    <t>removals_from_nf_planted_at_t2</t>
  </si>
  <si>
    <t>removals_from_nf_planted_at_t3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</si>
  <si>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</si>
  <si>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</si>
  <si>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</si>
  <si>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</si>
  <si>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</si>
  <si>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</si>
  <si>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c_stock_available_for_harvest_planted_at_t0</t>
  </si>
  <si>
    <t>c_stock_available_for_harvest_planted_at_t1</t>
  </si>
  <si>
    <t>c_stock_available_for_harvest_planted_at_t2</t>
  </si>
  <si>
    <t>c_stock_available_for_harvest_planted_at_t3</t>
  </si>
  <si>
    <t>base tonne C/ha reqd maintained</t>
  </si>
  <si>
    <t>base storage tonne C/ha</t>
  </si>
  <si>
    <t>removals from nf</t>
  </si>
  <si>
    <t>buffer</t>
  </si>
  <si>
    <t>dead storage (minimum fraction of original stock that must remain on the land to allow it to remain that land use type)</t>
  </si>
  <si>
    <t>buffer zone (fraction of stock above dead storage which contributes to slowing removals)</t>
  </si>
  <si>
    <t>some reservoir terms</t>
  </si>
  <si>
    <t>(percentage of forest stock available out of full stock  ) carbon_stock_factor</t>
  </si>
  <si>
    <t>healthy storage available</t>
  </si>
  <si>
    <t>frac_removals_satisficable</t>
  </si>
  <si>
    <t>removals allocation</t>
  </si>
  <si>
    <t>removals from original</t>
  </si>
  <si>
    <t>total starting stock</t>
  </si>
  <si>
    <t xml:space="preserve">stock in unprotected reservoir dead storage </t>
  </si>
  <si>
    <t>stock to allocate from original pool excluding conversion</t>
  </si>
  <si>
    <t>total starting stock in original</t>
  </si>
  <si>
    <t>total starting stock in new</t>
  </si>
  <si>
    <t>total accessible pool</t>
  </si>
  <si>
    <t>removals  unmet by original</t>
  </si>
  <si>
    <t>drops</t>
  </si>
  <si>
    <t>cumulative_vals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</si>
</sst>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0" fillId="3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19" t="s">
        <v>23</v>
      </c>
      <c r="B1" s="19"/>
      <c r="C1" s="20" t="s">
        <v>26</v>
      </c>
      <c r="D1" s="20"/>
      <c r="E1" s="20"/>
      <c r="F1" s="19" t="s">
        <v>30</v>
      </c>
      <c r="G1" s="19"/>
      <c r="H1" s="20" t="s">
        <v>27</v>
      </c>
      <c r="I1" s="20"/>
      <c r="J1" s="19" t="s">
        <v>28</v>
      </c>
      <c r="K1" s="19"/>
      <c r="L1" s="22" t="s">
        <v>29</v>
      </c>
      <c r="M1" s="22"/>
      <c r="N1" s="21" t="s">
        <v>31</v>
      </c>
      <c r="O1" s="21"/>
      <c r="P1" s="21"/>
      <c r="Q1" s="21"/>
      <c r="R1" s="22" t="s">
        <v>48</v>
      </c>
      <c r="S1" s="22"/>
      <c r="T1" s="22"/>
      <c r="U1" s="23" t="s">
        <v>44</v>
      </c>
      <c r="V1" s="23"/>
      <c r="W1" s="4" t="s">
        <v>46</v>
      </c>
      <c r="X1" s="4" t="s">
        <v>47</v>
      </c>
      <c r="AC1" s="19" t="s">
        <v>36</v>
      </c>
      <c r="AD1" s="19"/>
      <c r="AE1" s="19"/>
      <c r="AF1" s="19"/>
      <c r="AG1" s="19"/>
      <c r="AH1" s="19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J134"/>
  <sheetViews>
    <sheetView tabSelected="1" zoomScaleNormal="84" workbookViewId="0">
      <selection activeCell="D10" sqref="D10"/>
    </sheetView>
  </sheetViews>
  <sheetFormatPr baseColWidth="10" defaultRowHeight="16" x14ac:dyDescent="0.2"/>
  <cols>
    <col min="1" max="1" width="10.83203125" style="3" customWidth="1"/>
    <col min="2" max="2" width="56" style="10" customWidth="1"/>
    <col min="3" max="3" width="11" style="4" customWidth="1"/>
    <col min="4" max="4" width="15.1640625" style="4" customWidth="1"/>
    <col min="5" max="5" width="11.5" style="5" customWidth="1"/>
    <col min="6" max="7" width="13.33203125" style="4" customWidth="1"/>
    <col min="8" max="8" width="11.83203125" style="5" customWidth="1"/>
    <col min="9" max="10" width="13.33203125" style="4" customWidth="1"/>
    <col min="11" max="11" width="21.1640625" style="5" customWidth="1"/>
    <col min="12" max="12" width="21.1640625" style="4" customWidth="1"/>
    <col min="13" max="13" width="13.33203125" style="4" customWidth="1"/>
    <col min="14" max="14" width="22.6640625" style="5" customWidth="1"/>
    <col min="15" max="16" width="13.33203125" style="4" customWidth="1"/>
    <col min="17" max="17" width="23.6640625" style="5" customWidth="1"/>
    <col min="18" max="19" width="13.33203125" style="4" customWidth="1"/>
    <col min="20" max="20" width="4.33203125" customWidth="1"/>
    <col min="21" max="23" width="14.6640625" customWidth="1"/>
    <col min="27" max="27" width="4.1640625" customWidth="1"/>
    <col min="29" max="29" width="9.1640625" customWidth="1"/>
    <col min="30" max="30" width="3.33203125" customWidth="1"/>
  </cols>
  <sheetData>
    <row r="1" spans="1:29" s="7" customFormat="1" x14ac:dyDescent="0.2">
      <c r="A1" s="3"/>
      <c r="B1" s="10"/>
      <c r="C1" s="5" t="s">
        <v>61</v>
      </c>
      <c r="D1" s="5" t="s">
        <v>63</v>
      </c>
      <c r="E1" s="5">
        <v>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spans="1:29" s="7" customFormat="1" x14ac:dyDescent="0.2">
      <c r="A2" s="3"/>
      <c r="B2" s="10"/>
      <c r="C2" s="5" t="s">
        <v>62</v>
      </c>
      <c r="D2" s="5" t="s">
        <v>64</v>
      </c>
      <c r="E2" s="21">
        <v>150</v>
      </c>
      <c r="F2" s="21"/>
      <c r="G2" s="5"/>
      <c r="H2" s="5"/>
      <c r="I2" s="5"/>
      <c r="J2" s="5"/>
      <c r="K2" s="5"/>
      <c r="L2" s="5"/>
      <c r="M2" s="4">
        <v>249700</v>
      </c>
      <c r="N2" s="5"/>
      <c r="O2" s="5"/>
      <c r="P2" s="5"/>
      <c r="Q2" s="5"/>
      <c r="R2" s="5"/>
      <c r="S2" s="5"/>
    </row>
    <row r="3" spans="1:29" s="7" customFormat="1" x14ac:dyDescent="0.2">
      <c r="A3" s="3"/>
      <c r="B3" s="10"/>
      <c r="C3" s="5"/>
      <c r="D3" s="5" t="s">
        <v>65</v>
      </c>
      <c r="E3" s="21">
        <v>30</v>
      </c>
      <c r="F3" s="21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29" ht="60" customHeight="1" x14ac:dyDescent="0.2">
      <c r="C4" s="8">
        <v>0</v>
      </c>
      <c r="D4" s="8"/>
      <c r="E4" s="16"/>
      <c r="F4" s="26">
        <v>1</v>
      </c>
      <c r="G4" s="26"/>
      <c r="H4" s="18"/>
      <c r="I4" s="26">
        <v>2</v>
      </c>
      <c r="J4" s="26"/>
      <c r="K4" s="18"/>
      <c r="L4" s="26">
        <v>3</v>
      </c>
      <c r="M4" s="26"/>
      <c r="N4" s="18"/>
      <c r="O4" s="26">
        <v>4</v>
      </c>
      <c r="P4" s="26"/>
      <c r="Q4" s="18"/>
      <c r="R4" s="26">
        <v>5</v>
      </c>
      <c r="S4" s="26"/>
      <c r="U4" s="28" t="s">
        <v>98</v>
      </c>
      <c r="V4" s="28"/>
      <c r="W4" s="28"/>
      <c r="AC4" t="s">
        <v>125</v>
      </c>
    </row>
    <row r="5" spans="1:29" ht="36" customHeight="1" x14ac:dyDescent="0.2">
      <c r="A5" s="19" t="s">
        <v>23</v>
      </c>
      <c r="B5" s="19"/>
      <c r="C5" s="25" t="s">
        <v>51</v>
      </c>
      <c r="D5" s="25"/>
      <c r="E5" s="17"/>
      <c r="F5" s="25" t="s">
        <v>67</v>
      </c>
      <c r="G5" s="25"/>
      <c r="I5" s="25" t="s">
        <v>68</v>
      </c>
      <c r="J5" s="25"/>
      <c r="L5" s="25" t="s">
        <v>85</v>
      </c>
      <c r="M5" s="25"/>
      <c r="O5" s="25" t="s">
        <v>91</v>
      </c>
      <c r="P5" s="25"/>
      <c r="R5" s="25" t="s">
        <v>92</v>
      </c>
      <c r="S5" s="25"/>
      <c r="U5" s="27" t="s">
        <v>33</v>
      </c>
      <c r="V5" s="27" t="s">
        <v>38</v>
      </c>
      <c r="W5" s="27" t="s">
        <v>41</v>
      </c>
      <c r="AC5" t="s">
        <v>126</v>
      </c>
    </row>
    <row r="6" spans="1:29" ht="17" x14ac:dyDescent="0.2">
      <c r="A6" s="3" t="s">
        <v>24</v>
      </c>
      <c r="B6" s="10" t="s">
        <v>25</v>
      </c>
      <c r="C6" s="4" t="s">
        <v>24</v>
      </c>
      <c r="D6" s="4" t="s">
        <v>25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24">
        <v>0</v>
      </c>
      <c r="V6" s="24">
        <f>SUM(U$6:U6)</f>
        <v>0</v>
      </c>
      <c r="W6" s="24">
        <v>2</v>
      </c>
    </row>
    <row r="7" spans="1:29" ht="17" x14ac:dyDescent="0.2">
      <c r="B7" s="10" t="s">
        <v>70</v>
      </c>
      <c r="C7" s="4">
        <v>10000</v>
      </c>
      <c r="D7" s="4">
        <v>250000</v>
      </c>
      <c r="F7" s="4">
        <f>C7-C9</f>
        <v>9950</v>
      </c>
      <c r="G7" s="4">
        <f>MAX(D7-D9,0)</f>
        <v>249900</v>
      </c>
      <c r="I7" s="4">
        <f>F7-F9</f>
        <v>9888</v>
      </c>
      <c r="J7" s="4">
        <f>MAX(G7-G9,0)</f>
        <v>249790</v>
      </c>
      <c r="L7" s="4">
        <f>I7-I9</f>
        <v>9830</v>
      </c>
      <c r="M7" s="4">
        <f>MAX(J7-J9,0)</f>
        <v>249696</v>
      </c>
      <c r="O7" s="4">
        <f>L7-L9</f>
        <v>9760</v>
      </c>
      <c r="P7" s="4">
        <f>MAX(M7-M9,0)</f>
        <v>0</v>
      </c>
      <c r="R7" s="4">
        <f>O7-O9</f>
        <v>9660</v>
      </c>
      <c r="S7" s="4">
        <f>MAX(P7-P9,0)</f>
        <v>0</v>
      </c>
      <c r="U7" s="24">
        <v>0.01</v>
      </c>
      <c r="V7" s="24">
        <f>SUM(U$6:U7)</f>
        <v>0.01</v>
      </c>
      <c r="W7" s="24">
        <v>2</v>
      </c>
      <c r="AB7" s="5">
        <v>4000000</v>
      </c>
      <c r="AC7">
        <f>ROUND(AB7/4,0)</f>
        <v>1000000</v>
      </c>
    </row>
    <row r="8" spans="1:29" ht="17" x14ac:dyDescent="0.2">
      <c r="B8" s="10" t="s">
        <v>140</v>
      </c>
      <c r="C8" s="4">
        <f>C7</f>
        <v>10000</v>
      </c>
      <c r="D8" s="4">
        <f>D7</f>
        <v>250000</v>
      </c>
      <c r="F8" s="4">
        <f>F7</f>
        <v>9950</v>
      </c>
      <c r="G8" s="4">
        <f>D8-D9+D11</f>
        <v>249985</v>
      </c>
      <c r="I8" s="4">
        <f>I7</f>
        <v>9888</v>
      </c>
      <c r="J8" s="4">
        <f>G8-G9+G11</f>
        <v>249955</v>
      </c>
      <c r="L8" s="4">
        <f>L7</f>
        <v>9830</v>
      </c>
      <c r="M8" s="4">
        <f>J8-J9+J11</f>
        <v>249953</v>
      </c>
      <c r="O8" s="4">
        <f>O7</f>
        <v>9760</v>
      </c>
      <c r="P8" s="4">
        <f>M8-M9+M11</f>
        <v>296</v>
      </c>
      <c r="R8" s="4">
        <f>R7</f>
        <v>9660</v>
      </c>
      <c r="S8" s="4">
        <f>P8-P9+P11</f>
        <v>349</v>
      </c>
      <c r="U8" s="24">
        <v>0.05</v>
      </c>
      <c r="V8" s="24">
        <f>SUM(U$6:U8)</f>
        <v>6.0000000000000005E-2</v>
      </c>
      <c r="W8" s="24">
        <v>2</v>
      </c>
      <c r="AB8" s="5"/>
    </row>
    <row r="9" spans="1:29" ht="17" x14ac:dyDescent="0.2">
      <c r="B9" s="10" t="s">
        <v>56</v>
      </c>
      <c r="C9" s="4">
        <v>50</v>
      </c>
      <c r="D9" s="4">
        <v>100</v>
      </c>
      <c r="F9" s="4">
        <v>62</v>
      </c>
      <c r="G9" s="4">
        <v>110</v>
      </c>
      <c r="I9" s="4">
        <v>58</v>
      </c>
      <c r="J9" s="4">
        <v>94</v>
      </c>
      <c r="L9" s="4">
        <v>70</v>
      </c>
      <c r="M9" s="4">
        <v>249700</v>
      </c>
      <c r="O9" s="4">
        <v>100</v>
      </c>
      <c r="P9" s="4">
        <v>39</v>
      </c>
      <c r="R9" s="4">
        <v>98</v>
      </c>
      <c r="S9" s="4">
        <v>105</v>
      </c>
      <c r="U9" s="24">
        <v>0.12</v>
      </c>
      <c r="V9" s="24">
        <f>SUM(U$6:U9)</f>
        <v>0.18</v>
      </c>
      <c r="W9" s="24">
        <v>2</v>
      </c>
      <c r="AB9" s="5">
        <v>4100000</v>
      </c>
      <c r="AC9">
        <f t="shared" ref="AC9:AC133" si="0">ROUND(AB9/4,0)</f>
        <v>1025000</v>
      </c>
    </row>
    <row r="10" spans="1:29" ht="17" x14ac:dyDescent="0.2">
      <c r="B10" s="10" t="s">
        <v>139</v>
      </c>
      <c r="D10" s="4">
        <f>-MIN(D7-D9,0)</f>
        <v>0</v>
      </c>
      <c r="G10" s="4">
        <f>-MIN(G7-G9,0)</f>
        <v>0</v>
      </c>
      <c r="J10" s="4">
        <f>-MIN(J7-J9,0)</f>
        <v>0</v>
      </c>
      <c r="M10" s="4">
        <f>-MIN(M7-M9,0)</f>
        <v>4</v>
      </c>
      <c r="P10" s="4">
        <f>-MIN(P7-P9,0)</f>
        <v>39</v>
      </c>
      <c r="S10" s="4">
        <f>-MIN(S7-S9,0)</f>
        <v>105</v>
      </c>
      <c r="U10" s="24">
        <v>0.2</v>
      </c>
      <c r="V10" s="24">
        <f>SUM(U$6:U10)</f>
        <v>0.38</v>
      </c>
      <c r="W10" s="24">
        <v>20</v>
      </c>
      <c r="AB10" s="5"/>
    </row>
    <row r="11" spans="1:29" ht="17" x14ac:dyDescent="0.2">
      <c r="B11" s="10" t="s">
        <v>69</v>
      </c>
      <c r="D11" s="4">
        <v>85</v>
      </c>
      <c r="G11" s="4">
        <v>80</v>
      </c>
      <c r="J11" s="4">
        <v>92</v>
      </c>
      <c r="M11" s="4">
        <v>43</v>
      </c>
      <c r="P11" s="4">
        <v>92</v>
      </c>
      <c r="S11" s="4">
        <v>43</v>
      </c>
      <c r="U11" s="24">
        <v>0.36</v>
      </c>
      <c r="V11" s="24">
        <f>SUM(U$6:U11)</f>
        <v>0.74</v>
      </c>
      <c r="W11" s="24">
        <v>20</v>
      </c>
      <c r="AB11" s="5"/>
    </row>
    <row r="12" spans="1:29" x14ac:dyDescent="0.2">
      <c r="U12" s="24">
        <v>0.6</v>
      </c>
      <c r="V12" s="24">
        <f>SUM(U$6:U12)</f>
        <v>1.3399999999999999</v>
      </c>
      <c r="W12" s="24">
        <v>20</v>
      </c>
      <c r="AB12" s="5"/>
    </row>
    <row r="13" spans="1:29" ht="17" x14ac:dyDescent="0.2">
      <c r="B13" s="10" t="s">
        <v>55</v>
      </c>
      <c r="C13" s="4">
        <v>0.7</v>
      </c>
      <c r="F13" s="4">
        <v>0.7</v>
      </c>
      <c r="I13" s="4">
        <v>0.7</v>
      </c>
      <c r="L13" s="4">
        <v>0.7</v>
      </c>
      <c r="O13" s="4">
        <v>0.7</v>
      </c>
      <c r="R13" s="4">
        <v>0.7</v>
      </c>
      <c r="U13" s="24">
        <v>1.8</v>
      </c>
      <c r="V13" s="24">
        <f>SUM(U$6:U13)</f>
        <v>3.1399999999999997</v>
      </c>
      <c r="W13" s="24">
        <v>20</v>
      </c>
      <c r="AB13" s="5">
        <v>4250000</v>
      </c>
      <c r="AC13">
        <f t="shared" si="0"/>
        <v>1062500</v>
      </c>
    </row>
    <row r="14" spans="1:29" ht="34" x14ac:dyDescent="0.2">
      <c r="A14" s="29" t="s">
        <v>151</v>
      </c>
      <c r="B14" s="10" t="s">
        <v>149</v>
      </c>
      <c r="C14" s="4">
        <v>0.3</v>
      </c>
      <c r="F14" s="4">
        <v>0.3</v>
      </c>
      <c r="I14" s="4">
        <v>0.3</v>
      </c>
      <c r="L14" s="4">
        <v>0.3</v>
      </c>
      <c r="O14" s="4">
        <v>0.3</v>
      </c>
      <c r="R14" s="4">
        <v>0.3</v>
      </c>
      <c r="U14" s="24">
        <v>3</v>
      </c>
      <c r="V14" s="24">
        <f>SUM(U$6:U14)</f>
        <v>6.14</v>
      </c>
      <c r="W14" s="24">
        <v>20</v>
      </c>
      <c r="AB14" s="5"/>
    </row>
    <row r="15" spans="1:29" ht="34" x14ac:dyDescent="0.2">
      <c r="A15" s="29"/>
      <c r="B15" s="10" t="s">
        <v>150</v>
      </c>
      <c r="C15" s="4">
        <v>0.2</v>
      </c>
      <c r="U15" s="24">
        <v>6</v>
      </c>
      <c r="V15" s="24">
        <f>SUM(U$6:U15)</f>
        <v>12.14</v>
      </c>
      <c r="W15" s="24">
        <v>20</v>
      </c>
      <c r="AB15" s="5"/>
    </row>
    <row r="16" spans="1:29" x14ac:dyDescent="0.2">
      <c r="A16" s="30"/>
      <c r="U16" s="24">
        <v>10</v>
      </c>
      <c r="V16" s="24">
        <f>SUM(U$6:U16)</f>
        <v>22.14</v>
      </c>
      <c r="W16" s="24">
        <v>20</v>
      </c>
      <c r="AB16" s="5"/>
    </row>
    <row r="17" spans="1:36" x14ac:dyDescent="0.2">
      <c r="A17" s="30"/>
      <c r="U17" s="24">
        <v>12</v>
      </c>
      <c r="V17" s="24">
        <f>SUM(U$6:U17)</f>
        <v>34.14</v>
      </c>
      <c r="W17" s="24">
        <v>20</v>
      </c>
      <c r="AB17" s="5"/>
    </row>
    <row r="18" spans="1:36" x14ac:dyDescent="0.2">
      <c r="A18" s="30"/>
      <c r="U18" s="24">
        <v>13.5</v>
      </c>
      <c r="V18" s="24">
        <f>SUM(U$6:U18)</f>
        <v>47.64</v>
      </c>
      <c r="W18" s="24">
        <v>20</v>
      </c>
      <c r="AB18" s="5"/>
    </row>
    <row r="19" spans="1:36" ht="17" x14ac:dyDescent="0.2">
      <c r="B19" s="10" t="s">
        <v>146</v>
      </c>
      <c r="C19" s="4">
        <v>150</v>
      </c>
      <c r="D19" s="4">
        <v>100</v>
      </c>
      <c r="U19" s="24">
        <v>12</v>
      </c>
      <c r="V19" s="24">
        <f>SUM(U$6:U19)</f>
        <v>59.64</v>
      </c>
      <c r="W19" s="24">
        <v>20</v>
      </c>
      <c r="AB19" s="5">
        <v>4400000</v>
      </c>
      <c r="AC19">
        <f t="shared" si="0"/>
        <v>1100000</v>
      </c>
    </row>
    <row r="20" spans="1:36" ht="17" x14ac:dyDescent="0.2">
      <c r="B20" s="10" t="s">
        <v>145</v>
      </c>
      <c r="C20" s="4">
        <f>C$19*$C$14</f>
        <v>45</v>
      </c>
      <c r="D20" s="4">
        <f>D$19*$C$14</f>
        <v>30</v>
      </c>
      <c r="U20" s="24">
        <v>10</v>
      </c>
      <c r="V20" s="24">
        <f>SUM(U$6:U20)</f>
        <v>69.64</v>
      </c>
      <c r="W20" s="24">
        <v>20</v>
      </c>
      <c r="AB20" s="5"/>
    </row>
    <row r="21" spans="1:36" ht="17" x14ac:dyDescent="0.2">
      <c r="B21" s="10" t="s">
        <v>153</v>
      </c>
      <c r="C21" s="4">
        <f>C19-C20</f>
        <v>105</v>
      </c>
      <c r="D21" s="4">
        <f>D19-D20</f>
        <v>70</v>
      </c>
      <c r="U21" s="24">
        <v>6</v>
      </c>
      <c r="V21" s="24">
        <f>SUM(U$6:U21)</f>
        <v>75.64</v>
      </c>
      <c r="W21" s="24">
        <v>20</v>
      </c>
      <c r="AB21" s="5"/>
    </row>
    <row r="22" spans="1:36" x14ac:dyDescent="0.2">
      <c r="U22" s="24">
        <v>3</v>
      </c>
      <c r="V22" s="24">
        <f>SUM(U$6:U22)</f>
        <v>78.64</v>
      </c>
      <c r="W22" s="24">
        <v>20</v>
      </c>
      <c r="AB22" s="5"/>
    </row>
    <row r="23" spans="1:36" ht="17" x14ac:dyDescent="0.2">
      <c r="B23" s="10" t="s">
        <v>52</v>
      </c>
      <c r="C23" s="4">
        <v>5000</v>
      </c>
      <c r="D23" s="4">
        <v>50000</v>
      </c>
      <c r="F23" s="4">
        <v>5000</v>
      </c>
      <c r="G23" s="4">
        <v>250000</v>
      </c>
      <c r="I23" s="4">
        <v>6000</v>
      </c>
      <c r="J23" s="4">
        <v>250000</v>
      </c>
      <c r="L23" s="4">
        <v>6000</v>
      </c>
      <c r="M23" s="4">
        <v>249800</v>
      </c>
      <c r="O23" s="4">
        <v>6500</v>
      </c>
      <c r="P23" s="4">
        <v>49000</v>
      </c>
      <c r="R23" s="4">
        <v>7200</v>
      </c>
      <c r="S23" s="4">
        <v>49500</v>
      </c>
      <c r="U23" s="24">
        <v>1.8</v>
      </c>
      <c r="V23" s="24">
        <f>SUM(U$6:U23)</f>
        <v>80.44</v>
      </c>
      <c r="W23" s="24">
        <v>20</v>
      </c>
      <c r="AB23" s="5">
        <v>4420000</v>
      </c>
      <c r="AC23">
        <f t="shared" si="0"/>
        <v>1105000</v>
      </c>
      <c r="AG23" t="s">
        <v>110</v>
      </c>
    </row>
    <row r="24" spans="1:36" ht="17" x14ac:dyDescent="0.2">
      <c r="B24" s="15" t="s">
        <v>60</v>
      </c>
      <c r="C24" s="8"/>
      <c r="D24" s="8"/>
      <c r="F24" s="8"/>
      <c r="G24" s="8"/>
      <c r="I24" s="8"/>
      <c r="J24" s="8"/>
      <c r="L24" s="8"/>
      <c r="M24" s="8"/>
      <c r="O24" s="8"/>
      <c r="P24" s="8"/>
      <c r="R24" s="8"/>
      <c r="S24" s="8"/>
      <c r="AB24" s="5"/>
      <c r="AI24" t="s">
        <v>109</v>
      </c>
      <c r="AJ24" t="s">
        <v>111</v>
      </c>
    </row>
    <row r="25" spans="1:36" ht="17" x14ac:dyDescent="0.2">
      <c r="B25" s="10" t="s">
        <v>72</v>
      </c>
      <c r="C25" s="4">
        <v>0.92</v>
      </c>
      <c r="D25" s="4">
        <v>0.3</v>
      </c>
      <c r="AB25" s="5"/>
      <c r="AG25" t="s">
        <v>103</v>
      </c>
      <c r="AH25" t="s">
        <v>105</v>
      </c>
      <c r="AI25" t="s">
        <v>107</v>
      </c>
      <c r="AJ25" t="s">
        <v>112</v>
      </c>
    </row>
    <row r="26" spans="1:36" x14ac:dyDescent="0.2">
      <c r="AB26" s="5"/>
      <c r="AG26" t="s">
        <v>103</v>
      </c>
      <c r="AH26" t="s">
        <v>105</v>
      </c>
      <c r="AI26" t="s">
        <v>108</v>
      </c>
      <c r="AJ26" t="s">
        <v>113</v>
      </c>
    </row>
    <row r="27" spans="1:36" x14ac:dyDescent="0.2">
      <c r="AB27" s="5">
        <v>4508400</v>
      </c>
      <c r="AC27">
        <f t="shared" si="0"/>
        <v>1127100</v>
      </c>
      <c r="AG27" t="s">
        <v>103</v>
      </c>
      <c r="AH27" t="s">
        <v>106</v>
      </c>
      <c r="AI27" t="s">
        <v>107</v>
      </c>
      <c r="AJ27" t="s">
        <v>114</v>
      </c>
    </row>
    <row r="28" spans="1:36" ht="17" x14ac:dyDescent="0.2">
      <c r="B28" s="15" t="s">
        <v>57</v>
      </c>
      <c r="C28" s="8"/>
      <c r="D28" s="8"/>
      <c r="F28" s="8"/>
      <c r="G28" s="8"/>
      <c r="I28" s="8"/>
      <c r="J28" s="8"/>
      <c r="L28" s="8"/>
      <c r="M28" s="8"/>
      <c r="O28" s="8"/>
      <c r="P28" s="8"/>
      <c r="R28" s="8"/>
      <c r="S28" s="8"/>
      <c r="AB28" s="5">
        <v>4598570</v>
      </c>
      <c r="AC28">
        <f t="shared" si="0"/>
        <v>1149643</v>
      </c>
      <c r="AG28" t="s">
        <v>103</v>
      </c>
      <c r="AH28" t="s">
        <v>106</v>
      </c>
      <c r="AI28" t="s">
        <v>108</v>
      </c>
      <c r="AJ28" t="s">
        <v>115</v>
      </c>
    </row>
    <row r="29" spans="1:36" ht="17" x14ac:dyDescent="0.2">
      <c r="B29" s="10" t="s">
        <v>53</v>
      </c>
      <c r="C29" s="4">
        <v>200000</v>
      </c>
      <c r="F29" s="4">
        <v>205000</v>
      </c>
      <c r="I29" s="4">
        <v>211000</v>
      </c>
      <c r="L29" s="4">
        <v>221000</v>
      </c>
      <c r="O29" s="4">
        <v>211000</v>
      </c>
      <c r="R29" s="4">
        <v>221000</v>
      </c>
      <c r="AB29" s="5">
        <v>4690540</v>
      </c>
      <c r="AC29">
        <f t="shared" si="0"/>
        <v>1172635</v>
      </c>
      <c r="AG29" t="s">
        <v>104</v>
      </c>
      <c r="AH29" t="s">
        <v>105</v>
      </c>
      <c r="AI29" t="s">
        <v>108</v>
      </c>
      <c r="AJ29" t="s">
        <v>116</v>
      </c>
    </row>
    <row r="30" spans="1:36" ht="17" x14ac:dyDescent="0.2">
      <c r="B30" s="10" t="s">
        <v>148</v>
      </c>
      <c r="AB30" s="5">
        <v>4784350</v>
      </c>
      <c r="AC30">
        <f t="shared" si="0"/>
        <v>1196088</v>
      </c>
      <c r="AG30" t="s">
        <v>104</v>
      </c>
      <c r="AH30" t="s">
        <v>106</v>
      </c>
      <c r="AI30" t="s">
        <v>108</v>
      </c>
      <c r="AJ30" t="s">
        <v>117</v>
      </c>
    </row>
    <row r="31" spans="1:36" x14ac:dyDescent="0.2">
      <c r="AB31" s="5">
        <v>4880040</v>
      </c>
      <c r="AC31">
        <f t="shared" si="0"/>
        <v>1220010</v>
      </c>
    </row>
    <row r="32" spans="1:36" x14ac:dyDescent="0.2">
      <c r="AB32" s="5">
        <v>4977640</v>
      </c>
      <c r="AC32">
        <f t="shared" si="0"/>
        <v>1244410</v>
      </c>
    </row>
    <row r="33" spans="2:29" x14ac:dyDescent="0.2">
      <c r="AB33" s="5">
        <v>5077190</v>
      </c>
      <c r="AC33">
        <f t="shared" si="0"/>
        <v>1269298</v>
      </c>
    </row>
    <row r="34" spans="2:29" x14ac:dyDescent="0.2">
      <c r="AB34" s="5">
        <v>5178730</v>
      </c>
      <c r="AC34">
        <f t="shared" si="0"/>
        <v>1294683</v>
      </c>
    </row>
    <row r="35" spans="2:29" x14ac:dyDescent="0.2">
      <c r="AB35" s="5">
        <v>5282300</v>
      </c>
      <c r="AC35">
        <f t="shared" si="0"/>
        <v>1320575</v>
      </c>
    </row>
    <row r="36" spans="2:29" ht="17" x14ac:dyDescent="0.2">
      <c r="B36" s="11" t="s">
        <v>58</v>
      </c>
      <c r="C36" s="12"/>
      <c r="D36" s="12"/>
      <c r="F36" s="12"/>
      <c r="G36" s="12"/>
      <c r="I36" s="12"/>
      <c r="J36" s="12"/>
      <c r="L36" s="12"/>
      <c r="M36" s="12"/>
      <c r="O36" s="12"/>
      <c r="P36" s="12"/>
      <c r="R36" s="12"/>
      <c r="S36" s="12"/>
      <c r="AB36" s="5">
        <v>5387950</v>
      </c>
      <c r="AC36">
        <f t="shared" si="0"/>
        <v>1346988</v>
      </c>
    </row>
    <row r="37" spans="2:29" ht="17" x14ac:dyDescent="0.2">
      <c r="B37" s="14" t="s">
        <v>97</v>
      </c>
      <c r="C37" s="4">
        <f>C25</f>
        <v>0.92</v>
      </c>
      <c r="D37" s="4">
        <f>D25</f>
        <v>0.3</v>
      </c>
      <c r="AB37" s="5"/>
    </row>
    <row r="38" spans="2:29" x14ac:dyDescent="0.2">
      <c r="B38" s="14"/>
      <c r="AB38" s="5"/>
    </row>
    <row r="39" spans="2:29" x14ac:dyDescent="0.2">
      <c r="AB39" s="5"/>
    </row>
    <row r="40" spans="2:29" x14ac:dyDescent="0.2">
      <c r="B40" s="14"/>
      <c r="AB40" s="5"/>
    </row>
    <row r="41" spans="2:29" x14ac:dyDescent="0.2">
      <c r="AB41" s="5"/>
    </row>
    <row r="42" spans="2:29" x14ac:dyDescent="0.2">
      <c r="B42" s="14"/>
      <c r="AB42" s="5"/>
    </row>
    <row r="43" spans="2:29" x14ac:dyDescent="0.2">
      <c r="B43" s="14"/>
      <c r="U43" t="s">
        <v>84</v>
      </c>
      <c r="AB43" s="5"/>
    </row>
    <row r="44" spans="2:29" ht="17" x14ac:dyDescent="0.2">
      <c r="B44" s="15" t="s">
        <v>73</v>
      </c>
      <c r="C44" s="8"/>
      <c r="D44" s="8"/>
      <c r="F44" s="4" t="s">
        <v>164</v>
      </c>
      <c r="I44" s="4" t="s">
        <v>164</v>
      </c>
      <c r="K44" s="5" t="s">
        <v>165</v>
      </c>
      <c r="L44" s="4" t="s">
        <v>164</v>
      </c>
      <c r="AB44" s="5"/>
    </row>
    <row r="45" spans="2:29" ht="17" x14ac:dyDescent="0.2">
      <c r="B45" s="14" t="s">
        <v>96</v>
      </c>
      <c r="D45" s="4">
        <v>0</v>
      </c>
      <c r="E45" s="5">
        <f>SUM(G$45:G45)</f>
        <v>0</v>
      </c>
      <c r="G45" s="4">
        <v>0</v>
      </c>
      <c r="H45" s="5">
        <f>SUM(J$45:J45)</f>
        <v>0</v>
      </c>
      <c r="J45" s="4">
        <v>0</v>
      </c>
      <c r="K45" s="5">
        <f>SUM(M$45:M45)</f>
        <v>0</v>
      </c>
      <c r="M45" s="4">
        <v>0</v>
      </c>
      <c r="N45" s="5">
        <f>SUM(P$45:P45)</f>
        <v>0</v>
      </c>
      <c r="P45" s="4">
        <v>0</v>
      </c>
      <c r="Q45" s="5">
        <f>SUM(S$45:S45)</f>
        <v>0</v>
      </c>
      <c r="S45" s="4">
        <v>0</v>
      </c>
      <c r="AB45" s="5"/>
    </row>
    <row r="46" spans="2:29" ht="17" x14ac:dyDescent="0.2">
      <c r="B46" s="14" t="s">
        <v>95</v>
      </c>
      <c r="D46" s="4">
        <f>D11</f>
        <v>85</v>
      </c>
      <c r="E46" s="5">
        <f>SUM(D$45:D46)</f>
        <v>85</v>
      </c>
      <c r="F46" s="4">
        <f>IF(E46&gt;=G$10, IF(E45&lt;G$10, G$10-E45, 0),D46)</f>
        <v>0</v>
      </c>
      <c r="G46" s="4">
        <f>D46-F46</f>
        <v>85</v>
      </c>
      <c r="H46" s="5">
        <f>SUM(G$45:G46)</f>
        <v>85</v>
      </c>
      <c r="I46" s="4">
        <f>IF(H46&gt;=J$10, IF(H45&lt;J$10, J$10-H45, 0),G46)</f>
        <v>0</v>
      </c>
      <c r="J46" s="4">
        <f>D11</f>
        <v>85</v>
      </c>
      <c r="K46" s="5">
        <f>SUM(J$45:J46)</f>
        <v>85</v>
      </c>
      <c r="L46" s="4">
        <f>IF(K46&gt;=M$10, IF(K45&lt;M$10, M$10-K45, 0),J46)</f>
        <v>4</v>
      </c>
      <c r="M46" s="4">
        <f>J46-L46</f>
        <v>81</v>
      </c>
      <c r="N46" s="5">
        <f>SUM(M$45:M46)</f>
        <v>81</v>
      </c>
      <c r="O46" s="4">
        <f>IF(N46&gt;=P$10, IF(N45&lt;P$10, P$10-N45, 0),M46)</f>
        <v>39</v>
      </c>
      <c r="P46" s="4">
        <f>M46-O46</f>
        <v>42</v>
      </c>
      <c r="Q46" s="5">
        <f>SUM(P$45:P46)</f>
        <v>42</v>
      </c>
      <c r="R46" s="4">
        <f>IF(Q46&gt;=S$10, IF(Q45&lt;S$10, S$10-Q45, 0),P46)</f>
        <v>42</v>
      </c>
      <c r="S46" s="4">
        <f>P46-R46</f>
        <v>0</v>
      </c>
      <c r="AB46" s="5"/>
    </row>
    <row r="47" spans="2:29" ht="17" x14ac:dyDescent="0.2">
      <c r="B47" s="14" t="s">
        <v>74</v>
      </c>
      <c r="D47" s="4">
        <v>0</v>
      </c>
      <c r="E47" s="5">
        <f>SUM(D$45:D47)</f>
        <v>85</v>
      </c>
      <c r="F47" s="4">
        <f t="shared" ref="F47:F49" si="1">IF(E47&gt;=G$10, IF(E46&lt;G$10, G$10-E46, 0),D47)</f>
        <v>0</v>
      </c>
      <c r="G47" s="4">
        <f>G11</f>
        <v>80</v>
      </c>
      <c r="H47" s="5">
        <f>SUM(G$45:G47)</f>
        <v>165</v>
      </c>
      <c r="I47" s="4">
        <f t="shared" ref="I47:I49" si="2">IF(H47&gt;=J$10, IF(H46&lt;J$10, J$10-H46, 0),G47)</f>
        <v>0</v>
      </c>
      <c r="J47" s="4">
        <f>G47-I47</f>
        <v>80</v>
      </c>
      <c r="K47" s="5">
        <f>SUM(J$45:J47)</f>
        <v>165</v>
      </c>
      <c r="L47" s="4">
        <f t="shared" ref="L47:L49" si="3">IF(K47&gt;=M$10, IF(K46&lt;M$10, M$10-K46, 0),J47)</f>
        <v>0</v>
      </c>
      <c r="M47" s="4">
        <f>J47-L47</f>
        <v>80</v>
      </c>
      <c r="N47" s="5">
        <f>SUM(M$45:M47)</f>
        <v>161</v>
      </c>
      <c r="O47" s="4">
        <f t="shared" ref="O47:O49" si="4">IF(N47&gt;=P$10, IF(N46&lt;P$10, P$10-N46, 0),M47)</f>
        <v>0</v>
      </c>
      <c r="P47" s="4">
        <f>M47-O47</f>
        <v>80</v>
      </c>
      <c r="Q47" s="5">
        <f>SUM(P$45:P47)</f>
        <v>122</v>
      </c>
      <c r="R47" s="4">
        <f t="shared" ref="R47:R49" si="5">IF(Q47&gt;=S$10, IF(Q46&lt;S$10, S$10-Q46, 0),P47)</f>
        <v>63</v>
      </c>
      <c r="S47" s="4">
        <f>P47-R47</f>
        <v>17</v>
      </c>
      <c r="AB47" s="5"/>
    </row>
    <row r="48" spans="2:29" ht="17" x14ac:dyDescent="0.2">
      <c r="B48" s="14" t="s">
        <v>86</v>
      </c>
      <c r="D48" s="4">
        <v>0</v>
      </c>
      <c r="E48" s="5">
        <f>SUM(D$45:D48)</f>
        <v>85</v>
      </c>
      <c r="F48" s="4">
        <f t="shared" si="1"/>
        <v>0</v>
      </c>
      <c r="G48" s="4">
        <v>0</v>
      </c>
      <c r="H48" s="5">
        <f>SUM(G$45:G48)</f>
        <v>165</v>
      </c>
      <c r="I48" s="4">
        <f t="shared" si="2"/>
        <v>0</v>
      </c>
      <c r="J48" s="4">
        <f>J11</f>
        <v>92</v>
      </c>
      <c r="K48" s="5">
        <f>SUM(J$45:J48)</f>
        <v>257</v>
      </c>
      <c r="L48" s="4">
        <f t="shared" si="3"/>
        <v>0</v>
      </c>
      <c r="M48" s="4">
        <f>J48-L48</f>
        <v>92</v>
      </c>
      <c r="N48" s="5">
        <f>SUM(M$45:M48)</f>
        <v>253</v>
      </c>
      <c r="O48" s="4">
        <f t="shared" si="4"/>
        <v>0</v>
      </c>
      <c r="P48" s="4">
        <f>M48-O48</f>
        <v>92</v>
      </c>
      <c r="Q48" s="5">
        <f>SUM(P$45:P48)</f>
        <v>214</v>
      </c>
      <c r="R48" s="4">
        <f t="shared" si="5"/>
        <v>0</v>
      </c>
      <c r="S48" s="4">
        <f>P48-R48</f>
        <v>92</v>
      </c>
      <c r="AB48" s="5"/>
    </row>
    <row r="49" spans="2:28" ht="17" x14ac:dyDescent="0.2">
      <c r="B49" s="14" t="s">
        <v>87</v>
      </c>
      <c r="D49" s="4">
        <v>0</v>
      </c>
      <c r="E49" s="5">
        <f>SUM(D$45:D49)</f>
        <v>85</v>
      </c>
      <c r="F49" s="4">
        <f t="shared" si="1"/>
        <v>0</v>
      </c>
      <c r="G49" s="4">
        <v>0</v>
      </c>
      <c r="H49" s="5">
        <f>SUM(G$45:G49)</f>
        <v>165</v>
      </c>
      <c r="I49" s="4">
        <f t="shared" si="2"/>
        <v>0</v>
      </c>
      <c r="J49" s="4">
        <v>0</v>
      </c>
      <c r="K49" s="5">
        <f>SUM(J$45:J49)</f>
        <v>257</v>
      </c>
      <c r="L49" s="4">
        <f t="shared" si="3"/>
        <v>0</v>
      </c>
      <c r="M49" s="4">
        <f>M11</f>
        <v>43</v>
      </c>
      <c r="N49" s="5">
        <f>SUM(M$45:M49)</f>
        <v>296</v>
      </c>
      <c r="O49" s="4">
        <f t="shared" si="4"/>
        <v>0</v>
      </c>
      <c r="P49" s="4">
        <f>M49-O49</f>
        <v>43</v>
      </c>
      <c r="Q49" s="5">
        <f>SUM(P$45:P49)</f>
        <v>257</v>
      </c>
      <c r="R49" s="4">
        <f t="shared" si="5"/>
        <v>0</v>
      </c>
      <c r="S49" s="4">
        <f>P49-R49</f>
        <v>43</v>
      </c>
      <c r="AB49" s="5"/>
    </row>
    <row r="50" spans="2:28" ht="17" x14ac:dyDescent="0.2">
      <c r="B50" s="14" t="s">
        <v>90</v>
      </c>
      <c r="AB50" s="5"/>
    </row>
    <row r="51" spans="2:28" x14ac:dyDescent="0.2">
      <c r="B51" s="14"/>
      <c r="AB51" s="5"/>
    </row>
    <row r="52" spans="2:28" ht="17" x14ac:dyDescent="0.2">
      <c r="B52" s="14" t="s">
        <v>135</v>
      </c>
      <c r="D52" s="4">
        <f>D46*V6</f>
        <v>0</v>
      </c>
      <c r="G52" s="4">
        <f>G46*V7</f>
        <v>0.85</v>
      </c>
      <c r="J52" s="4">
        <f>J46*V8</f>
        <v>5.1000000000000005</v>
      </c>
      <c r="M52" s="4">
        <f>M46*V9</f>
        <v>14.58</v>
      </c>
      <c r="P52" s="4">
        <f>P46*V10</f>
        <v>15.96</v>
      </c>
      <c r="S52" s="4">
        <f>S46*V11</f>
        <v>0</v>
      </c>
      <c r="AB52" s="5"/>
    </row>
    <row r="53" spans="2:28" ht="17" x14ac:dyDescent="0.2">
      <c r="B53" s="14" t="s">
        <v>136</v>
      </c>
      <c r="G53" s="4">
        <f>G47*V6</f>
        <v>0</v>
      </c>
      <c r="J53" s="4">
        <f>J47*V7</f>
        <v>0.8</v>
      </c>
      <c r="M53" s="4">
        <f>M47*V8</f>
        <v>4.8000000000000007</v>
      </c>
      <c r="P53" s="4">
        <f>P47*V9</f>
        <v>14.399999999999999</v>
      </c>
      <c r="S53" s="4">
        <f>S47*V10</f>
        <v>6.46</v>
      </c>
      <c r="AB53" s="5"/>
    </row>
    <row r="54" spans="2:28" ht="17" x14ac:dyDescent="0.2">
      <c r="B54" s="14" t="s">
        <v>137</v>
      </c>
      <c r="J54" s="4">
        <f>J48*V6</f>
        <v>0</v>
      </c>
      <c r="M54" s="4">
        <f>M48*V7</f>
        <v>0.92</v>
      </c>
      <c r="P54" s="4">
        <f>P48*V8</f>
        <v>5.5200000000000005</v>
      </c>
      <c r="S54" s="4">
        <f>S48*V9</f>
        <v>16.559999999999999</v>
      </c>
      <c r="Y54" t="s">
        <v>118</v>
      </c>
      <c r="AB54" s="5"/>
    </row>
    <row r="55" spans="2:28" ht="17" x14ac:dyDescent="0.2">
      <c r="B55" s="14" t="s">
        <v>138</v>
      </c>
      <c r="M55" s="4">
        <f>M49*V6</f>
        <v>0</v>
      </c>
      <c r="P55" s="4">
        <f>P49*V7</f>
        <v>0.43</v>
      </c>
      <c r="S55" s="4">
        <f>S49*V8</f>
        <v>2.58</v>
      </c>
      <c r="Y55" t="s">
        <v>119</v>
      </c>
      <c r="AB55" s="5"/>
    </row>
    <row r="56" spans="2:28" ht="17" x14ac:dyDescent="0.2">
      <c r="B56" s="14" t="s">
        <v>90</v>
      </c>
      <c r="W56" t="s">
        <v>93</v>
      </c>
      <c r="AB56" s="5"/>
    </row>
    <row r="57" spans="2:28" x14ac:dyDescent="0.2">
      <c r="B57" s="14"/>
      <c r="W57" t="s">
        <v>94</v>
      </c>
      <c r="AB57" s="5"/>
    </row>
    <row r="58" spans="2:28" ht="17" x14ac:dyDescent="0.2">
      <c r="B58" s="14" t="s">
        <v>121</v>
      </c>
      <c r="AB58" s="5"/>
    </row>
    <row r="59" spans="2:28" ht="17" x14ac:dyDescent="0.2">
      <c r="B59" s="14" t="s">
        <v>122</v>
      </c>
      <c r="AB59" s="5"/>
    </row>
    <row r="60" spans="2:28" ht="17" x14ac:dyDescent="0.2">
      <c r="B60" s="14" t="s">
        <v>123</v>
      </c>
      <c r="AB60" s="5"/>
    </row>
    <row r="61" spans="2:28" ht="17" x14ac:dyDescent="0.2">
      <c r="B61" s="14" t="s">
        <v>124</v>
      </c>
      <c r="AB61" s="5"/>
    </row>
    <row r="62" spans="2:28" x14ac:dyDescent="0.2">
      <c r="B62" s="14"/>
      <c r="AB62" s="5"/>
    </row>
    <row r="63" spans="2:28" x14ac:dyDescent="0.2">
      <c r="B63" s="14"/>
      <c r="AB63" s="5"/>
    </row>
    <row r="64" spans="2:28" x14ac:dyDescent="0.2">
      <c r="B64" s="14"/>
      <c r="AB64" s="5"/>
    </row>
    <row r="65" spans="1:28" ht="17" x14ac:dyDescent="0.2">
      <c r="B65" s="15" t="s">
        <v>78</v>
      </c>
      <c r="C65" s="8"/>
      <c r="D65" s="8"/>
      <c r="AB65" s="5"/>
    </row>
    <row r="66" spans="1:28" x14ac:dyDescent="0.2">
      <c r="B66" s="14"/>
      <c r="AB66" s="5"/>
    </row>
    <row r="67" spans="1:28" ht="17" x14ac:dyDescent="0.2">
      <c r="B67" s="14" t="s">
        <v>120</v>
      </c>
      <c r="D67" s="4">
        <f>MAX(D$23-(D$7-D$9), 0)</f>
        <v>0</v>
      </c>
      <c r="G67" s="4">
        <f>MAX(G$23-(G$7-G$9), 0)</f>
        <v>210</v>
      </c>
      <c r="J67" s="4">
        <f>MAX(J$23-(J$7-J$9), 0)</f>
        <v>304</v>
      </c>
      <c r="M67" s="4">
        <f>MAX(M$23-(M$7-M$9), 0)</f>
        <v>249804</v>
      </c>
      <c r="P67" s="4">
        <f>MAX(P$23-(P$7-P$9), 0)</f>
        <v>49039</v>
      </c>
      <c r="S67" s="4">
        <f>MAX(S$23-(S$7-S$9), 0)</f>
        <v>49605</v>
      </c>
      <c r="AB67" s="5"/>
    </row>
    <row r="68" spans="1:28" ht="17" x14ac:dyDescent="0.2">
      <c r="B68" s="14" t="s">
        <v>96</v>
      </c>
      <c r="D68" s="4">
        <v>0</v>
      </c>
      <c r="G68" s="4">
        <v>0</v>
      </c>
      <c r="J68" s="4">
        <v>0</v>
      </c>
      <c r="M68" s="4">
        <v>0</v>
      </c>
      <c r="P68" s="4">
        <v>0</v>
      </c>
      <c r="S68" s="4">
        <v>0</v>
      </c>
      <c r="AB68" s="5"/>
    </row>
    <row r="69" spans="1:28" x14ac:dyDescent="0.2">
      <c r="B69" s="14"/>
      <c r="AB69" s="5"/>
    </row>
    <row r="70" spans="1:28" ht="17" x14ac:dyDescent="0.2">
      <c r="B70" s="14" t="s">
        <v>99</v>
      </c>
      <c r="D70" s="4">
        <f>U6</f>
        <v>0</v>
      </c>
      <c r="G70" s="4">
        <f>U7</f>
        <v>0.01</v>
      </c>
      <c r="J70" s="4">
        <f>U8</f>
        <v>0.05</v>
      </c>
      <c r="M70" s="4">
        <f>U9</f>
        <v>0.12</v>
      </c>
      <c r="P70" s="4">
        <f>U10</f>
        <v>0.2</v>
      </c>
      <c r="S70" s="4">
        <f>U11</f>
        <v>0.36</v>
      </c>
      <c r="AB70" s="5"/>
    </row>
    <row r="71" spans="1:28" ht="17" x14ac:dyDescent="0.2">
      <c r="B71" s="14" t="s">
        <v>100</v>
      </c>
      <c r="D71" s="4">
        <v>0</v>
      </c>
      <c r="G71" s="4">
        <v>0</v>
      </c>
      <c r="J71" s="4">
        <f>U7</f>
        <v>0.01</v>
      </c>
      <c r="M71" s="4">
        <f>U8</f>
        <v>0.05</v>
      </c>
      <c r="P71" s="4">
        <f>U9</f>
        <v>0.12</v>
      </c>
      <c r="S71" s="4">
        <f>U10</f>
        <v>0.2</v>
      </c>
      <c r="AB71" s="5"/>
    </row>
    <row r="72" spans="1:28" ht="17" x14ac:dyDescent="0.2">
      <c r="B72" s="14" t="s">
        <v>101</v>
      </c>
      <c r="D72" s="4">
        <v>0</v>
      </c>
      <c r="G72" s="4">
        <v>0</v>
      </c>
      <c r="J72" s="4">
        <v>0</v>
      </c>
      <c r="M72" s="4">
        <f>U7</f>
        <v>0.01</v>
      </c>
      <c r="P72" s="4">
        <f>U8</f>
        <v>0.05</v>
      </c>
      <c r="S72" s="4">
        <f>U9</f>
        <v>0.12</v>
      </c>
      <c r="AB72" s="5"/>
    </row>
    <row r="73" spans="1:28" ht="17" x14ac:dyDescent="0.2">
      <c r="B73" s="14" t="s">
        <v>102</v>
      </c>
      <c r="D73" s="4">
        <v>0</v>
      </c>
      <c r="G73" s="4">
        <v>0</v>
      </c>
      <c r="J73" s="4">
        <v>0</v>
      </c>
      <c r="M73" s="4">
        <v>0</v>
      </c>
      <c r="P73" s="4">
        <f>U7</f>
        <v>0.01</v>
      </c>
      <c r="S73" s="4">
        <f>U8</f>
        <v>0.05</v>
      </c>
      <c r="AB73" s="5"/>
    </row>
    <row r="74" spans="1:28" x14ac:dyDescent="0.2">
      <c r="B74" s="14"/>
      <c r="AB74" s="5"/>
    </row>
    <row r="75" spans="1:28" ht="17" x14ac:dyDescent="0.2">
      <c r="A75" s="3">
        <v>0</v>
      </c>
      <c r="B75" s="14" t="s">
        <v>127</v>
      </c>
      <c r="D75" s="4">
        <f>D70</f>
        <v>0</v>
      </c>
      <c r="G75" s="4">
        <f>INT(F$4-$W$6 &gt; $A75)*G52</f>
        <v>0</v>
      </c>
      <c r="J75" s="4">
        <f>INT(I$4-$W$6 &gt; $A75)*J52</f>
        <v>0</v>
      </c>
      <c r="M75" s="4">
        <f>INT(L$4-$W$6 &gt; $A75)*M52</f>
        <v>14.58</v>
      </c>
      <c r="P75" s="4">
        <f>INT(O$4-$W$6 &gt; $A75)*P52</f>
        <v>15.96</v>
      </c>
      <c r="S75" s="4">
        <f>INT(R$4-$W$6 &gt; $A75)*S52</f>
        <v>0</v>
      </c>
      <c r="AB75" s="5"/>
    </row>
    <row r="76" spans="1:28" ht="17" x14ac:dyDescent="0.2">
      <c r="A76" s="3">
        <v>1</v>
      </c>
      <c r="B76" s="14" t="s">
        <v>128</v>
      </c>
      <c r="D76" s="4">
        <f t="shared" ref="D76:D78" si="6">D71</f>
        <v>0</v>
      </c>
      <c r="G76" s="4">
        <f>INT(F$4-$W$6 &gt; $A76)*G53</f>
        <v>0</v>
      </c>
      <c r="J76" s="4">
        <f>INT(I$4-$W$6 &gt; $A76)*J53</f>
        <v>0</v>
      </c>
      <c r="M76" s="4">
        <f>INT(L$4-$W$6 &gt; $A76)*M53</f>
        <v>0</v>
      </c>
      <c r="P76" s="4">
        <f>INT(O$4-$W$6 &gt; $A76)*P53</f>
        <v>14.399999999999999</v>
      </c>
      <c r="S76" s="4">
        <f>INT(R$4-$W$6 &gt; $A76)*S53</f>
        <v>6.46</v>
      </c>
      <c r="AB76" s="5"/>
    </row>
    <row r="77" spans="1:28" ht="17" x14ac:dyDescent="0.2">
      <c r="A77" s="3">
        <v>2</v>
      </c>
      <c r="B77" s="14" t="s">
        <v>129</v>
      </c>
      <c r="D77" s="4">
        <f t="shared" si="6"/>
        <v>0</v>
      </c>
      <c r="G77" s="4">
        <f>INT(F$4-$W$6 &gt; $A77)*G54</f>
        <v>0</v>
      </c>
      <c r="J77" s="4">
        <f>INT(I$4-$W$6 &gt; $A77)*J54</f>
        <v>0</v>
      </c>
      <c r="M77" s="4">
        <f>INT(L$4-$W$6 &gt; $A77)*M54</f>
        <v>0</v>
      </c>
      <c r="P77" s="4">
        <f>INT(O$4-$W$6 &gt; $A77)*P54</f>
        <v>0</v>
      </c>
      <c r="S77" s="4">
        <f>INT(R$4-$W$6 &gt; $A77)*S54</f>
        <v>16.559999999999999</v>
      </c>
      <c r="AB77" s="5"/>
    </row>
    <row r="78" spans="1:28" ht="17" x14ac:dyDescent="0.2">
      <c r="A78" s="3">
        <v>3</v>
      </c>
      <c r="B78" s="14" t="s">
        <v>130</v>
      </c>
      <c r="D78" s="4">
        <f t="shared" si="6"/>
        <v>0</v>
      </c>
      <c r="G78" s="4">
        <f>INT(F$4-$W$6 &gt; $A78)*G55</f>
        <v>0</v>
      </c>
      <c r="J78" s="4">
        <f>INT(I$4-$W$6 &gt; $A78)*J55</f>
        <v>0</v>
      </c>
      <c r="M78" s="4">
        <f>INT(L$4-$W$6 &gt; $A78)*M55</f>
        <v>0</v>
      </c>
      <c r="P78" s="4">
        <f>INT(O$4-$W$6 &gt; $A78)*P55</f>
        <v>0</v>
      </c>
      <c r="S78" s="4">
        <f>INT(R$4-$W$6 &gt; $A78)*S55</f>
        <v>0</v>
      </c>
      <c r="AB78" s="5"/>
    </row>
    <row r="79" spans="1:28" ht="17" x14ac:dyDescent="0.2">
      <c r="B79" s="14" t="s">
        <v>90</v>
      </c>
      <c r="AB79" s="5"/>
    </row>
    <row r="80" spans="1:28" x14ac:dyDescent="0.2">
      <c r="B80" s="14"/>
      <c r="AB80" s="5"/>
    </row>
    <row r="81" spans="2:29" x14ac:dyDescent="0.2">
      <c r="B81" s="13"/>
      <c r="AB81" s="5"/>
    </row>
    <row r="82" spans="2:29" x14ac:dyDescent="0.2">
      <c r="B82" s="13"/>
      <c r="AB82" s="5"/>
    </row>
    <row r="83" spans="2:29" ht="17" x14ac:dyDescent="0.2">
      <c r="B83" s="11" t="s">
        <v>59</v>
      </c>
      <c r="C83" s="12"/>
      <c r="D83" s="12"/>
      <c r="F83" s="12"/>
      <c r="G83" s="12"/>
      <c r="I83" s="12"/>
      <c r="J83" s="12"/>
      <c r="L83" s="12"/>
      <c r="M83" s="12"/>
      <c r="O83" s="12"/>
      <c r="P83" s="12"/>
      <c r="R83" s="12"/>
      <c r="S83" s="12"/>
      <c r="AB83" s="5"/>
    </row>
    <row r="84" spans="2:29" ht="17" x14ac:dyDescent="0.2">
      <c r="B84" s="10" t="s">
        <v>160</v>
      </c>
      <c r="C84" s="4">
        <f>C19*C7</f>
        <v>1500000</v>
      </c>
      <c r="D84" s="4">
        <f>D19*D7</f>
        <v>25000000</v>
      </c>
      <c r="U84">
        <v>1.1000000000000001</v>
      </c>
      <c r="V84">
        <f>SUM(U$6:U84)</f>
        <v>81.539999999999992</v>
      </c>
      <c r="W84">
        <v>20</v>
      </c>
      <c r="AB84" s="5">
        <v>5495710</v>
      </c>
      <c r="AC84">
        <f t="shared" si="0"/>
        <v>1373928</v>
      </c>
    </row>
    <row r="85" spans="2:29" ht="17" x14ac:dyDescent="0.2">
      <c r="B85" s="10" t="s">
        <v>161</v>
      </c>
      <c r="D85" s="4">
        <f>SUM(D104:D107)</f>
        <v>0</v>
      </c>
      <c r="AB85" s="5"/>
    </row>
    <row r="86" spans="2:29" ht="17" x14ac:dyDescent="0.2">
      <c r="B86" s="10" t="s">
        <v>157</v>
      </c>
      <c r="C86" s="4">
        <f>C84+C85</f>
        <v>1500000</v>
      </c>
      <c r="D86" s="4">
        <f>D84+D85</f>
        <v>25000000</v>
      </c>
      <c r="AB86" s="5"/>
    </row>
    <row r="87" spans="2:29" x14ac:dyDescent="0.2">
      <c r="AB87" s="5"/>
    </row>
    <row r="88" spans="2:29" ht="17" x14ac:dyDescent="0.2">
      <c r="B88" s="10" t="s">
        <v>54</v>
      </c>
      <c r="C88" s="4">
        <f>C9*C19*$C$13</f>
        <v>5250</v>
      </c>
      <c r="D88" s="4">
        <f>D9*D19*$C$13</f>
        <v>7000</v>
      </c>
      <c r="AB88" s="5"/>
    </row>
    <row r="89" spans="2:29" ht="17" x14ac:dyDescent="0.2">
      <c r="B89" s="10" t="s">
        <v>71</v>
      </c>
      <c r="C89" s="4">
        <f>C23*C19</f>
        <v>750000</v>
      </c>
      <c r="D89" s="4">
        <f>D23*D19</f>
        <v>5000000</v>
      </c>
      <c r="AB89" s="5"/>
    </row>
    <row r="90" spans="2:29" ht="17" x14ac:dyDescent="0.2">
      <c r="B90" s="10" t="s">
        <v>158</v>
      </c>
      <c r="C90" s="4">
        <f>$C20*MAX(C7-C9-C23,0)</f>
        <v>222750</v>
      </c>
      <c r="D90" s="4">
        <f>$D20*MAX(D7-D9-D23,0)</f>
        <v>5997000</v>
      </c>
      <c r="AB90" s="5"/>
    </row>
    <row r="91" spans="2:29" x14ac:dyDescent="0.2">
      <c r="AB91" s="5"/>
    </row>
    <row r="92" spans="2:29" ht="17" x14ac:dyDescent="0.2">
      <c r="B92" s="10" t="s">
        <v>159</v>
      </c>
      <c r="C92" s="4">
        <f>MAX(C7-C9-C23, 0)*C95</f>
        <v>519750</v>
      </c>
      <c r="D92" s="4">
        <f>MAX(D7-D9-D23, 0)*D95</f>
        <v>13993000</v>
      </c>
      <c r="AB92" s="5"/>
    </row>
    <row r="93" spans="2:29" x14ac:dyDescent="0.2">
      <c r="AB93" s="5"/>
    </row>
    <row r="94" spans="2:29" ht="17" x14ac:dyDescent="0.2">
      <c r="B94" s="15" t="s">
        <v>80</v>
      </c>
      <c r="C94" s="8"/>
      <c r="D94" s="8"/>
      <c r="AB94" s="5"/>
    </row>
    <row r="95" spans="2:29" ht="17" x14ac:dyDescent="0.2">
      <c r="B95" s="10" t="s">
        <v>81</v>
      </c>
      <c r="C95" s="4">
        <f>MAX(C84/C7-C20,0)</f>
        <v>105</v>
      </c>
      <c r="D95" s="4">
        <f>MAX(D84/D7-D20,0)</f>
        <v>70</v>
      </c>
      <c r="AB95" s="5"/>
    </row>
    <row r="96" spans="2:29" ht="34" x14ac:dyDescent="0.2">
      <c r="B96" s="10" t="s">
        <v>152</v>
      </c>
      <c r="C96" s="4">
        <f>C95/$C$21</f>
        <v>1</v>
      </c>
      <c r="D96" s="4">
        <f>D95/$D$21</f>
        <v>1</v>
      </c>
      <c r="AB96" s="5"/>
    </row>
    <row r="97" spans="1:28" ht="17" x14ac:dyDescent="0.2">
      <c r="B97" s="10" t="s">
        <v>154</v>
      </c>
      <c r="C97" s="4">
        <f>MAX(MIN((C96-C14)/$C$15, 1), 0)</f>
        <v>1</v>
      </c>
      <c r="D97" s="4">
        <f>MAX(MIN((D96-$C$14)/$C$15, 1), 0)</f>
        <v>1</v>
      </c>
      <c r="AB97" s="5"/>
    </row>
    <row r="98" spans="1:28" x14ac:dyDescent="0.2">
      <c r="AB98" s="5"/>
    </row>
    <row r="99" spans="1:28" ht="17" x14ac:dyDescent="0.2">
      <c r="B99" s="10" t="s">
        <v>83</v>
      </c>
      <c r="C99" s="4">
        <f>C92*C97</f>
        <v>519750</v>
      </c>
      <c r="D99" s="4">
        <f>D92*D97</f>
        <v>13993000</v>
      </c>
      <c r="AB99" s="5"/>
    </row>
    <row r="100" spans="1:28" ht="17" x14ac:dyDescent="0.2">
      <c r="B100" s="10" t="s">
        <v>162</v>
      </c>
      <c r="C100" s="4">
        <f>C99+D99</f>
        <v>14512750</v>
      </c>
      <c r="AB100" s="5"/>
    </row>
    <row r="101" spans="1:28" ht="17" x14ac:dyDescent="0.2">
      <c r="B101" s="10" t="s">
        <v>155</v>
      </c>
      <c r="C101" s="4">
        <f>C99/$C100</f>
        <v>3.5813336548896658E-2</v>
      </c>
      <c r="D101" s="4">
        <f>D99/$C100</f>
        <v>0.96418666345110338</v>
      </c>
      <c r="AB101" s="5"/>
    </row>
    <row r="102" spans="1:28" x14ac:dyDescent="0.2">
      <c r="AB102" s="5"/>
    </row>
    <row r="103" spans="1:28" ht="17" x14ac:dyDescent="0.2">
      <c r="B103" s="15" t="s">
        <v>82</v>
      </c>
      <c r="C103" s="8"/>
      <c r="D103" s="8"/>
      <c r="AB103" s="5"/>
    </row>
    <row r="104" spans="1:28" ht="17" x14ac:dyDescent="0.2">
      <c r="B104" s="14" t="s">
        <v>75</v>
      </c>
      <c r="D104" s="4">
        <f>D46*D75</f>
        <v>0</v>
      </c>
      <c r="G104" s="4">
        <f>D104 - D116 + G70*G46</f>
        <v>0.85</v>
      </c>
      <c r="J104" s="4">
        <f>G104 - G116 + J70*J46</f>
        <v>5.0999999999999996</v>
      </c>
      <c r="M104" s="4">
        <f>J104 - J116 + M70*M46</f>
        <v>14.819999999999999</v>
      </c>
      <c r="P104" s="4">
        <f>M104 - M116 + P70*P46</f>
        <v>22.22</v>
      </c>
      <c r="S104" s="4">
        <f>P104 - P116 + S70*S46</f>
        <v>22.22</v>
      </c>
      <c r="AB104" s="5"/>
    </row>
    <row r="105" spans="1:28" ht="17" x14ac:dyDescent="0.2">
      <c r="B105" s="14" t="s">
        <v>76</v>
      </c>
      <c r="D105" s="4">
        <v>0</v>
      </c>
      <c r="G105" s="4">
        <f>D105 - D117 + G71*G47</f>
        <v>0</v>
      </c>
      <c r="J105" s="4">
        <f>G105 - G117 + J71*J47</f>
        <v>0.8</v>
      </c>
      <c r="M105" s="4">
        <f>J105 - J117 + M71*M47</f>
        <v>4.8</v>
      </c>
      <c r="P105" s="4">
        <f>M105 - M117 + P71*P47</f>
        <v>14.399999999999999</v>
      </c>
      <c r="S105" s="4">
        <f>P105 - P117 + S71*S47</f>
        <v>17.799999999999997</v>
      </c>
      <c r="AB105" s="5"/>
    </row>
    <row r="106" spans="1:28" ht="17" x14ac:dyDescent="0.2">
      <c r="B106" s="14" t="s">
        <v>77</v>
      </c>
      <c r="D106" s="4">
        <v>0</v>
      </c>
      <c r="G106" s="4">
        <f>D106 - D118 + G72*G48</f>
        <v>0</v>
      </c>
      <c r="J106" s="4">
        <f>G106 - G118 + J72*J48</f>
        <v>0</v>
      </c>
      <c r="M106" s="4">
        <f>J106 - J118 + M72*M48</f>
        <v>0.92</v>
      </c>
      <c r="P106" s="4">
        <f>M106 - M118 + P72*P48</f>
        <v>5.5200000000000005</v>
      </c>
      <c r="S106" s="4">
        <f>P106 - P118 + S72*S48</f>
        <v>16.559999999999999</v>
      </c>
      <c r="Y106" t="s">
        <v>118</v>
      </c>
      <c r="AB106" s="5"/>
    </row>
    <row r="107" spans="1:28" ht="17" x14ac:dyDescent="0.2">
      <c r="B107" s="14" t="s">
        <v>88</v>
      </c>
      <c r="D107" s="4">
        <v>0</v>
      </c>
      <c r="G107" s="4">
        <f>D107 - D119 + G73*G49</f>
        <v>0</v>
      </c>
      <c r="J107" s="4">
        <f>G107 - G119 + J73*J49</f>
        <v>0</v>
      </c>
      <c r="M107" s="4">
        <f>J107 - J119 + M73*M49</f>
        <v>0</v>
      </c>
      <c r="P107" s="4">
        <f>M107 - M119 + P73*P49</f>
        <v>0.43</v>
      </c>
      <c r="S107" s="4">
        <f>P107 - P119 + S73*S49</f>
        <v>2.58</v>
      </c>
      <c r="Y107" t="s">
        <v>119</v>
      </c>
      <c r="AB107" s="5"/>
    </row>
    <row r="108" spans="1:28" x14ac:dyDescent="0.2">
      <c r="B108" s="14"/>
      <c r="AB108" s="5"/>
    </row>
    <row r="109" spans="1:28" ht="17" x14ac:dyDescent="0.2">
      <c r="A109" s="3">
        <v>0</v>
      </c>
      <c r="B109" s="14" t="s">
        <v>141</v>
      </c>
      <c r="D109" s="4">
        <f>INT(C$4-$W$6&gt;$A109)*D104</f>
        <v>0</v>
      </c>
      <c r="G109" s="4">
        <f>INT(F$4-$W$6&gt;$A109)*G104</f>
        <v>0</v>
      </c>
      <c r="J109" s="4">
        <f>INT(I$4-$W$6&gt;$A109)*J104</f>
        <v>0</v>
      </c>
      <c r="M109" s="4">
        <f>INT(L$4-$W$6&gt;$A109)*M104</f>
        <v>14.819999999999999</v>
      </c>
      <c r="P109" s="4">
        <f>INT(O$4-$W$6&gt;$A109)*P104</f>
        <v>22.22</v>
      </c>
      <c r="S109" s="4">
        <f>INT(R$4-$W$6&gt;$A109)*S104</f>
        <v>22.22</v>
      </c>
      <c r="AB109" s="5"/>
    </row>
    <row r="110" spans="1:28" ht="17" x14ac:dyDescent="0.2">
      <c r="A110" s="3">
        <v>1</v>
      </c>
      <c r="B110" s="14" t="s">
        <v>142</v>
      </c>
      <c r="D110" s="4">
        <f t="shared" ref="D110:D112" si="7">INT(C$4-$W$6&gt;$A110)*D105</f>
        <v>0</v>
      </c>
      <c r="G110" s="4">
        <f t="shared" ref="G110:G112" si="8">INT(F$4-$W$6&gt;$A110)*G105</f>
        <v>0</v>
      </c>
      <c r="J110" s="4">
        <f t="shared" ref="J110:J112" si="9">INT(I$4-$W$6&gt;$A110)*J105</f>
        <v>0</v>
      </c>
      <c r="M110" s="4">
        <f t="shared" ref="M110:M112" si="10">INT(L$4-$W$6&gt;$A110)*M105</f>
        <v>0</v>
      </c>
      <c r="P110" s="4">
        <f t="shared" ref="P110:P112" si="11">INT(O$4-$W$6&gt;$A110)*P105</f>
        <v>14.399999999999999</v>
      </c>
      <c r="S110" s="4">
        <f t="shared" ref="S110:S112" si="12">INT(R$4-$W$6&gt;$A110)*S105</f>
        <v>17.799999999999997</v>
      </c>
      <c r="AB110" s="5"/>
    </row>
    <row r="111" spans="1:28" ht="17" x14ac:dyDescent="0.2">
      <c r="A111" s="3">
        <v>2</v>
      </c>
      <c r="B111" s="14" t="s">
        <v>143</v>
      </c>
      <c r="D111" s="4">
        <f t="shared" si="7"/>
        <v>0</v>
      </c>
      <c r="G111" s="4">
        <f t="shared" si="8"/>
        <v>0</v>
      </c>
      <c r="J111" s="4">
        <f t="shared" si="9"/>
        <v>0</v>
      </c>
      <c r="M111" s="4">
        <f t="shared" si="10"/>
        <v>0</v>
      </c>
      <c r="P111" s="4">
        <f t="shared" si="11"/>
        <v>0</v>
      </c>
      <c r="S111" s="4">
        <f t="shared" si="12"/>
        <v>16.559999999999999</v>
      </c>
      <c r="AB111" s="5"/>
    </row>
    <row r="112" spans="1:28" ht="17" x14ac:dyDescent="0.2">
      <c r="A112" s="3">
        <v>3</v>
      </c>
      <c r="B112" s="14" t="s">
        <v>144</v>
      </c>
      <c r="D112" s="4">
        <f t="shared" si="7"/>
        <v>0</v>
      </c>
      <c r="G112" s="4">
        <f t="shared" si="8"/>
        <v>0</v>
      </c>
      <c r="J112" s="4">
        <f t="shared" si="9"/>
        <v>0</v>
      </c>
      <c r="M112" s="4">
        <f t="shared" si="10"/>
        <v>0</v>
      </c>
      <c r="P112" s="4">
        <f t="shared" si="11"/>
        <v>0</v>
      </c>
      <c r="S112" s="4">
        <f t="shared" si="12"/>
        <v>0</v>
      </c>
      <c r="AB112" s="5"/>
    </row>
    <row r="113" spans="2:29" x14ac:dyDescent="0.2">
      <c r="B113" s="14"/>
      <c r="AB113" s="5"/>
    </row>
    <row r="114" spans="2:29" ht="16" customHeight="1" x14ac:dyDescent="0.2">
      <c r="B114" s="10" t="s">
        <v>147</v>
      </c>
      <c r="X114" t="s">
        <v>89</v>
      </c>
      <c r="AB114" s="5"/>
    </row>
    <row r="115" spans="2:29" ht="16" customHeight="1" x14ac:dyDescent="0.2">
      <c r="B115" s="10" t="s">
        <v>96</v>
      </c>
      <c r="AB115" s="5"/>
    </row>
    <row r="116" spans="2:29" ht="16" customHeight="1" x14ac:dyDescent="0.2">
      <c r="B116" s="14" t="s">
        <v>131</v>
      </c>
      <c r="D116" s="4">
        <v>0</v>
      </c>
      <c r="G116" s="4">
        <f>INT(F4-$W$6 &gt; 0)</f>
        <v>0</v>
      </c>
      <c r="J116" s="4">
        <f>INT(I4-$W$6 &gt; 0)</f>
        <v>0</v>
      </c>
      <c r="M116" s="4">
        <f>INT(L4-$W$6 &gt; 0)</f>
        <v>1</v>
      </c>
      <c r="AB116" s="5"/>
    </row>
    <row r="117" spans="2:29" ht="16" customHeight="1" x14ac:dyDescent="0.2">
      <c r="B117" s="14" t="s">
        <v>132</v>
      </c>
      <c r="D117" s="4">
        <v>0</v>
      </c>
      <c r="AB117" s="5"/>
    </row>
    <row r="118" spans="2:29" ht="16" customHeight="1" x14ac:dyDescent="0.2">
      <c r="B118" s="14" t="s">
        <v>133</v>
      </c>
      <c r="D118" s="4">
        <v>0</v>
      </c>
      <c r="AB118" s="5"/>
    </row>
    <row r="119" spans="2:29" ht="17" x14ac:dyDescent="0.2">
      <c r="B119" s="14" t="s">
        <v>134</v>
      </c>
      <c r="D119" s="4">
        <v>0</v>
      </c>
      <c r="AB119" s="5"/>
    </row>
    <row r="120" spans="2:29" x14ac:dyDescent="0.2">
      <c r="AB120" s="5"/>
    </row>
    <row r="121" spans="2:29" ht="17" x14ac:dyDescent="0.2">
      <c r="B121" s="15" t="s">
        <v>79</v>
      </c>
      <c r="C121" s="8"/>
      <c r="D121" s="8"/>
      <c r="AB121" s="5"/>
    </row>
    <row r="122" spans="2:29" ht="17" x14ac:dyDescent="0.2">
      <c r="B122" s="10" t="s">
        <v>156</v>
      </c>
      <c r="C122" s="4">
        <f>MIN(C100,C29)</f>
        <v>200000</v>
      </c>
      <c r="U122">
        <v>0.5</v>
      </c>
      <c r="V122">
        <f>SUM(U$6:U122)</f>
        <v>82.039999999999992</v>
      </c>
      <c r="W122">
        <v>20</v>
      </c>
      <c r="AB122" s="5">
        <v>5605620</v>
      </c>
      <c r="AC122">
        <f t="shared" si="0"/>
        <v>1401405</v>
      </c>
    </row>
    <row r="123" spans="2:29" ht="17" x14ac:dyDescent="0.2">
      <c r="B123" s="10" t="s">
        <v>163</v>
      </c>
      <c r="C123" s="4">
        <f>C29-C122</f>
        <v>0</v>
      </c>
      <c r="U123">
        <v>0.3</v>
      </c>
      <c r="V123">
        <f>SUM(U$6:U123)</f>
        <v>82.339999999999989</v>
      </c>
      <c r="W123">
        <v>20</v>
      </c>
      <c r="AB123" s="5">
        <v>5717730</v>
      </c>
      <c r="AC123">
        <f t="shared" si="0"/>
        <v>1429433</v>
      </c>
    </row>
    <row r="124" spans="2:29" ht="17" x14ac:dyDescent="0.2">
      <c r="B124" s="10" t="s">
        <v>156</v>
      </c>
      <c r="C124" s="4">
        <f>MIN(C29,C122)</f>
        <v>200000</v>
      </c>
      <c r="U124">
        <v>0.2</v>
      </c>
      <c r="V124">
        <f>SUM(U$6:U124)</f>
        <v>82.539999999999992</v>
      </c>
      <c r="W124">
        <v>20</v>
      </c>
      <c r="AB124" s="5">
        <v>5832080</v>
      </c>
      <c r="AC124">
        <f t="shared" si="0"/>
        <v>1458020</v>
      </c>
    </row>
    <row r="125" spans="2:29" x14ac:dyDescent="0.2">
      <c r="U125">
        <v>0.18</v>
      </c>
      <c r="V125">
        <f>SUM(U$6:U125)</f>
        <v>82.72</v>
      </c>
      <c r="W125">
        <v>20</v>
      </c>
      <c r="AB125" s="5">
        <v>5948720</v>
      </c>
      <c r="AC125">
        <f t="shared" si="0"/>
        <v>1487180</v>
      </c>
    </row>
    <row r="126" spans="2:29" x14ac:dyDescent="0.2">
      <c r="U126">
        <v>0.17</v>
      </c>
      <c r="V126">
        <f>SUM(U$6:U126)</f>
        <v>82.89</v>
      </c>
      <c r="W126">
        <v>20</v>
      </c>
      <c r="AB126" s="5">
        <v>6067690</v>
      </c>
      <c r="AC126">
        <f t="shared" si="0"/>
        <v>1516923</v>
      </c>
    </row>
    <row r="127" spans="2:29" x14ac:dyDescent="0.2">
      <c r="U127">
        <v>0.16</v>
      </c>
      <c r="V127">
        <f>SUM(U$6:U127)</f>
        <v>83.05</v>
      </c>
      <c r="W127">
        <v>20</v>
      </c>
      <c r="AB127" s="5">
        <v>6189040</v>
      </c>
      <c r="AC127">
        <f t="shared" si="0"/>
        <v>1547260</v>
      </c>
    </row>
    <row r="128" spans="2:29" x14ac:dyDescent="0.2">
      <c r="U128">
        <v>0.15</v>
      </c>
      <c r="V128">
        <f>SUM(U$6:U128)</f>
        <v>83.2</v>
      </c>
      <c r="W128">
        <v>20</v>
      </c>
      <c r="AB128" s="5">
        <v>6312820</v>
      </c>
      <c r="AC128">
        <f t="shared" si="0"/>
        <v>1578205</v>
      </c>
    </row>
    <row r="129" spans="2:29" x14ac:dyDescent="0.2">
      <c r="U129">
        <v>0.14000000000000001</v>
      </c>
      <c r="V129">
        <f>SUM(U$6:U129)</f>
        <v>83.34</v>
      </c>
      <c r="W129">
        <v>20</v>
      </c>
      <c r="AB129" s="5">
        <v>6439080</v>
      </c>
      <c r="AC129">
        <f t="shared" si="0"/>
        <v>1609770</v>
      </c>
    </row>
    <row r="130" spans="2:29" x14ac:dyDescent="0.2">
      <c r="U130">
        <v>0.13</v>
      </c>
      <c r="V130">
        <f>SUM(U$6:U130)</f>
        <v>83.47</v>
      </c>
      <c r="W130">
        <v>20</v>
      </c>
      <c r="AB130" s="5">
        <v>6567860</v>
      </c>
      <c r="AC130">
        <f t="shared" si="0"/>
        <v>1641965</v>
      </c>
    </row>
    <row r="131" spans="2:29" ht="17" x14ac:dyDescent="0.2">
      <c r="B131" s="10" t="s">
        <v>66</v>
      </c>
      <c r="C131" s="4">
        <f>C25*(C7-C9)</f>
        <v>9154</v>
      </c>
      <c r="D131" s="4">
        <f>D25*(D7-D9)</f>
        <v>74970</v>
      </c>
      <c r="U131">
        <v>0.125</v>
      </c>
      <c r="V131">
        <f>SUM(U$6:U131)</f>
        <v>83.594999999999999</v>
      </c>
      <c r="W131">
        <v>20</v>
      </c>
      <c r="AB131" s="5">
        <v>6699220</v>
      </c>
      <c r="AC131">
        <f t="shared" si="0"/>
        <v>1674805</v>
      </c>
    </row>
    <row r="132" spans="2:29" x14ac:dyDescent="0.2">
      <c r="U132">
        <v>0.1225</v>
      </c>
      <c r="V132">
        <f>SUM(U$6:U132)</f>
        <v>83.717500000000001</v>
      </c>
      <c r="W132">
        <v>20</v>
      </c>
      <c r="AB132" s="5">
        <v>6833200</v>
      </c>
      <c r="AC132">
        <f t="shared" si="0"/>
        <v>1708300</v>
      </c>
    </row>
    <row r="133" spans="2:29" x14ac:dyDescent="0.2">
      <c r="U133">
        <v>0.12239999999999999</v>
      </c>
      <c r="V133">
        <f>SUM(U$6:U133)</f>
        <v>83.8399</v>
      </c>
      <c r="W133">
        <v>20</v>
      </c>
      <c r="AB133" s="5">
        <v>6969860</v>
      </c>
      <c r="AC133">
        <f t="shared" si="0"/>
        <v>1742465</v>
      </c>
    </row>
    <row r="134" spans="2:29" x14ac:dyDescent="0.2">
      <c r="U134">
        <v>0.12230000000000001</v>
      </c>
      <c r="V134">
        <f>SUM(U$6:U134)</f>
        <v>83.962199999999996</v>
      </c>
      <c r="W134">
        <v>20</v>
      </c>
    </row>
  </sheetData>
  <mergeCells count="11">
    <mergeCell ref="A14:A15"/>
    <mergeCell ref="A5:B5"/>
    <mergeCell ref="L5:M5"/>
    <mergeCell ref="O5:P5"/>
    <mergeCell ref="R5:S5"/>
    <mergeCell ref="U4:W4"/>
    <mergeCell ref="E2:F2"/>
    <mergeCell ref="E3:F3"/>
    <mergeCell ref="F5:G5"/>
    <mergeCell ref="I5:J5"/>
    <mergeCell ref="C5:D5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2025-12-19T20:01:23Z</dcterms:modified>
</cp:coreProperties>
</file>