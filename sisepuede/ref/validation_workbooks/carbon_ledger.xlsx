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AA8C1182-B23A-DD4C-B000-5DF68ADA57A2}" xr6:coauthVersionLast="47" xr6:coauthVersionMax="47" xr10:uidLastSave="{00000000-0000-0000-0000-000000000000}"/>
  <bookViews>
    <workbookView xWindow="240" yWindow="760" windowWidth="2364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5" i="3" l="1"/>
  <c r="F148" i="3"/>
  <c r="X148" i="3"/>
  <c r="Y148" i="3"/>
  <c r="V148" i="3"/>
  <c r="U148" i="3"/>
  <c r="S148" i="3"/>
  <c r="R148" i="3"/>
  <c r="P148" i="3"/>
  <c r="O148" i="3"/>
  <c r="M148" i="3"/>
  <c r="L148" i="3"/>
  <c r="J148" i="3"/>
  <c r="I148" i="3"/>
  <c r="G148" i="3"/>
  <c r="R147" i="3"/>
  <c r="S147" i="3"/>
  <c r="M96" i="3"/>
  <c r="I112" i="3"/>
  <c r="F30" i="3"/>
  <c r="I30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G47" i="3" l="1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8" i="3" s="1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F27" i="3" s="1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J110" i="3" l="1"/>
  <c r="J111" i="3" s="1"/>
  <c r="G53" i="3"/>
  <c r="G54" i="3" s="1"/>
  <c r="H40" i="3"/>
  <c r="G60" i="3"/>
  <c r="M71" i="3"/>
  <c r="P71" i="3" s="1"/>
  <c r="J75" i="3"/>
  <c r="F114" i="3"/>
  <c r="F136" i="3" s="1"/>
  <c r="F137" i="3" s="1"/>
  <c r="G120" i="3"/>
  <c r="F126" i="3"/>
  <c r="I111" i="3"/>
  <c r="G96" i="3"/>
  <c r="J74" i="3"/>
  <c r="M70" i="3"/>
  <c r="F120" i="3"/>
  <c r="F121" i="3"/>
  <c r="J57" i="3"/>
  <c r="G68" i="3"/>
  <c r="G103" i="3"/>
  <c r="J76" i="3"/>
  <c r="G26" i="3"/>
  <c r="G11" i="3" s="1"/>
  <c r="I88" i="3"/>
  <c r="I7" i="3"/>
  <c r="I13" i="3" s="1"/>
  <c r="J58" i="3"/>
  <c r="G104" i="3"/>
  <c r="G102" i="3"/>
  <c r="G94" i="3"/>
  <c r="G113" i="3"/>
  <c r="G121" i="3" s="1"/>
  <c r="J7" i="3"/>
  <c r="H41" i="3"/>
  <c r="G23" i="3"/>
  <c r="F139" i="3" l="1"/>
  <c r="G122" i="3"/>
  <c r="G147" i="3" s="1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I109" i="3"/>
  <c r="G117" i="3"/>
  <c r="J10" i="3"/>
  <c r="M8" i="3"/>
  <c r="G119" i="3" l="1"/>
  <c r="F147" i="3"/>
  <c r="G123" i="3"/>
  <c r="F124" i="3" s="1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6" i="3" s="1"/>
  <c r="F125" i="3"/>
  <c r="F146" i="3" s="1"/>
  <c r="I40" i="3"/>
  <c r="J51" i="3" s="1"/>
  <c r="I38" i="3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1" i="3"/>
  <c r="AB160" i="3"/>
  <c r="AB159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J38" i="3"/>
  <c r="M26" i="3"/>
  <c r="F151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5" i="3"/>
  <c r="S109" i="3"/>
  <c r="G82" i="3"/>
  <c r="G151" i="3"/>
  <c r="F133" i="3"/>
  <c r="I80" i="3"/>
  <c r="I83" i="3"/>
  <c r="J77" i="3"/>
  <c r="I81" i="3"/>
  <c r="I82" i="3"/>
  <c r="S10" i="3"/>
  <c r="L38" i="3"/>
  <c r="M38" i="3" s="1"/>
  <c r="M68" i="3" s="1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F134" i="3" l="1"/>
  <c r="F153" i="3"/>
  <c r="G134" i="3"/>
  <c r="G144" i="3"/>
  <c r="F144" i="3"/>
  <c r="V10" i="3"/>
  <c r="V109" i="3"/>
  <c r="V13" i="3"/>
  <c r="V27" i="3" s="1"/>
  <c r="Y26" i="3"/>
  <c r="S11" i="3"/>
  <c r="Y10" i="3"/>
  <c r="Y11" i="3" s="1"/>
  <c r="Y109" i="3"/>
  <c r="G80" i="3"/>
  <c r="N38" i="3"/>
  <c r="O38" i="3" s="1"/>
  <c r="P38" i="3" s="1"/>
  <c r="P68" i="3" s="1"/>
  <c r="L40" i="3"/>
  <c r="M51" i="3" s="1"/>
  <c r="L41" i="3"/>
  <c r="M52" i="3" s="1"/>
  <c r="R8" i="3"/>
  <c r="F4" i="2"/>
  <c r="R7" i="2"/>
  <c r="G4" i="2"/>
  <c r="K4" i="2"/>
  <c r="J4" i="2"/>
  <c r="V26" i="3" l="1"/>
  <c r="V11" i="3" s="1"/>
  <c r="N39" i="3"/>
  <c r="O39" i="3" s="1"/>
  <c r="P39" i="3" s="1"/>
  <c r="P69" i="3" s="1"/>
  <c r="F154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I120" i="3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J120" i="3"/>
  <c r="X27" i="3"/>
  <c r="M111" i="3"/>
  <c r="J113" i="3"/>
  <c r="I113" i="3"/>
  <c r="L111" i="3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21" i="3"/>
  <c r="J114" i="3"/>
  <c r="J126" i="3" s="1"/>
  <c r="I121" i="3"/>
  <c r="I117" i="3"/>
  <c r="I119" i="3" s="1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7" i="3" l="1"/>
  <c r="I147" i="3"/>
  <c r="I139" i="3"/>
  <c r="W41" i="3"/>
  <c r="V71" i="3"/>
  <c r="Y70" i="3"/>
  <c r="J125" i="3"/>
  <c r="I125" i="3"/>
  <c r="I124" i="3"/>
  <c r="J139" i="3"/>
  <c r="X41" i="3"/>
  <c r="Y41" i="3" s="1"/>
  <c r="G6" i="2"/>
  <c r="R13" i="2"/>
  <c r="F6" i="2"/>
  <c r="U6" i="2" s="1"/>
  <c r="W6" i="2" s="1"/>
  <c r="O6" i="2" s="1"/>
  <c r="J146" i="3" l="1"/>
  <c r="I146" i="3"/>
  <c r="I151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1" i="3" s="1"/>
  <c r="I145" i="3"/>
  <c r="I144" i="3"/>
  <c r="L112" i="3" s="1"/>
  <c r="J133" i="3"/>
  <c r="J134" i="3" s="1"/>
  <c r="J7" i="2"/>
  <c r="F7" i="2"/>
  <c r="U7" i="2" s="1"/>
  <c r="O7" i="2" s="1"/>
  <c r="R16" i="2"/>
  <c r="I153" i="3" l="1"/>
  <c r="J81" i="3"/>
  <c r="J92" i="3" s="1"/>
  <c r="J80" i="3"/>
  <c r="J82" i="3"/>
  <c r="J93" i="3" s="1"/>
  <c r="J145" i="3"/>
  <c r="I154" i="3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44" i="3"/>
  <c r="M112" i="3" s="1"/>
  <c r="P110" i="3" s="1"/>
  <c r="J118" i="3"/>
  <c r="M75" i="3"/>
  <c r="L86" i="3"/>
  <c r="M86" i="3" s="1"/>
  <c r="M43" i="3"/>
  <c r="M56" i="3" s="1"/>
  <c r="L120" i="3"/>
  <c r="M76" i="3"/>
  <c r="J104" i="3"/>
  <c r="L89" i="3"/>
  <c r="M44" i="3"/>
  <c r="L88" i="3"/>
  <c r="L113" i="3"/>
  <c r="O111" i="3"/>
  <c r="O8" i="2"/>
  <c r="Q8" i="2" s="1"/>
  <c r="Y9" i="2" s="1"/>
  <c r="AA9" i="2" s="1"/>
  <c r="R19" i="2"/>
  <c r="J101" i="3" l="1"/>
  <c r="M113" i="3"/>
  <c r="M120" i="3"/>
  <c r="P111" i="3"/>
  <c r="M50" i="3"/>
  <c r="M57" i="3"/>
  <c r="M49" i="3"/>
  <c r="M73" i="3"/>
  <c r="L80" i="3" s="1"/>
  <c r="J119" i="3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7" i="3" l="1"/>
  <c r="M122" i="3"/>
  <c r="M147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6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6" i="3"/>
  <c r="L151" i="3" s="1"/>
  <c r="K11" i="2"/>
  <c r="Q11" i="2"/>
  <c r="R25" i="2"/>
  <c r="F12" i="2"/>
  <c r="M133" i="3" l="1"/>
  <c r="L144" i="3"/>
  <c r="O112" i="3" s="1"/>
  <c r="R110" i="3" s="1"/>
  <c r="R111" i="3" s="1"/>
  <c r="L145" i="3"/>
  <c r="L131" i="3"/>
  <c r="L132" i="3" s="1"/>
  <c r="M151" i="3" s="1"/>
  <c r="L153" i="3"/>
  <c r="L154" i="3" s="1"/>
  <c r="O120" i="3"/>
  <c r="Y12" i="2"/>
  <c r="AA12" i="2" s="1"/>
  <c r="R26" i="2"/>
  <c r="O113" i="3" l="1"/>
  <c r="M134" i="3"/>
  <c r="M145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101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18" i="3" l="1"/>
  <c r="M119" i="3" s="1"/>
  <c r="P43" i="3"/>
  <c r="P56" i="3" s="1"/>
  <c r="O86" i="3"/>
  <c r="P86" i="3" s="1"/>
  <c r="O147" i="3"/>
  <c r="P120" i="3"/>
  <c r="S110" i="3"/>
  <c r="S111" i="3" s="1"/>
  <c r="P113" i="3"/>
  <c r="P117" i="3" s="1"/>
  <c r="P114" i="3"/>
  <c r="P121" i="3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60" i="3" l="1"/>
  <c r="P73" i="3"/>
  <c r="O80" i="3" s="1"/>
  <c r="P49" i="3"/>
  <c r="P53" i="3" s="1"/>
  <c r="P47" i="3"/>
  <c r="P122" i="3"/>
  <c r="P126" i="3"/>
  <c r="P136" i="3"/>
  <c r="P137" i="3" s="1"/>
  <c r="O82" i="3"/>
  <c r="P77" i="3"/>
  <c r="K14" i="2"/>
  <c r="P13" i="2"/>
  <c r="X14" i="2" s="1"/>
  <c r="Z14" i="2" s="1"/>
  <c r="J14" i="2" s="1"/>
  <c r="P54" i="3" l="1"/>
  <c r="O83" i="3"/>
  <c r="O81" i="3"/>
  <c r="P147" i="3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6" i="3" l="1"/>
  <c r="O151" i="3" s="1"/>
  <c r="P146" i="3"/>
  <c r="O145" i="3"/>
  <c r="P133" i="3"/>
  <c r="O153" i="3" s="1"/>
  <c r="O154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5" i="3"/>
  <c r="P82" i="3"/>
  <c r="P93" i="3" s="1"/>
  <c r="P92" i="3"/>
  <c r="P97" i="3" s="1"/>
  <c r="P134" i="3"/>
  <c r="P80" i="3"/>
  <c r="P91" i="3" s="1"/>
  <c r="P151" i="3"/>
  <c r="P99" i="3"/>
  <c r="R120" i="3"/>
  <c r="R113" i="3"/>
  <c r="U111" i="3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02" i="3"/>
  <c r="R87" i="3"/>
  <c r="S44" i="3"/>
  <c r="S50" i="3" s="1"/>
  <c r="S43" i="3"/>
  <c r="S49" i="3" s="1"/>
  <c r="R86" i="3"/>
  <c r="S86" i="3" s="1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P118" i="3" l="1"/>
  <c r="P119" i="3" s="1"/>
  <c r="P101" i="3"/>
  <c r="S113" i="3"/>
  <c r="S121" i="3" s="1"/>
  <c r="S122" i="3" s="1"/>
  <c r="V110" i="3"/>
  <c r="V111" i="3" s="1"/>
  <c r="S74" i="3"/>
  <c r="S73" i="3"/>
  <c r="S57" i="3"/>
  <c r="S75" i="3"/>
  <c r="S120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R81" i="3" l="1"/>
  <c r="S54" i="3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37" i="3" l="1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6" i="3" l="1"/>
  <c r="R129" i="3"/>
  <c r="R130" i="3" s="1"/>
  <c r="S133" i="3" s="1"/>
  <c r="R146" i="3"/>
  <c r="R151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1" i="3"/>
  <c r="R145" i="3"/>
  <c r="R153" i="3"/>
  <c r="R154" i="3" s="1"/>
  <c r="Q19" i="2"/>
  <c r="Y20" i="2" s="1"/>
  <c r="AA20" i="2" s="1"/>
  <c r="G20" i="2" s="1"/>
  <c r="J20" i="2"/>
  <c r="F20" i="2"/>
  <c r="S80" i="3" l="1"/>
  <c r="S91" i="3" s="1"/>
  <c r="S82" i="3"/>
  <c r="S93" i="3" s="1"/>
  <c r="S83" i="3"/>
  <c r="S94" i="3" s="1"/>
  <c r="S145" i="3"/>
  <c r="R144" i="3"/>
  <c r="U112" i="3" s="1"/>
  <c r="X110" i="3" s="1"/>
  <c r="S81" i="3"/>
  <c r="S92" i="3" s="1"/>
  <c r="S97" i="3" s="1"/>
  <c r="S102" i="3" s="1"/>
  <c r="S98" i="3"/>
  <c r="S96" i="3"/>
  <c r="S99" i="3"/>
  <c r="U120" i="3"/>
  <c r="V44" i="3"/>
  <c r="V50" i="3" s="1"/>
  <c r="U87" i="3"/>
  <c r="U113" i="3"/>
  <c r="X111" i="3"/>
  <c r="K20" i="2"/>
  <c r="U20" i="2"/>
  <c r="W20" i="2" s="1"/>
  <c r="S144" i="3" l="1"/>
  <c r="V112" i="3" s="1"/>
  <c r="V120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7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7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6" i="3" s="1"/>
  <c r="U125" i="3"/>
  <c r="U146" i="3" s="1"/>
  <c r="U151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80" i="3" s="1"/>
  <c r="V133" i="3"/>
  <c r="U144" i="3"/>
  <c r="X112" i="3" s="1"/>
  <c r="X120" i="3" s="1"/>
  <c r="U145" i="3"/>
  <c r="V151" i="3"/>
  <c r="V145" i="3"/>
  <c r="U153" i="3"/>
  <c r="U154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134" i="3" l="1"/>
  <c r="V92" i="3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120" i="3" s="1"/>
  <c r="Y43" i="3"/>
  <c r="X86" i="3"/>
  <c r="Y86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7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7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5" i="3"/>
  <c r="P26" i="2"/>
  <c r="X27" i="2" s="1"/>
  <c r="Z27" i="2" s="1"/>
  <c r="J27" i="2" s="1"/>
  <c r="G27" i="2"/>
  <c r="K27" i="2"/>
  <c r="X129" i="3" l="1"/>
  <c r="Y140" i="3"/>
  <c r="Y141" i="3" s="1"/>
  <c r="X141" i="3"/>
  <c r="X130" i="3"/>
  <c r="Y146" i="3"/>
  <c r="X146" i="3"/>
  <c r="X151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1" i="3" s="1"/>
  <c r="X133" i="3"/>
  <c r="Q27" i="2"/>
  <c r="Y28" i="2" s="1"/>
  <c r="AA28" i="2" s="1"/>
  <c r="G28" i="2" s="1"/>
  <c r="F28" i="2"/>
  <c r="X134" i="3" l="1"/>
  <c r="X153" i="3"/>
  <c r="X144" i="3"/>
  <c r="X145" i="3"/>
  <c r="Y145" i="3"/>
  <c r="Y82" i="3"/>
  <c r="Y93" i="3" s="1"/>
  <c r="Y98" i="3" s="1"/>
  <c r="Y80" i="3"/>
  <c r="Y91" i="3" s="1"/>
  <c r="Y81" i="3"/>
  <c r="Y92" i="3" s="1"/>
  <c r="Y97" i="3" s="1"/>
  <c r="Y83" i="3"/>
  <c r="Y94" i="3" s="1"/>
  <c r="Y99" i="3" s="1"/>
  <c r="X154" i="3"/>
  <c r="Y134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<sst xmlns="http://schemas.openxmlformats.org/spreadsheetml/2006/main" count="437" uniqueCount="303">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</sst>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1"/>
  <sheetViews>
    <sheetView tabSelected="1" topLeftCell="A123" zoomScale="93" zoomScaleNormal="93" workbookViewId="0">
      <selection activeCell="K135" sqref="K135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0.01327547</f>
        <v>1.3275469999999999E-2</v>
      </c>
      <c r="G30" s="4">
        <f>F30</f>
        <v>1.3275469999999999E-2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5.0887158504999999</v>
      </c>
      <c r="P68" s="4">
        <f>M68*(1- $F$30)+P38*P62</f>
        <v>15.221160755888162</v>
      </c>
      <c r="S68" s="4">
        <f>P68*(1- $F$30)+S38*S62</f>
        <v>32.019092692908188</v>
      </c>
      <c r="V68" s="4">
        <f>S68*(1- $F$30)+V38*V62</f>
        <v>62.194024188436266</v>
      </c>
      <c r="Y68" s="4">
        <f>V68*(1- $F$30)+Y38*Y62</f>
        <v>112.36836928614341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4.7893796240000004</v>
      </c>
      <c r="S69" s="4">
        <f>P69*(1- $F$30)+S39*S63</f>
        <v>14.325798358482977</v>
      </c>
      <c r="V69" s="4">
        <f>S69*(1- $F$30)+V39*V63</f>
        <v>30.13561665214889</v>
      </c>
      <c r="Y69" s="4">
        <f>V69*(1- $F$30)+Y39*Y63</f>
        <v>58.535552177351789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5.5077865676000002</v>
      </c>
      <c r="V70" s="4">
        <f>S70*(1- $F$30)+V40*V64</f>
        <v>16.474668112255422</v>
      </c>
      <c r="Y70" s="4">
        <f>V70*(1- $F$30)+Y40*Y64</f>
        <v>34.655959149971224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2.5742915478999997</v>
      </c>
      <c r="Y71" s="4">
        <f>V71*(1- $F$30)+Y41*Y65</f>
        <v>7.7001166176845999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1.1284149499999998E-2</v>
      </c>
      <c r="P91" s="4">
        <f>(M96-P80-P43)*$F$30</f>
        <v>6.755509461183723E-2</v>
      </c>
      <c r="S91" s="4">
        <f>(P96-S80-S43)*$F$30</f>
        <v>0.2020680629799706</v>
      </c>
      <c r="V91" s="4">
        <f>(S96-V80-V43)*$F$30</f>
        <v>0.42506850447192185</v>
      </c>
      <c r="Y91" s="4">
        <f>(V96-Y80-Y43)*$F$30</f>
        <v>0.82565490229285987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1.0620376000000001E-2</v>
      </c>
      <c r="S92" s="4">
        <f>(P97-S81-S44)*$F$30</f>
        <v>6.3581265517023283E-2</v>
      </c>
      <c r="V92" s="4">
        <f>(S97-V81-V44)*$F$30</f>
        <v>0.19018170633409001</v>
      </c>
      <c r="Y92" s="4">
        <f>(V97-Y81-Y44)*$F$30</f>
        <v>0.40006447479710294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1.22134324E-2</v>
      </c>
      <c r="V93" s="4">
        <f>(S98-V82-V45)*$F$30</f>
        <v>7.3118455344576769E-2</v>
      </c>
      <c r="Y93" s="4">
        <f>(V98-Y82-Y45)*$F$30</f>
        <v>0.21870896228420347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5.7084520999999997E-3</v>
      </c>
      <c r="Y94" s="4">
        <f>(V99-Y83-Y46)*$F$30</f>
        <v>3.417493021540001E-2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5.0887158504999999</v>
      </c>
      <c r="P96" s="4">
        <f>M96 - P80 - P91 - P43 + P38*P86</f>
        <v>15.221160755888162</v>
      </c>
      <c r="S96" s="4">
        <f>P96 - S80 - S91 - S43 + S38*S86</f>
        <v>32.019092692908188</v>
      </c>
      <c r="V96" s="4">
        <f>S96 - V80 - V91 - V43 + V38*V86</f>
        <v>62.194024188436259</v>
      </c>
      <c r="Y96" s="4">
        <f>V96 - Y80 - Y91 - Y43 + Y38*Y86</f>
        <v>112.36836928614341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4.7893796240000004</v>
      </c>
      <c r="S97" s="4">
        <f>P97 - S81 - S92 - S44 + S39*S87</f>
        <v>14.325798358482977</v>
      </c>
      <c r="V97" s="4">
        <f>S97 - V81 - V92 - V44 + V39*V87</f>
        <v>30.135616652148887</v>
      </c>
      <c r="Y97" s="4">
        <f>V97 - Y81 - Y92 - Y44 + Y39*Y87</f>
        <v>58.535552177351782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5.5077865676000002</v>
      </c>
      <c r="V98" s="4">
        <f>S98 - V82 - V93 - V45 + V40*V88</f>
        <v>16.474668112255422</v>
      </c>
      <c r="Y98" s="4">
        <f>V98 - Y82 - Y93 - Y45 + Y40*Y88</f>
        <v>34.655959149971224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2.5742915478999997</v>
      </c>
      <c r="Y99" s="4">
        <f>V99 - Y83 - Y94 - Y46 + Y41*Y89</f>
        <v>7.7001166176845999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1.272178962625</v>
      </c>
      <c r="P101" s="4">
        <f>P96*$G$21</f>
        <v>3.8052901889720405</v>
      </c>
      <c r="S101" s="4">
        <f>S96*$G$21</f>
        <v>8.0047731732270471</v>
      </c>
      <c r="V101" s="4">
        <f>V96*$G$21</f>
        <v>15.548506047109065</v>
      </c>
      <c r="Y101" s="4">
        <f>Y96*$G$21</f>
        <v>28.092092321535851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1.1973449060000001</v>
      </c>
      <c r="S102" s="4">
        <f t="shared" ref="S102:S104" si="13">S97*$G$21</f>
        <v>3.5814495896207443</v>
      </c>
      <c r="V102" s="4">
        <f t="shared" ref="V102:V104" si="14">V97*$G$21</f>
        <v>7.5339041630372217</v>
      </c>
      <c r="Y102" s="4">
        <f t="shared" ref="Y102:Y104" si="15">Y97*$G$21</f>
        <v>14.633888044337946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1.3769466419</v>
      </c>
      <c r="V103" s="4">
        <f>V98*$G$21</f>
        <v>4.1186670280638555</v>
      </c>
      <c r="Y103" s="4">
        <f>Y98*$G$21</f>
        <v>8.663989787492806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0.64357288697499992</v>
      </c>
      <c r="Y104" s="4">
        <f t="shared" si="15"/>
        <v>1.92502915442115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0.89228649746988453</v>
      </c>
      <c r="Y110" s="4">
        <f>IF(V112=0,0,MIN(MAX((V112/V109-$G$17)/($F$19-$G$17), 0), 1))</f>
        <v>0.85022774788522248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0.26768594924096534</v>
      </c>
      <c r="Y111" s="4">
        <f>Y108*Y110</f>
        <v>0.78220952805440469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1400244.5781226705</v>
      </c>
      <c r="J112" s="4">
        <f>G112 - G133 - G121 - G144 + J111*J7</f>
        <v>23001355.719131082</v>
      </c>
      <c r="L112" s="4">
        <f>I112 - I133 - I121 - I144+L111*L7</f>
        <v>1296616.445847953</v>
      </c>
      <c r="M112" s="4">
        <f>J112 - J133 - J121 - J144 + M111*M7</f>
        <v>20984486.203669269</v>
      </c>
      <c r="O112" s="4">
        <f>L112 - L133 - L121 - L144+O111*O7</f>
        <v>1175936.6610351533</v>
      </c>
      <c r="P112" s="4">
        <f>M112 - M133 - M121 - M144 + P111*P7</f>
        <v>18954620.865377408</v>
      </c>
      <c r="R112" s="4">
        <f>O112 - O133 - O121 - O144+R111*R7</f>
        <v>1032133.964000222</v>
      </c>
      <c r="S112" s="4">
        <f>P112 - P133 - P121 - P144 + S111*S7</f>
        <v>16874657.962828044</v>
      </c>
      <c r="U112" s="4">
        <f>R112 - R133 - R121 - R144+U111*U7</f>
        <v>917853.92999855743</v>
      </c>
      <c r="V112" s="4">
        <f>S112 - S133 - S121 - S144 + V111*V7</f>
        <v>15623190.666785505</v>
      </c>
      <c r="X112" s="4">
        <f>U112 - U133 - U121 - U144+X111*X7</f>
        <v>869078.45031468186</v>
      </c>
      <c r="Y112" s="4">
        <f>V112 - V133 - V121 - V144 + Y111*Y7</f>
        <v>15387963.591322072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140.72809830378597</v>
      </c>
      <c r="J113" s="4">
        <f>J112/J7</f>
        <v>92.042239772433305</v>
      </c>
      <c r="L113" s="4">
        <f>L112/L7</f>
        <v>131.13030398947745</v>
      </c>
      <c r="M113" s="4">
        <f>M112/M7</f>
        <v>84.008511964727447</v>
      </c>
      <c r="O113" s="4">
        <f>O112/O7</f>
        <v>119.62733072585486</v>
      </c>
      <c r="P113" s="4">
        <f>P112/P7</f>
        <v>75.910790983345379</v>
      </c>
      <c r="R113" s="4">
        <f>R112/R7</f>
        <v>105.75143073772767</v>
      </c>
      <c r="S113" s="4">
        <f>S112/S7</f>
        <v>67.63281535698043</v>
      </c>
      <c r="U113" s="4">
        <f>U112/U7</f>
        <v>95.015934782459368</v>
      </c>
      <c r="V113" s="4">
        <f>V112/V7</f>
        <v>62.62678398486964</v>
      </c>
      <c r="X113" s="4">
        <f>X112/X7</f>
        <v>90.888773302100176</v>
      </c>
      <c r="Y113" s="4">
        <f>Y112/Y7</f>
        <v>61.709831534015365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91.141540803785972</v>
      </c>
      <c r="J114" s="4">
        <f>MAX(J113-$G22,0)</f>
        <v>54.241346772433303</v>
      </c>
      <c r="L114" s="4">
        <f>MAX(L113-$F22,0)</f>
        <v>81.543746489477456</v>
      </c>
      <c r="M114" s="4">
        <f>MAX(M113-$G22,0)</f>
        <v>46.207618964727445</v>
      </c>
      <c r="O114" s="4">
        <f>MAX(O113-$F22,0)</f>
        <v>70.040773225854863</v>
      </c>
      <c r="P114" s="4">
        <f>MAX(P113-$G22,0)</f>
        <v>38.109897983345377</v>
      </c>
      <c r="R114" s="4">
        <f>MAX(R113-$F22,0)</f>
        <v>56.164873237727676</v>
      </c>
      <c r="S114" s="4">
        <f>MAX(S113-$G22,0)</f>
        <v>29.831922356980428</v>
      </c>
      <c r="U114" s="4">
        <f>MAX(U113-$F22,0)</f>
        <v>45.42937728245937</v>
      </c>
      <c r="V114" s="4">
        <f>MAX(V113-$G22,0)</f>
        <v>24.825890984869638</v>
      </c>
      <c r="X114" s="4">
        <f>MAX(X113-$F22,0)</f>
        <v>41.302215802100179</v>
      </c>
      <c r="Y114" s="4">
        <f>MAX(Y113-$G22,0)</f>
        <v>23.908938534015363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1400244.5781226703</v>
      </c>
      <c r="J117" s="4">
        <f>J113*J7</f>
        <v>23001355.719131082</v>
      </c>
      <c r="L117" s="4">
        <f>L113*L7</f>
        <v>1296616.445847953</v>
      </c>
      <c r="M117" s="4">
        <f>M113*M7</f>
        <v>20984486.203669269</v>
      </c>
      <c r="O117" s="4">
        <f>O113*O7</f>
        <v>1175936.6610351533</v>
      </c>
      <c r="P117" s="4">
        <f>P113*P7</f>
        <v>18954620.865377408</v>
      </c>
      <c r="R117" s="4">
        <f>R113*R7</f>
        <v>1032133.964000222</v>
      </c>
      <c r="S117" s="4">
        <f>S113*S7</f>
        <v>16874657.962828044</v>
      </c>
      <c r="U117" s="4">
        <f>U113*U7</f>
        <v>917853.92999855755</v>
      </c>
      <c r="V117" s="4">
        <f>V113*V7</f>
        <v>15623190.666785505</v>
      </c>
      <c r="X117" s="4">
        <f>X113*X7</f>
        <v>869078.45031468186</v>
      </c>
      <c r="Y117" s="4">
        <f>Y113*Y7</f>
        <v>15387963.591322072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5.8887158504999997</v>
      </c>
      <c r="P118" s="4">
        <f>SUM(P96:P99)</f>
        <v>20.930540379888164</v>
      </c>
      <c r="S118" s="4">
        <f>SUM(S96:S99)</f>
        <v>52.282677618991166</v>
      </c>
      <c r="V118" s="4">
        <f>SUM(V96:V99)</f>
        <v>111.37860050074056</v>
      </c>
      <c r="Y118" s="4">
        <f>SUM(Y96:Y99)</f>
        <v>213.25999723115103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1400244.5781226703</v>
      </c>
      <c r="J119" s="4">
        <f>J117+J118</f>
        <v>23001356.569131084</v>
      </c>
      <c r="L119" s="4">
        <f>L117+L118</f>
        <v>1296616.445847953</v>
      </c>
      <c r="M119" s="4">
        <f>M117+M118</f>
        <v>20984492.092385121</v>
      </c>
      <c r="O119" s="4">
        <f>O117+O118</f>
        <v>1175936.6610351533</v>
      </c>
      <c r="P119" s="4">
        <f>P117+P118</f>
        <v>18954641.795917787</v>
      </c>
      <c r="R119" s="4">
        <f>R117+R118</f>
        <v>1032133.964000222</v>
      </c>
      <c r="S119" s="4">
        <f>S117+S118</f>
        <v>16874710.245505664</v>
      </c>
      <c r="U119" s="4">
        <f>U117+U118</f>
        <v>917853.92999855755</v>
      </c>
      <c r="V119" s="4">
        <f>V117+V118</f>
        <v>15623302.045386005</v>
      </c>
      <c r="X119" s="4">
        <f>X117+X118</f>
        <v>869078.45031468186</v>
      </c>
      <c r="Y119" s="4">
        <f>Y117+Y118</f>
        <v>15388176.851319304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F112*$F$21</f>
        <v>450000</v>
      </c>
      <c r="G120" s="4">
        <f>G112*$G$21</f>
        <v>6250000</v>
      </c>
      <c r="I120" s="4">
        <f>I112*$F$21</f>
        <v>420073.37343680114</v>
      </c>
      <c r="J120" s="4">
        <f>J112*$G$21</f>
        <v>5750338.9297827706</v>
      </c>
      <c r="L120" s="4">
        <f>L112*$F$21</f>
        <v>388984.93375438586</v>
      </c>
      <c r="M120" s="4">
        <f>M112*$G$21</f>
        <v>5246121.5509173172</v>
      </c>
      <c r="O120" s="4">
        <f>O112*$F$21</f>
        <v>352780.99831054598</v>
      </c>
      <c r="P120" s="4">
        <f>P112*$G$21</f>
        <v>4738655.2163443519</v>
      </c>
      <c r="R120" s="4">
        <f>R112*$F$21</f>
        <v>309640.18920006661</v>
      </c>
      <c r="S120" s="4">
        <f>S112*$G$21</f>
        <v>4218664.490707011</v>
      </c>
      <c r="U120" s="4">
        <f>U112*$F$21</f>
        <v>275356.17899956723</v>
      </c>
      <c r="V120" s="4">
        <f>V112*$G$21</f>
        <v>3905797.6666963762</v>
      </c>
      <c r="X120" s="4">
        <f>X112*$F$21</f>
        <v>260723.53509440453</v>
      </c>
      <c r="Y120" s="4">
        <f>Y112*$G$21</f>
        <v>3846990.897830518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8725.1420948347295</v>
      </c>
      <c r="J121" s="4">
        <f>J9*J113</f>
        <v>10124.646374967664</v>
      </c>
      <c r="L121" s="4">
        <f>L9*L113</f>
        <v>7605.5576313896927</v>
      </c>
      <c r="M121" s="4">
        <f>M9*M113</f>
        <v>7896.8001246843796</v>
      </c>
      <c r="O121" s="4">
        <f>O9*O113</f>
        <v>8373.9131508098399</v>
      </c>
      <c r="P121" s="4">
        <f>P9*P113</f>
        <v>14574.871868802313</v>
      </c>
      <c r="R121" s="4">
        <f>R9*R113</f>
        <v>10575.143073772768</v>
      </c>
      <c r="S121" s="4">
        <f>S9*S113</f>
        <v>2637.6797989222368</v>
      </c>
      <c r="U121" s="4">
        <f>U9*U113</f>
        <v>9311.5616086810187</v>
      </c>
      <c r="V121" s="4">
        <f>V9*V113</f>
        <v>6575.8123184113119</v>
      </c>
      <c r="X121" s="4">
        <f>X9*X113</f>
        <v>8907.0997836058177</v>
      </c>
      <c r="Y121" s="4">
        <f>Y9*Y113</f>
        <v>7158.340457945782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5886.2594663843101</v>
      </c>
      <c r="J123" s="4">
        <f>(J121-J122+J54)*$F$14</f>
        <v>6332.6524624773647</v>
      </c>
      <c r="L123" s="4">
        <f>(L121-L122)*$F$14</f>
        <v>5112.7703419727841</v>
      </c>
      <c r="M123" s="4">
        <f>(M121-M122+M54)*$F$14</f>
        <v>4882.9200872790652</v>
      </c>
      <c r="O123" s="4">
        <f>(O121-O122)*$F$14</f>
        <v>5631.4392055668877</v>
      </c>
      <c r="P123" s="4">
        <f>(P121-P122+P54)*$F$14</f>
        <v>8871.8503081616182</v>
      </c>
      <c r="R123" s="4">
        <f>(R121-R122)*$F$14</f>
        <v>7038.6001516409369</v>
      </c>
      <c r="S123" s="4">
        <f>(S121-S122+S54)*$F$14</f>
        <v>1570.6458592455656</v>
      </c>
      <c r="U123" s="4">
        <f>(U121-U122)*$F$14</f>
        <v>6236.8331260767136</v>
      </c>
      <c r="V123" s="4">
        <f>(V121-V122+V54)*$F$14</f>
        <v>3794.5686228879181</v>
      </c>
      <c r="X123" s="4">
        <f>(X121-X122)*$F$14</f>
        <v>5885.1098485240727</v>
      </c>
      <c r="Y123" s="4">
        <f>(Y121-Y122+Y54)*$F$14</f>
        <v>4280.0383205620474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12218.911928861675</v>
      </c>
      <c r="L124" s="4">
        <f>MIN(L123+M123, L33)</f>
        <v>9995.6904292518484</v>
      </c>
      <c r="O124" s="4">
        <f>MIN(O123+P123, O33)</f>
        <v>14503.289513728505</v>
      </c>
      <c r="R124" s="4">
        <f>MIN(R123+S123, R33)</f>
        <v>8609.2460108865016</v>
      </c>
      <c r="U124" s="4">
        <f>MIN(U123+V123, U33)</f>
        <v>10031.401748964632</v>
      </c>
      <c r="X124" s="4">
        <f>MIN(X123+Y123, X33)</f>
        <v>10165.14816908612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0.48173352100858291</v>
      </c>
      <c r="J125" s="4">
        <f>J123/(I123+J123)</f>
        <v>0.51826647899141709</v>
      </c>
      <c r="L125" s="4">
        <f>L123/(L123+M123)</f>
        <v>0.51149746764971205</v>
      </c>
      <c r="M125" s="4">
        <f>M123/(L123+M123)</f>
        <v>0.48850253235028801</v>
      </c>
      <c r="O125" s="4">
        <f>O123/(O123+P123)</f>
        <v>0.3882870296587741</v>
      </c>
      <c r="P125" s="4">
        <f>P123/(O123+P123)</f>
        <v>0.61171297034122596</v>
      </c>
      <c r="R125" s="4">
        <f>R123/(R123+S123)</f>
        <v>0.81756290187788072</v>
      </c>
      <c r="S125" s="4">
        <f>S123/(R123+S123)</f>
        <v>0.18243709812211939</v>
      </c>
      <c r="U125" s="4">
        <f>U123/(U123+V123)</f>
        <v>0.62173096862763311</v>
      </c>
      <c r="V125" s="4">
        <f>V123/(U123+V123)</f>
        <v>0.37826903137236684</v>
      </c>
      <c r="X125" s="4">
        <f>X123/(X123+Y123)</f>
        <v>0.57894973596367783</v>
      </c>
      <c r="Y125" s="4">
        <f>Y123/(X123+Y123)</f>
        <v>0.42105026403632212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445499.85144890583</v>
      </c>
      <c r="J126" s="4">
        <f>MAX(J13-J27, 0)*J114</f>
        <v>10836878.67166445</v>
      </c>
      <c r="L126" s="4">
        <f>MAX(L13-L27, 0)*L114</f>
        <v>353084.4222994374</v>
      </c>
      <c r="M126" s="4">
        <f>MAX(M13-M27, 0)*M114</f>
        <v>9227476.6767802127</v>
      </c>
      <c r="O126" s="4">
        <f>MAX(O13-O27, 0)*O114</f>
        <v>263353.30732921429</v>
      </c>
      <c r="P126" s="4">
        <f>MAX(P13-P27, 0)*P114</f>
        <v>7603077.087269336</v>
      </c>
      <c r="R126" s="4">
        <f>MAX(R13-R27, 0)*R114</f>
        <v>177480.99943121945</v>
      </c>
      <c r="S126" s="4">
        <f>MAX(S13-S27, 0)*S114</f>
        <v>5980256.3152920818</v>
      </c>
      <c r="U126" s="4">
        <f>MAX(U13-U27, 0)*U114</f>
        <v>107304.18914116903</v>
      </c>
      <c r="V126" s="4">
        <f>MAX(V13-V27, 0)*V114</f>
        <v>4961702.5722360462</v>
      </c>
      <c r="X126" s="4">
        <f>MAX(X13-X27, 0)*X114</f>
        <v>93508.216575954808</v>
      </c>
      <c r="Y126" s="4">
        <f>MAX(Y13-Y27, 0)*Y114</f>
        <v>4775667.0185383642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2037781.0880711384</v>
      </c>
      <c r="L129" s="4">
        <f>MAX(L33-L124,0)</f>
        <v>2100004.3095707484</v>
      </c>
      <c r="O129" s="4">
        <f>MAX(O33-O124,0)</f>
        <v>2195496.7104862714</v>
      </c>
      <c r="R129" s="4">
        <f>MAX(R33-R124,0)</f>
        <v>2991390.7539891135</v>
      </c>
      <c r="U129" s="4">
        <f>MAX(U33-U124,0)</f>
        <v>24989968.598251034</v>
      </c>
      <c r="X129" s="4">
        <f>MAX(X33-X124,0)</f>
        <v>2509834.8518309137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2037781.0880711384</v>
      </c>
      <c r="L130" s="4">
        <f>MIN(L140,L129)</f>
        <v>2100004.3095707484</v>
      </c>
      <c r="O130" s="4">
        <f>MIN(O140,O129)</f>
        <v>2195496.7104862714</v>
      </c>
      <c r="R130" s="4">
        <f>MIN(R140,R129)</f>
        <v>1365522.3071443853</v>
      </c>
      <c r="U130" s="4">
        <f>MIN(U140,U129)</f>
        <v>249661.00634800739</v>
      </c>
      <c r="X130" s="4">
        <f>MIN(X140,X129)</f>
        <v>81322.864565083524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1625868.4468447282</v>
      </c>
      <c r="U131" s="4">
        <f>U129-U130</f>
        <v>24740307.591903027</v>
      </c>
      <c r="X131" s="4">
        <f>X129-X130</f>
        <v>2428511.9872658299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80464.51997345034</v>
      </c>
      <c r="J133" s="4">
        <f>J141*I130</f>
        <v>1957316.568097688</v>
      </c>
      <c r="L133" s="4">
        <f>L141*L130</f>
        <v>100241.7582597421</v>
      </c>
      <c r="M133" s="4">
        <f>M141*L130</f>
        <v>1999762.5513110063</v>
      </c>
      <c r="O133" s="4">
        <f>O141*O130</f>
        <v>124509.76530548533</v>
      </c>
      <c r="P133" s="4">
        <f>P141*O130</f>
        <v>2070986.9451807863</v>
      </c>
      <c r="R133" s="4">
        <f>R141*R130</f>
        <v>94293.001358187947</v>
      </c>
      <c r="S133" s="4">
        <f>S141*R130</f>
        <v>1271229.3057861973</v>
      </c>
      <c r="U133" s="4">
        <f>U141*U130</f>
        <v>30365.318035164255</v>
      </c>
      <c r="V133" s="4">
        <f>V141*U130</f>
        <v>219295.68831284312</v>
      </c>
      <c r="X133" s="4">
        <f>X141*X130</f>
        <v>17535.251773675584</v>
      </c>
      <c r="Y133" s="4">
        <f>Y141*X130</f>
        <v>63787.612791407948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80464.51997345034</v>
      </c>
      <c r="J134" s="4">
        <f>J133+I132</f>
        <v>1957316.568097688</v>
      </c>
      <c r="L134" s="4">
        <f>L133</f>
        <v>100241.7582597421</v>
      </c>
      <c r="M134" s="4">
        <f>M133+L132</f>
        <v>1999762.5513110063</v>
      </c>
      <c r="O134" s="4">
        <f>O133</f>
        <v>124509.76530548533</v>
      </c>
      <c r="P134" s="4">
        <f>P133+O132</f>
        <v>2070986.9451807863</v>
      </c>
      <c r="R134" s="4">
        <f>R133</f>
        <v>94293.001358187947</v>
      </c>
      <c r="S134" s="4">
        <f>S133+R132</f>
        <v>1271229.3057861973</v>
      </c>
      <c r="U134" s="4">
        <f>U133</f>
        <v>30365.318035164255</v>
      </c>
      <c r="V134" s="4">
        <f>V133+U132</f>
        <v>219295.68831284312</v>
      </c>
      <c r="X134" s="4">
        <f>X133</f>
        <v>17535.251773675584</v>
      </c>
      <c r="Y134" s="4">
        <f>Y133+X132</f>
        <v>63787.612791407948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0.90766274449544915</v>
      </c>
      <c r="J136" s="4">
        <f>J114/$G$23</f>
        <v>0.87205989585080868</v>
      </c>
      <c r="L136" s="4">
        <f>L114/$F$23</f>
        <v>0.81207998111883728</v>
      </c>
      <c r="M136" s="4">
        <f>M114/$G$23</f>
        <v>0.74289843043449877</v>
      </c>
      <c r="O136" s="4">
        <f>O114/$F$23</f>
        <v>0.69752387212354428</v>
      </c>
      <c r="P136" s="4">
        <f>P114/$G$23</f>
        <v>0.61270812108838446</v>
      </c>
      <c r="R136" s="4">
        <f>R114/$F$23</f>
        <v>0.55933619881349728</v>
      </c>
      <c r="S136" s="4">
        <f>S114/$G$23</f>
        <v>0.47961978548953171</v>
      </c>
      <c r="U136" s="4">
        <f>U114/$F$23</f>
        <v>0.45242326277638945</v>
      </c>
      <c r="V136" s="4">
        <f>V114/$G$23</f>
        <v>0.3991358105007784</v>
      </c>
      <c r="X136" s="4">
        <f>X114/$F$23</f>
        <v>0.41132157979844358</v>
      </c>
      <c r="Y136" s="4">
        <f>Y114/$G$23</f>
        <v>0.38439359803052098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0.76335289475554091</v>
      </c>
      <c r="O137" s="4">
        <f>MAX(MIN((O136-$F$17)/$F$18, 1), 0)</f>
        <v>0.85222104179390024</v>
      </c>
      <c r="P137" s="4">
        <f>MAX(MIN((P136-$G$17)/$G$18, 1), 0)</f>
        <v>0.49099331907540816</v>
      </c>
      <c r="R137" s="4">
        <f>MAX(MIN((R136-$F$17)/$F$18, 1), 0)</f>
        <v>0.53128504831712997</v>
      </c>
      <c r="S137" s="4">
        <f>MAX(MIN((S136-$G$17)/$G$18, 1), 0)</f>
        <v>0.2125710402304235</v>
      </c>
      <c r="U137" s="4">
        <f>MAX(MIN((U136-$F$17)/$F$18, 1), 0)</f>
        <v>0.28298352821263806</v>
      </c>
      <c r="V137" s="4">
        <f>MAX(MIN((V136-$G$17)/$G$18, 1), 0)</f>
        <v>4.4197669070279458E-2</v>
      </c>
      <c r="X137" s="4">
        <f>MAX(MIN((X136-$F$17)/$F$18, 1), 0)</f>
        <v>0.18752632031466515</v>
      </c>
      <c r="Y137" s="4">
        <f>MAX(MIN((Y136-$G$17)/$G$18, 1), 0)</f>
        <v>1.3356796557170923E-2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445499.85144890583</v>
      </c>
      <c r="J139" s="4">
        <f>J126*J137</f>
        <v>10836878.67166445</v>
      </c>
      <c r="L139" s="4">
        <f>L126*L137</f>
        <v>353084.4222994374</v>
      </c>
      <c r="M139" s="4">
        <f>M126*M137</f>
        <v>7043821.0325094145</v>
      </c>
      <c r="O139" s="4">
        <f>O126*O137</f>
        <v>224435.22993197219</v>
      </c>
      <c r="P139" s="4">
        <f>P126*P137</f>
        <v>3733060.054264558</v>
      </c>
      <c r="R139" s="4">
        <f>R126*R137</f>
        <v>94293.001358187947</v>
      </c>
      <c r="S139" s="4">
        <f>S126*S137</f>
        <v>1271229.3057861973</v>
      </c>
      <c r="U139" s="4">
        <f>U126*U137</f>
        <v>30365.318035164255</v>
      </c>
      <c r="V139" s="4">
        <f>V126*V137</f>
        <v>219295.68831284312</v>
      </c>
      <c r="X139" s="4">
        <f>X126*X137</f>
        <v>17535.251773675584</v>
      </c>
      <c r="Y139" s="4">
        <f>Y126*Y137</f>
        <v>63787.612791407948</v>
      </c>
      <c r="Z139" s="38"/>
      <c r="AA139">
        <v>0.125</v>
      </c>
      <c r="AB139">
        <f>SUM(AA$6:AA158)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11282378.523113357</v>
      </c>
      <c r="J140" s="4">
        <f>I140</f>
        <v>11282378.523113357</v>
      </c>
      <c r="L140" s="4">
        <f>L139+M139</f>
        <v>7396905.4548088517</v>
      </c>
      <c r="M140" s="4">
        <f>L140</f>
        <v>7396905.4548088517</v>
      </c>
      <c r="O140" s="4">
        <f>O139+P139</f>
        <v>3957495.28419653</v>
      </c>
      <c r="P140" s="4">
        <f>O140</f>
        <v>3957495.28419653</v>
      </c>
      <c r="R140" s="4">
        <f>R139+S139</f>
        <v>1365522.3071443853</v>
      </c>
      <c r="S140" s="4">
        <f>R140</f>
        <v>1365522.3071443853</v>
      </c>
      <c r="U140" s="4">
        <f>U139+V139</f>
        <v>249661.00634800739</v>
      </c>
      <c r="V140" s="4">
        <f>U140</f>
        <v>249661.00634800739</v>
      </c>
      <c r="X140" s="4">
        <f>X139+Y139</f>
        <v>81322.864565083524</v>
      </c>
      <c r="Y140" s="4">
        <f>X140</f>
        <v>81322.864565083524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3.9486341513559745E-2</v>
      </c>
      <c r="J141" s="4">
        <f>J139/J140</f>
        <v>0.96051365848644021</v>
      </c>
      <c r="L141" s="4">
        <f>L139/L140</f>
        <v>4.773407264113283E-2</v>
      </c>
      <c r="M141" s="4">
        <f>M139/M140</f>
        <v>0.95226592735886717</v>
      </c>
      <c r="O141" s="4">
        <f>O139/O140</f>
        <v>5.6711433322033163E-2</v>
      </c>
      <c r="P141" s="4">
        <f>P139/P140</f>
        <v>0.9432885666779669</v>
      </c>
      <c r="R141" s="4">
        <f>R139/R140</f>
        <v>6.9052699369939879E-2</v>
      </c>
      <c r="S141" s="4">
        <f>S139/S140</f>
        <v>0.93094730063006004</v>
      </c>
      <c r="U141" s="4">
        <f>U139/U140</f>
        <v>0.12162619417161781</v>
      </c>
      <c r="V141" s="4">
        <f>V139/V140</f>
        <v>0.87837380582838209</v>
      </c>
      <c r="X141" s="4">
        <f>X139/X140</f>
        <v>0.21562511192214512</v>
      </c>
      <c r="Y141" s="4">
        <f>Y139/Y140</f>
        <v>0.78437488807785494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18798.841062135314</v>
      </c>
      <c r="G144" s="4">
        <f>(G112 - G133 - G121)*$G$30+SUM(G91:G94)</f>
        <v>306368.86168411467</v>
      </c>
      <c r="I144" s="4">
        <f>(I112 - I133 - I121)*$F$30</f>
        <v>17404.870206432512</v>
      </c>
      <c r="J144" s="4">
        <f>(J112 - J133 - J121)*$G$30+SUM(J91:J94)</f>
        <v>279235.1009891578</v>
      </c>
      <c r="L144" s="4">
        <f>(L112 - L133 - L121)*$F$30</f>
        <v>15781.46892166788</v>
      </c>
      <c r="M144" s="4">
        <f>(M112 - M133 - M121)*$G$30+SUM(M91:M94)</f>
        <v>251926.30685617079</v>
      </c>
      <c r="O144" s="4">
        <f>(O112 - O133 - O121)*$F$30</f>
        <v>13847.018578636153</v>
      </c>
      <c r="P144" s="4">
        <f>(P112 - P133 - P121)*$G$30+SUM(P91:P94)</f>
        <v>223944.76549977509</v>
      </c>
      <c r="R144" s="4">
        <f>(R112 - R133 - R121)*$F$30</f>
        <v>12309.889569703864</v>
      </c>
      <c r="S144" s="4">
        <f>(S112 - S133 - S121)*$G$30+SUM(S91:S94)</f>
        <v>207108.11045742003</v>
      </c>
      <c r="U144" s="4">
        <f>(U112 - U133 - U121)*$F$30</f>
        <v>11658.213086672471</v>
      </c>
      <c r="V144" s="4">
        <f>(V112 - V133 - V121)*$G$30+SUM(V91:V94)</f>
        <v>204407.342747824</v>
      </c>
      <c r="X144" s="4">
        <f>(X112 - X133 - X121)*$F$30</f>
        <v>11186.390249970907</v>
      </c>
      <c r="Y144" s="4">
        <f>(Y112 - Y133 - Y121)*$G$30+SUM(Y91:Y94)</f>
        <v>203342.08674697479</v>
      </c>
      <c r="Z144" s="38"/>
    </row>
    <row r="145" spans="1:29" ht="17" x14ac:dyDescent="0.2">
      <c r="A145" s="38" t="s">
        <v>275</v>
      </c>
      <c r="B145" s="33" t="s">
        <v>163</v>
      </c>
      <c r="E145" s="14" t="s">
        <v>215</v>
      </c>
      <c r="F145" s="4">
        <f>F133*$F21</f>
        <v>22932.474244558285</v>
      </c>
      <c r="G145" s="4">
        <f>(G133+F132)*$G21</f>
        <v>478045.8547962014</v>
      </c>
      <c r="I145" s="4">
        <f>I133*$F21</f>
        <v>24139.3559920351</v>
      </c>
      <c r="J145" s="4">
        <f>(J133+I132)*$G21</f>
        <v>489329.14202442201</v>
      </c>
      <c r="L145" s="4">
        <f>L133*$F21</f>
        <v>30072.527477922627</v>
      </c>
      <c r="M145" s="4">
        <f>(M133+L132)*$G21</f>
        <v>499940.63782775158</v>
      </c>
      <c r="O145" s="4">
        <f>O133*$F21</f>
        <v>37352.929591645596</v>
      </c>
      <c r="P145" s="4">
        <f>(P133+O132)*$G21</f>
        <v>517746.73629519658</v>
      </c>
      <c r="R145" s="4">
        <f>R133*$F21</f>
        <v>28287.900407456382</v>
      </c>
      <c r="S145" s="4">
        <f>(S133+R132)*$G21</f>
        <v>317807.32644654933</v>
      </c>
      <c r="U145" s="4">
        <f>U133*$F21</f>
        <v>9109.5954105492765</v>
      </c>
      <c r="V145" s="4">
        <f>(V133+U132)*$G21</f>
        <v>54823.92207821078</v>
      </c>
      <c r="X145" s="4">
        <f>X133*$F21</f>
        <v>5260.5755321026745</v>
      </c>
      <c r="Y145" s="4">
        <f>(Y133+X132)*$G21</f>
        <v>15946.903197851987</v>
      </c>
      <c r="Z145" s="38"/>
    </row>
    <row r="146" spans="1:29" ht="17" x14ac:dyDescent="0.2">
      <c r="A146" s="38" t="s">
        <v>176</v>
      </c>
      <c r="B146" s="33" t="s">
        <v>163</v>
      </c>
      <c r="E146" s="10" t="s">
        <v>166</v>
      </c>
      <c r="F146" s="4">
        <f>F121-F124*F125-F122</f>
        <v>2175</v>
      </c>
      <c r="G146" s="4">
        <f>G121-F124*G125-G122+G54</f>
        <v>2700</v>
      </c>
      <c r="I146" s="4">
        <f>I121-I124*I125-I122</f>
        <v>2522.6826284504195</v>
      </c>
      <c r="J146" s="4">
        <f>J121-I124*J125-J122+J54</f>
        <v>2713.9939124902994</v>
      </c>
      <c r="L146" s="4">
        <f>L121-L124*L125-L122</f>
        <v>2191.1872894169087</v>
      </c>
      <c r="M146" s="4">
        <f>M121-L124*M125-M122+M54</f>
        <v>2092.6800374053146</v>
      </c>
      <c r="O146" s="4">
        <f>O121-O124*O125-O122</f>
        <v>2413.4739452429521</v>
      </c>
      <c r="P146" s="4">
        <f>P121-O124*P125-P122+P54</f>
        <v>3802.2215606406944</v>
      </c>
      <c r="R146" s="4">
        <f>R121-R124*R125-R122</f>
        <v>3016.5429221318309</v>
      </c>
      <c r="S146" s="4">
        <f>S121-R124*S125-S122+S54</f>
        <v>673.13393967667128</v>
      </c>
      <c r="U146" s="4">
        <f>U121-U124*U125-U122</f>
        <v>2672.9284826043049</v>
      </c>
      <c r="V146" s="4">
        <f>V121-U124*V125-V122+V54</f>
        <v>1626.2436955233939</v>
      </c>
      <c r="X146" s="4">
        <f>X121-X124*X125-X122</f>
        <v>2522.1899350817448</v>
      </c>
      <c r="Y146" s="4">
        <f>Y121-X124*Y125-Y122+Y54</f>
        <v>1834.3021373837346</v>
      </c>
      <c r="Z146" s="38"/>
    </row>
    <row r="147" spans="1:29" ht="17" x14ac:dyDescent="0.2">
      <c r="A147" s="38" t="s">
        <v>177</v>
      </c>
      <c r="B147" s="33" t="s">
        <v>163</v>
      </c>
      <c r="E147" s="10" t="s">
        <v>167</v>
      </c>
      <c r="F147" s="4">
        <f>MAX((F121 - F122)*$F21-F16*F9,0)</f>
        <v>2128.25</v>
      </c>
      <c r="G147" s="4">
        <f>MAX((G121-G122+G54)*$G21-G16*G9,0)</f>
        <v>2058</v>
      </c>
      <c r="I147" s="4">
        <f>MAX((I121 - I122)*$F21-I16*I9,0)</f>
        <v>2463.5532284504188</v>
      </c>
      <c r="J147" s="4">
        <f>MAX((J121-J122+J54)*$G21-J16*J9,0)</f>
        <v>2054.6855937419159</v>
      </c>
      <c r="L147" s="4">
        <f>MAX((L121 - L122)*$F21-L16*L9,0)</f>
        <v>2134.788089416908</v>
      </c>
      <c r="M147" s="4">
        <f>MAX((M121-M122+M54)*$G21-M16*M9,0)</f>
        <v>1567.0296311710949</v>
      </c>
      <c r="O147" s="4">
        <f>MAX((O121 - O122)*$F21-O16*O9,0)</f>
        <v>2351.9509452429515</v>
      </c>
      <c r="P147" s="4">
        <f>MAX((P121-P122+P54)*$G21-P16*P9,0)</f>
        <v>2803.5643672005781</v>
      </c>
      <c r="R147" s="4">
        <f>MAX((R121 - R122)*$F21-R16*R9,0)</f>
        <v>2919.3029221318302</v>
      </c>
      <c r="S147" s="4">
        <f>MAX((S121-S122+S54)*$G21-S16*S9,0)</f>
        <v>485.31614973055918</v>
      </c>
      <c r="U147" s="4">
        <f>MAX((U121 - U122)*$F21-U16*U9,0)</f>
        <v>2597.791882604306</v>
      </c>
      <c r="V147" s="4">
        <f>MAX((V121-V122+V54)*$G21-V16*V9,0)</f>
        <v>1133.443079602828</v>
      </c>
      <c r="X147" s="4">
        <f>MAX((X121 - X122)*$F21-X16*X9,0)</f>
        <v>2428.7273350817454</v>
      </c>
      <c r="Y147" s="4">
        <f>MAX((Y121-Y122+Y54)*$G21-Y16*Y9,0)</f>
        <v>1328.1371144864454</v>
      </c>
      <c r="Z147" s="38"/>
    </row>
    <row r="148" spans="1:29" x14ac:dyDescent="0.2">
      <c r="A148" s="38" t="s">
        <v>302</v>
      </c>
      <c r="B148" s="33" t="s">
        <v>163</v>
      </c>
      <c r="F148" s="4">
        <f>I111*I7*(1+$F21)</f>
        <v>3880.5</v>
      </c>
      <c r="G148" s="4">
        <f>(J111*J7+SUMPRODUCT(G38:G41,G86:G89))*(1+$G21)</f>
        <v>287385</v>
      </c>
      <c r="I148" s="4">
        <f>L111*L7*(1+$F21)</f>
        <v>3856.32</v>
      </c>
      <c r="J148" s="4">
        <f>(M111*M7+SUMPRODUCT(J38:J41,J86:J89))*(1+$G21)</f>
        <v>287259.5625</v>
      </c>
      <c r="L148" s="4">
        <f>O111*O7*(1+$F21)</f>
        <v>3833.7000000000003</v>
      </c>
      <c r="M148" s="4">
        <f>(P111*P7+SUMPRODUCT(M38:M41,M86:M89))*(1+$G21)</f>
        <v>287156.71250000002</v>
      </c>
      <c r="O148" s="4">
        <f>R111*R7*(1+$F21)</f>
        <v>3806.4</v>
      </c>
      <c r="P148" s="4">
        <f>(S111*S7+SUMPRODUCT(P38:P41,P86:P89))*(1+$G21)</f>
        <v>286948.5</v>
      </c>
      <c r="R148" s="4">
        <f>U111*U7*(1+$F21)</f>
        <v>3767.4</v>
      </c>
      <c r="S148" s="4">
        <f>(V111*V7+SUMPRODUCT(S38:S41,S86:S89))*(1+$G21)</f>
        <v>286924.28750000003</v>
      </c>
      <c r="U148" s="4">
        <f>X111*X7*(1+$F21)</f>
        <v>3327.4969606347436</v>
      </c>
      <c r="V148" s="4">
        <f>(Y111*Y7+SUMPRODUCT(V38:V41,V86:V89))*(1+$G21)</f>
        <v>243889.44739455794</v>
      </c>
      <c r="X148" s="4">
        <f>AA111*AA7*(1+$F21)</f>
        <v>0</v>
      </c>
      <c r="Y148" s="4">
        <f>(AB111*AB7+SUMPRODUCT(Y38:Y41,Y86:Y89))*(1+$G21)</f>
        <v>129.19999999999999</v>
      </c>
      <c r="Z148" s="38"/>
    </row>
    <row r="151" spans="1:29" x14ac:dyDescent="0.2">
      <c r="A151" s="24" t="s">
        <v>267</v>
      </c>
      <c r="F151" s="4">
        <f>F146+F122</f>
        <v>2425</v>
      </c>
      <c r="G151" s="4">
        <f>G146+G122</f>
        <v>3700</v>
      </c>
      <c r="I151" s="4">
        <f>I146+I122</f>
        <v>2838.8826284504194</v>
      </c>
      <c r="J151" s="4">
        <f>J146+J122</f>
        <v>3791.9939124902994</v>
      </c>
      <c r="L151" s="4">
        <f>L146+L122</f>
        <v>2492.7872894169086</v>
      </c>
      <c r="M151" s="4">
        <f>M146+M122</f>
        <v>3013.8800374053144</v>
      </c>
      <c r="O151" s="4">
        <f>O146+O122</f>
        <v>2742.4739452429521</v>
      </c>
      <c r="P151" s="4">
        <f>P146+P122</f>
        <v>5703.0215606406946</v>
      </c>
      <c r="R151" s="4">
        <f>R146+R122</f>
        <v>3536.5429221318309</v>
      </c>
      <c r="S151" s="4">
        <f>S146+S122</f>
        <v>1067.0339396766713</v>
      </c>
      <c r="U151" s="4">
        <f>U146+U122</f>
        <v>3074.7284826043051</v>
      </c>
      <c r="V151" s="4">
        <f>V146+V122</f>
        <v>2781.2436955233939</v>
      </c>
      <c r="X151" s="4">
        <f>X146+X122</f>
        <v>3021.989935081745</v>
      </c>
      <c r="Y151" s="4">
        <f>Y146+Y122</f>
        <v>2878.3021373837346</v>
      </c>
    </row>
    <row r="153" spans="1:29" x14ac:dyDescent="0.2">
      <c r="A153" s="38" t="s">
        <v>277</v>
      </c>
      <c r="B153" s="33" t="s">
        <v>163</v>
      </c>
      <c r="F153" s="4">
        <f>F124+F133+G133+F132</f>
        <v>2000000</v>
      </c>
      <c r="I153" s="4">
        <f>I124+I133+J133</f>
        <v>2050000</v>
      </c>
      <c r="L153" s="4">
        <f>L124+L133+M133</f>
        <v>2110000.0000000005</v>
      </c>
      <c r="O153" s="4">
        <f>O124+O133+P133</f>
        <v>2210000</v>
      </c>
      <c r="R153" s="4">
        <f>R124+R133+S133</f>
        <v>1374131.5531552718</v>
      </c>
      <c r="U153" s="4">
        <f>U124+U133+V133</f>
        <v>259692.40809697201</v>
      </c>
      <c r="X153" s="4">
        <f>X124+X133+Y133</f>
        <v>91488.01273416965</v>
      </c>
      <c r="Z153" s="38"/>
    </row>
    <row r="154" spans="1:29" x14ac:dyDescent="0.2">
      <c r="F154" s="4">
        <f>F153/F33</f>
        <v>1</v>
      </c>
      <c r="I154" s="4">
        <f>I153/I33</f>
        <v>1</v>
      </c>
      <c r="L154" s="4">
        <f>L153/L33</f>
        <v>1.0000000000000002</v>
      </c>
      <c r="O154" s="4">
        <f>O153/O33</f>
        <v>1</v>
      </c>
      <c r="R154" s="4">
        <f>R153/R33</f>
        <v>0.45804385105175727</v>
      </c>
      <c r="U154" s="4">
        <f>U153/U33</f>
        <v>1.038769632387888E-2</v>
      </c>
      <c r="X154" s="4">
        <f>X153/X33</f>
        <v>3.6304766958003831E-2</v>
      </c>
    </row>
    <row r="159" spans="1:29" x14ac:dyDescent="0.2">
      <c r="AA159">
        <v>0.1225</v>
      </c>
      <c r="AB159">
        <f>SUM(AA$6:AA159)</f>
        <v>1.2475000000000001</v>
      </c>
      <c r="AC159">
        <v>20</v>
      </c>
    </row>
    <row r="160" spans="1:29" x14ac:dyDescent="0.2">
      <c r="AA160">
        <v>0.12239999999999999</v>
      </c>
      <c r="AB160">
        <f>SUM(AA$6:AA160)</f>
        <v>1.3699000000000001</v>
      </c>
      <c r="AC160">
        <v>20</v>
      </c>
    </row>
    <row r="161" spans="27:29" x14ac:dyDescent="0.2">
      <c r="AA161">
        <v>0.12230000000000001</v>
      </c>
      <c r="AB161">
        <f>SUM(AA$6:AA161)</f>
        <v>1.4922000000000002</v>
      </c>
      <c r="AC161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2026-02-08T18:40:21Z</dcterms:modified>
</cp:coreProperties>
</file>