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usuario/git/sisepuede/sisepuede/ref/validation_workbooks/"/>
    </mc:Choice>
  </mc:AlternateContent>
  <xr:revisionPtr revIDLastSave="0" documentId="13_ncr:1_{68F567B6-661C-3247-9ABD-06B026644296}" xr6:coauthVersionLast="47" xr6:coauthVersionMax="47" xr10:uidLastSave="{00000000-0000-0000-0000-000000000000}"/>
  <bookViews>
    <workbookView xWindow="2340" yWindow="500" windowWidth="34480" windowHeight="19440" activeTab="2" xr2:uid="{49B92464-5B50-C04B-B571-E5276F1DC1EA}"/>
  </bookViews>
  <sheets>
    <sheet name="Sheet1" sheetId="1" r:id="rId1"/>
    <sheet name="cl_1" sheetId="2" r:id="rId2"/>
    <sheet name="cl_2" sheetId="3" r:id="rId3"/>
    <sheet name="Sheet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6" i="3" l="1"/>
  <c r="H147" i="3"/>
  <c r="H125" i="3"/>
  <c r="H126" i="3"/>
  <c r="K52" i="3"/>
  <c r="H54" i="3"/>
  <c r="H61" i="3" s="1"/>
  <c r="H130" i="3" s="1"/>
  <c r="G130" i="3"/>
  <c r="G121" i="3"/>
  <c r="G128" i="3"/>
  <c r="G90" i="3"/>
  <c r="G89" i="3"/>
  <c r="G88" i="3"/>
  <c r="J118" i="3"/>
  <c r="G131" i="3" l="1"/>
  <c r="G136" i="3" s="1"/>
  <c r="G132" i="3"/>
  <c r="H132" i="3"/>
  <c r="Y159" i="3"/>
  <c r="G32" i="3"/>
  <c r="K46" i="3"/>
  <c r="G119" i="3"/>
  <c r="H119" i="3"/>
  <c r="G12" i="3"/>
  <c r="Y12" i="3"/>
  <c r="V12" i="3"/>
  <c r="S12" i="3"/>
  <c r="P12" i="3"/>
  <c r="M12" i="3"/>
  <c r="J12" i="3"/>
  <c r="K69" i="3"/>
  <c r="J115" i="3"/>
  <c r="H116" i="3"/>
  <c r="G8" i="3"/>
  <c r="G14" i="3"/>
  <c r="J7" i="3" s="1"/>
  <c r="J116" i="3" s="1"/>
  <c r="G116" i="3"/>
  <c r="H115" i="3"/>
  <c r="H118" i="3" s="1"/>
  <c r="N69" i="3"/>
  <c r="H56" i="3"/>
  <c r="J117" i="3" l="1"/>
  <c r="G159" i="3" s="1"/>
  <c r="K117" i="3"/>
  <c r="J8" i="3"/>
  <c r="H120" i="3"/>
  <c r="H124" i="3" s="1"/>
  <c r="G87" i="3"/>
  <c r="K51" i="3"/>
  <c r="H69" i="3"/>
  <c r="H92" i="3" s="1"/>
  <c r="H106" i="3"/>
  <c r="H105" i="3"/>
  <c r="K82" i="3" s="1"/>
  <c r="H104" i="3"/>
  <c r="H45" i="3"/>
  <c r="I45" i="3" s="1"/>
  <c r="G23" i="3"/>
  <c r="G24" i="3" s="1"/>
  <c r="H14" i="3"/>
  <c r="H10" i="3"/>
  <c r="K93" i="3"/>
  <c r="G31" i="3"/>
  <c r="J31" i="3"/>
  <c r="Z17" i="3"/>
  <c r="Y17" i="3"/>
  <c r="W17" i="3"/>
  <c r="V17" i="3"/>
  <c r="T17" i="3"/>
  <c r="S17" i="3"/>
  <c r="Q17" i="3"/>
  <c r="P17" i="3"/>
  <c r="N17" i="3"/>
  <c r="M17" i="3"/>
  <c r="K17" i="3"/>
  <c r="J17" i="3"/>
  <c r="H17" i="3"/>
  <c r="G17" i="3"/>
  <c r="H23" i="3"/>
  <c r="I47" i="3" l="1"/>
  <c r="I48" i="3"/>
  <c r="K81" i="3"/>
  <c r="J93" i="3"/>
  <c r="K7" i="3"/>
  <c r="K116" i="3" s="1"/>
  <c r="H121" i="3"/>
  <c r="N78" i="3"/>
  <c r="H103" i="3"/>
  <c r="H75" i="3"/>
  <c r="I46" i="3"/>
  <c r="G120" i="3"/>
  <c r="H28" i="3"/>
  <c r="H133" i="3" s="1"/>
  <c r="H27" i="3"/>
  <c r="H11" i="3" s="1"/>
  <c r="H12" i="3" s="1"/>
  <c r="H128" i="3" s="1"/>
  <c r="H58" i="3"/>
  <c r="H64" i="3"/>
  <c r="H97" i="3" s="1"/>
  <c r="H63" i="3"/>
  <c r="K94" i="3"/>
  <c r="H57" i="3"/>
  <c r="N47" i="3"/>
  <c r="N77" i="3" s="1"/>
  <c r="K76" i="3"/>
  <c r="N53" i="3"/>
  <c r="N66" i="3" s="1"/>
  <c r="N94" i="3"/>
  <c r="H59" i="3"/>
  <c r="K53" i="3"/>
  <c r="K83" i="3" s="1"/>
  <c r="N52" i="3"/>
  <c r="N65" i="3" s="1"/>
  <c r="H65" i="3"/>
  <c r="H98" i="3" s="1"/>
  <c r="H66" i="3"/>
  <c r="H99" i="3" s="1"/>
  <c r="Q53" i="3"/>
  <c r="Q66" i="3" s="1"/>
  <c r="I44" i="3"/>
  <c r="L44" i="3"/>
  <c r="H31" i="3"/>
  <c r="G115" i="3"/>
  <c r="G118" i="3" s="1"/>
  <c r="AF10" i="3"/>
  <c r="Z115" i="3"/>
  <c r="Y115" i="3"/>
  <c r="W115" i="3"/>
  <c r="V115" i="3"/>
  <c r="T115" i="3"/>
  <c r="S115" i="3"/>
  <c r="Q115" i="3"/>
  <c r="P115" i="3"/>
  <c r="N115" i="3"/>
  <c r="M115" i="3"/>
  <c r="K115" i="3"/>
  <c r="Q95" i="3"/>
  <c r="N95" i="3"/>
  <c r="Z72" i="3"/>
  <c r="Z95" i="3" s="1"/>
  <c r="Z71" i="3"/>
  <c r="Z94" i="3" s="1"/>
  <c r="Z70" i="3"/>
  <c r="Z93" i="3" s="1"/>
  <c r="Z69" i="3"/>
  <c r="W69" i="3"/>
  <c r="X44" i="3"/>
  <c r="K95" i="3"/>
  <c r="H94" i="3"/>
  <c r="H93" i="3"/>
  <c r="H95" i="3"/>
  <c r="J95" i="3"/>
  <c r="Q48" i="3"/>
  <c r="U44" i="3"/>
  <c r="R44" i="3"/>
  <c r="O44" i="3"/>
  <c r="Q71" i="3"/>
  <c r="Q94" i="3" s="1"/>
  <c r="N70" i="3"/>
  <c r="N93" i="3" s="1"/>
  <c r="T69" i="3"/>
  <c r="Q69" i="3"/>
  <c r="H8" i="3"/>
  <c r="K8" i="3" s="1"/>
  <c r="K10" i="3" l="1"/>
  <c r="K14" i="3"/>
  <c r="K27" i="3" s="1"/>
  <c r="H127" i="3"/>
  <c r="G129" i="3"/>
  <c r="G158" i="3" s="1"/>
  <c r="K11" i="3"/>
  <c r="G147" i="3"/>
  <c r="G124" i="3"/>
  <c r="G126" i="3" s="1"/>
  <c r="J92" i="3"/>
  <c r="K92" i="3" s="1"/>
  <c r="G127" i="3"/>
  <c r="K66" i="3"/>
  <c r="G28" i="3"/>
  <c r="K118" i="3"/>
  <c r="H159" i="3" s="1"/>
  <c r="H60" i="3"/>
  <c r="H67" i="3"/>
  <c r="H100" i="3" s="1"/>
  <c r="H101" i="3" s="1"/>
  <c r="Q78" i="3"/>
  <c r="K64" i="3"/>
  <c r="H110" i="3"/>
  <c r="J94" i="3"/>
  <c r="K65" i="3"/>
  <c r="H111" i="3"/>
  <c r="H109" i="3"/>
  <c r="H24" i="3"/>
  <c r="H146" i="3" s="1"/>
  <c r="H149" i="3" s="1"/>
  <c r="K12" i="3" l="1"/>
  <c r="J45" i="3"/>
  <c r="K45" i="3" s="1"/>
  <c r="G133" i="3"/>
  <c r="G149" i="3" s="1"/>
  <c r="H129" i="3"/>
  <c r="J14" i="3"/>
  <c r="M7" i="3" s="1"/>
  <c r="H108" i="3"/>
  <c r="N8" i="3"/>
  <c r="J28" i="3" l="1"/>
  <c r="G150" i="3"/>
  <c r="H158" i="3"/>
  <c r="M14" i="3"/>
  <c r="P7" i="3" s="1"/>
  <c r="P116" i="3" s="1"/>
  <c r="M116" i="3"/>
  <c r="K28" i="3"/>
  <c r="N7" i="3"/>
  <c r="Q8" i="3"/>
  <c r="H150" i="3" l="1"/>
  <c r="H151" i="3" s="1"/>
  <c r="G151" i="3"/>
  <c r="G137" i="3"/>
  <c r="G157" i="3"/>
  <c r="H157" i="3"/>
  <c r="J47" i="3"/>
  <c r="K58" i="3" s="1"/>
  <c r="J48" i="3"/>
  <c r="K59" i="3" s="1"/>
  <c r="J46" i="3"/>
  <c r="K57" i="3" s="1"/>
  <c r="M28" i="3"/>
  <c r="P14" i="3"/>
  <c r="N116" i="3"/>
  <c r="N14" i="3"/>
  <c r="N28" i="3" s="1"/>
  <c r="N10" i="3"/>
  <c r="T8" i="3"/>
  <c r="W70" i="3"/>
  <c r="W93" i="3" s="1"/>
  <c r="W71" i="3"/>
  <c r="W94" i="3" s="1"/>
  <c r="T70" i="3"/>
  <c r="T93" i="3" s="1"/>
  <c r="T72" i="3"/>
  <c r="T95" i="3" s="1"/>
  <c r="W72" i="3"/>
  <c r="W95" i="3" s="1"/>
  <c r="T71" i="3"/>
  <c r="T94" i="3" s="1"/>
  <c r="Q70" i="3"/>
  <c r="Q93" i="3" s="1"/>
  <c r="AF15" i="3"/>
  <c r="AF18" i="3"/>
  <c r="AF19" i="3"/>
  <c r="AF20" i="3"/>
  <c r="AF21" i="3"/>
  <c r="AF23" i="3"/>
  <c r="AF24" i="3"/>
  <c r="AF25" i="3"/>
  <c r="AF26" i="3"/>
  <c r="AF27" i="3"/>
  <c r="AF28" i="3"/>
  <c r="AF29" i="3"/>
  <c r="AF13" i="3"/>
  <c r="AF9" i="3"/>
  <c r="AF11" i="3"/>
  <c r="AF8" i="3"/>
  <c r="AF7" i="3"/>
  <c r="AF6" i="3"/>
  <c r="W4" i="2"/>
  <c r="W7" i="2"/>
  <c r="U8" i="2"/>
  <c r="Q6" i="2"/>
  <c r="P6" i="2"/>
  <c r="R6" i="2"/>
  <c r="X4" i="2"/>
  <c r="X3" i="2"/>
  <c r="Y3" i="2"/>
  <c r="Y4" i="2"/>
  <c r="AI5" i="2"/>
  <c r="W5" i="2"/>
  <c r="R4" i="2"/>
  <c r="Z4" i="2" s="1"/>
  <c r="W3" i="2"/>
  <c r="U3" i="2"/>
  <c r="R3" i="2"/>
  <c r="L3" i="2"/>
  <c r="L4" i="2"/>
  <c r="L5" i="2" s="1"/>
  <c r="L6" i="2" s="1"/>
  <c r="L7" i="2" s="1"/>
  <c r="L8" i="2" s="1"/>
  <c r="L9" i="2" s="1"/>
  <c r="L10" i="2" s="1"/>
  <c r="L11" i="2" s="1"/>
  <c r="L12" i="2" s="1"/>
  <c r="L13" i="2" s="1"/>
  <c r="L14" i="2" s="1"/>
  <c r="L15" i="2" s="1"/>
  <c r="L16" i="2" s="1"/>
  <c r="L17" i="2" s="1"/>
  <c r="L18" i="2" s="1"/>
  <c r="L19" i="2" s="1"/>
  <c r="L20" i="2" s="1"/>
  <c r="L21" i="2" s="1"/>
  <c r="L22" i="2" s="1"/>
  <c r="L23" i="2" s="1"/>
  <c r="L24" i="2" s="1"/>
  <c r="L25" i="2" s="1"/>
  <c r="L26" i="2" s="1"/>
  <c r="L27" i="2" s="1"/>
  <c r="L28" i="2" s="1"/>
  <c r="L29" i="2" s="1"/>
  <c r="L30" i="2" s="1"/>
  <c r="M3" i="2"/>
  <c r="M4" i="2"/>
  <c r="AX4" i="2"/>
  <c r="AX5" i="2"/>
  <c r="AX6" i="2"/>
  <c r="AX7" i="2"/>
  <c r="AX8" i="2"/>
  <c r="AX9" i="2"/>
  <c r="AX10" i="2"/>
  <c r="AX11" i="2"/>
  <c r="AX12" i="2"/>
  <c r="AX13" i="2"/>
  <c r="AX14" i="2"/>
  <c r="AX15" i="2"/>
  <c r="AX16" i="2"/>
  <c r="AX17" i="2"/>
  <c r="AX18" i="2"/>
  <c r="AX19" i="2"/>
  <c r="AX20" i="2"/>
  <c r="AX21" i="2"/>
  <c r="AX22" i="2"/>
  <c r="AX23" i="2"/>
  <c r="AX24" i="2"/>
  <c r="AX25" i="2"/>
  <c r="AX26" i="2"/>
  <c r="AX27" i="2"/>
  <c r="AX28" i="2"/>
  <c r="AX29" i="2"/>
  <c r="AX30" i="2"/>
  <c r="AX3" i="2"/>
  <c r="V4" i="2"/>
  <c r="V5" i="2"/>
  <c r="V6" i="2"/>
  <c r="V7" i="2"/>
  <c r="V8" i="2"/>
  <c r="V9" i="2"/>
  <c r="V10" i="2"/>
  <c r="V11" i="2"/>
  <c r="V12" i="2"/>
  <c r="V13" i="2"/>
  <c r="V14" i="2"/>
  <c r="V15" i="2"/>
  <c r="V16" i="2"/>
  <c r="V17" i="2"/>
  <c r="V18" i="2"/>
  <c r="V19" i="2"/>
  <c r="V20" i="2"/>
  <c r="V21" i="2"/>
  <c r="V22" i="2"/>
  <c r="V23" i="2"/>
  <c r="V3" i="2"/>
  <c r="AQ21" i="2"/>
  <c r="AJ23" i="2" s="1"/>
  <c r="AQ22" i="2"/>
  <c r="AI24" i="2" s="1"/>
  <c r="AQ23" i="2"/>
  <c r="AL25" i="2" s="1"/>
  <c r="AQ24" i="2"/>
  <c r="AI26" i="2" s="1"/>
  <c r="AQ25" i="2"/>
  <c r="AN27" i="2" s="1"/>
  <c r="AQ26" i="2"/>
  <c r="AI28" i="2" s="1"/>
  <c r="AQ27" i="2"/>
  <c r="AI29" i="2" s="1"/>
  <c r="AQ28" i="2"/>
  <c r="AJ30" i="2" s="1"/>
  <c r="AQ29" i="2"/>
  <c r="AQ30" i="2"/>
  <c r="AQ31" i="2"/>
  <c r="AQ20" i="2"/>
  <c r="AI22" i="2" s="1"/>
  <c r="AQ3" i="2"/>
  <c r="AN5" i="2" s="1"/>
  <c r="AQ4" i="2"/>
  <c r="AN6" i="2" s="1"/>
  <c r="AQ5" i="2"/>
  <c r="AI7" i="2" s="1"/>
  <c r="AQ6" i="2"/>
  <c r="AI8" i="2" s="1"/>
  <c r="AQ7" i="2"/>
  <c r="AJ9" i="2" s="1"/>
  <c r="AQ8" i="2"/>
  <c r="AI10" i="2" s="1"/>
  <c r="AQ9" i="2"/>
  <c r="AL11" i="2" s="1"/>
  <c r="AQ10" i="2"/>
  <c r="AI12" i="2" s="1"/>
  <c r="AQ11" i="2"/>
  <c r="AN13" i="2" s="1"/>
  <c r="AQ12" i="2"/>
  <c r="AI14" i="2" s="1"/>
  <c r="AQ13" i="2"/>
  <c r="AI15" i="2" s="1"/>
  <c r="AQ14" i="2"/>
  <c r="AJ16" i="2" s="1"/>
  <c r="AQ15" i="2"/>
  <c r="AI17" i="2" s="1"/>
  <c r="AQ16" i="2"/>
  <c r="AL18" i="2" s="1"/>
  <c r="AQ17" i="2"/>
  <c r="AI19" i="2" s="1"/>
  <c r="AQ18" i="2"/>
  <c r="AN20" i="2" s="1"/>
  <c r="AQ19" i="2"/>
  <c r="AI21" i="2" s="1"/>
  <c r="AQ2" i="2"/>
  <c r="AJ3" i="2" s="1"/>
  <c r="B20" i="1"/>
  <c r="B18" i="1"/>
  <c r="B17" i="1"/>
  <c r="G138" i="3" l="1"/>
  <c r="G139" i="3" s="1"/>
  <c r="K75" i="3"/>
  <c r="K50" i="3"/>
  <c r="K80" i="3" s="1"/>
  <c r="K84" i="3" s="1"/>
  <c r="S7" i="3"/>
  <c r="P28" i="3"/>
  <c r="N27" i="3"/>
  <c r="N11" i="3" s="1"/>
  <c r="N12" i="3" s="1"/>
  <c r="G162" i="3"/>
  <c r="Q7" i="3"/>
  <c r="Q116" i="3" s="1"/>
  <c r="Q14" i="3"/>
  <c r="Q28" i="3" s="1"/>
  <c r="W8" i="3"/>
  <c r="M5" i="2"/>
  <c r="M6" i="2" s="1"/>
  <c r="M7" i="2" s="1"/>
  <c r="M8" i="2" s="1"/>
  <c r="M9" i="2" s="1"/>
  <c r="M10" i="2" s="1"/>
  <c r="M11" i="2" s="1"/>
  <c r="M12" i="2" s="1"/>
  <c r="M13" i="2" s="1"/>
  <c r="M14" i="2" s="1"/>
  <c r="M15" i="2" s="1"/>
  <c r="M16" i="2" s="1"/>
  <c r="M17" i="2" s="1"/>
  <c r="M18" i="2" s="1"/>
  <c r="M19" i="2" s="1"/>
  <c r="M20" i="2" s="1"/>
  <c r="M21" i="2" s="1"/>
  <c r="M22" i="2" s="1"/>
  <c r="M23" i="2" s="1"/>
  <c r="M24" i="2" s="1"/>
  <c r="M25" i="2" s="1"/>
  <c r="M26" i="2" s="1"/>
  <c r="M27" i="2" s="1"/>
  <c r="M28" i="2" s="1"/>
  <c r="M29" i="2" s="1"/>
  <c r="M30" i="2" s="1"/>
  <c r="S30" i="2" s="1"/>
  <c r="AI30" i="2"/>
  <c r="AM27" i="2"/>
  <c r="AK25" i="2"/>
  <c r="AI23" i="2"/>
  <c r="AM20" i="2"/>
  <c r="AK18" i="2"/>
  <c r="AI16" i="2"/>
  <c r="AM13" i="2"/>
  <c r="AK11" i="2"/>
  <c r="AI9" i="2"/>
  <c r="AM6" i="2"/>
  <c r="AN29" i="2"/>
  <c r="AL27" i="2"/>
  <c r="AJ25" i="2"/>
  <c r="AN22" i="2"/>
  <c r="AL20" i="2"/>
  <c r="AJ18" i="2"/>
  <c r="AN15" i="2"/>
  <c r="AL13" i="2"/>
  <c r="AJ11" i="2"/>
  <c r="AN8" i="2"/>
  <c r="AL6" i="2"/>
  <c r="S28" i="2"/>
  <c r="AM29" i="2"/>
  <c r="AK27" i="2"/>
  <c r="AI25" i="2"/>
  <c r="AM22" i="2"/>
  <c r="AK20" i="2"/>
  <c r="AI18" i="2"/>
  <c r="AM15" i="2"/>
  <c r="AK13" i="2"/>
  <c r="AI11" i="2"/>
  <c r="AM8" i="2"/>
  <c r="AK6" i="2"/>
  <c r="AL29" i="2"/>
  <c r="AJ27" i="2"/>
  <c r="AN24" i="2"/>
  <c r="AL22" i="2"/>
  <c r="AJ20" i="2"/>
  <c r="AN17" i="2"/>
  <c r="AL15" i="2"/>
  <c r="AJ13" i="2"/>
  <c r="AN10" i="2"/>
  <c r="AL8" i="2"/>
  <c r="AJ6" i="2"/>
  <c r="AI4" i="2"/>
  <c r="AK29" i="2"/>
  <c r="AI27" i="2"/>
  <c r="AM24" i="2"/>
  <c r="AK22" i="2"/>
  <c r="AI20" i="2"/>
  <c r="AM17" i="2"/>
  <c r="AK15" i="2"/>
  <c r="AI13" i="2"/>
  <c r="AM10" i="2"/>
  <c r="AK8" i="2"/>
  <c r="AI6" i="2"/>
  <c r="AM4" i="2"/>
  <c r="AJ29" i="2"/>
  <c r="AN26" i="2"/>
  <c r="AL24" i="2"/>
  <c r="AJ22" i="2"/>
  <c r="AN19" i="2"/>
  <c r="AL17" i="2"/>
  <c r="AJ15" i="2"/>
  <c r="AN12" i="2"/>
  <c r="AL10" i="2"/>
  <c r="AJ8" i="2"/>
  <c r="AM5" i="2"/>
  <c r="B19" i="1"/>
  <c r="AL4" i="2"/>
  <c r="AM26" i="2"/>
  <c r="AK24" i="2"/>
  <c r="AM19" i="2"/>
  <c r="AK17" i="2"/>
  <c r="AM12" i="2"/>
  <c r="AK10" i="2"/>
  <c r="AL5" i="2"/>
  <c r="AK4" i="2"/>
  <c r="AN28" i="2"/>
  <c r="AL26" i="2"/>
  <c r="AJ24" i="2"/>
  <c r="AN21" i="2"/>
  <c r="AL19" i="2"/>
  <c r="AJ17" i="2"/>
  <c r="AN14" i="2"/>
  <c r="AL12" i="2"/>
  <c r="AJ10" i="2"/>
  <c r="AN7" i="2"/>
  <c r="AK5" i="2"/>
  <c r="AJ4" i="2"/>
  <c r="AM28" i="2"/>
  <c r="AK26" i="2"/>
  <c r="AM21" i="2"/>
  <c r="AK19" i="2"/>
  <c r="AM14" i="2"/>
  <c r="AK12" i="2"/>
  <c r="AM7" i="2"/>
  <c r="AJ5" i="2"/>
  <c r="AN30" i="2"/>
  <c r="AL28" i="2"/>
  <c r="AJ26" i="2"/>
  <c r="AN23" i="2"/>
  <c r="AL21" i="2"/>
  <c r="AJ19" i="2"/>
  <c r="AN16" i="2"/>
  <c r="AL14" i="2"/>
  <c r="AJ12" i="2"/>
  <c r="AN9" i="2"/>
  <c r="AL7" i="2"/>
  <c r="S20" i="2"/>
  <c r="AM30" i="2"/>
  <c r="AK28" i="2"/>
  <c r="AM23" i="2"/>
  <c r="AK21" i="2"/>
  <c r="AM16" i="2"/>
  <c r="AK14" i="2"/>
  <c r="AM9" i="2"/>
  <c r="AK7" i="2"/>
  <c r="AN4" i="2"/>
  <c r="S5" i="2"/>
  <c r="AL30" i="2"/>
  <c r="AJ28" i="2"/>
  <c r="AN25" i="2"/>
  <c r="AL23" i="2"/>
  <c r="AJ21" i="2"/>
  <c r="AN18" i="2"/>
  <c r="AL16" i="2"/>
  <c r="AJ14" i="2"/>
  <c r="AN11" i="2"/>
  <c r="AL9" i="2"/>
  <c r="AJ7" i="2"/>
  <c r="S3" i="2"/>
  <c r="S18" i="2"/>
  <c r="AK30" i="2"/>
  <c r="AM25" i="2"/>
  <c r="AK23" i="2"/>
  <c r="AM18" i="2"/>
  <c r="AK16" i="2"/>
  <c r="AM11" i="2"/>
  <c r="AK9" i="2"/>
  <c r="S4" i="2"/>
  <c r="V24" i="2"/>
  <c r="AI3" i="2"/>
  <c r="AN3" i="2"/>
  <c r="AM3" i="2"/>
  <c r="AL3" i="2"/>
  <c r="AK3" i="2"/>
  <c r="G140" i="3" l="1"/>
  <c r="Q10" i="3"/>
  <c r="J87" i="3"/>
  <c r="J88" i="3"/>
  <c r="K63" i="3"/>
  <c r="K67" i="3" s="1"/>
  <c r="K54" i="3"/>
  <c r="S14" i="3"/>
  <c r="S116" i="3"/>
  <c r="K56" i="3"/>
  <c r="K60" i="3" s="1"/>
  <c r="L46" i="3"/>
  <c r="L47" i="3"/>
  <c r="Q27" i="3"/>
  <c r="T7" i="3"/>
  <c r="T14" i="3" s="1"/>
  <c r="T28" i="3" s="1"/>
  <c r="Z8" i="3"/>
  <c r="L45" i="3"/>
  <c r="M8" i="3"/>
  <c r="S19" i="2"/>
  <c r="S10" i="2"/>
  <c r="S13" i="2"/>
  <c r="S24" i="2"/>
  <c r="S11" i="2"/>
  <c r="S12" i="2"/>
  <c r="S27" i="2"/>
  <c r="S25" i="2"/>
  <c r="S17" i="2"/>
  <c r="S23" i="2"/>
  <c r="S26" i="2"/>
  <c r="S8" i="2"/>
  <c r="S9" i="2"/>
  <c r="S22" i="2"/>
  <c r="S6" i="2"/>
  <c r="S7" i="2"/>
  <c r="S16" i="2"/>
  <c r="S21" i="2"/>
  <c r="S15" i="2"/>
  <c r="S14" i="2"/>
  <c r="S29" i="2"/>
  <c r="O3" i="2"/>
  <c r="P3" i="2" s="1"/>
  <c r="R5" i="2"/>
  <c r="V25" i="2"/>
  <c r="V27" i="2"/>
  <c r="V30" i="2"/>
  <c r="V29" i="2"/>
  <c r="V28" i="2"/>
  <c r="V26" i="2"/>
  <c r="G143" i="3" l="1"/>
  <c r="H143" i="3"/>
  <c r="G156" i="3"/>
  <c r="K61" i="3"/>
  <c r="J90" i="3"/>
  <c r="V7" i="3"/>
  <c r="S28" i="3"/>
  <c r="J89" i="3"/>
  <c r="M46" i="3"/>
  <c r="N46" i="3" s="1"/>
  <c r="N76" i="3" s="1"/>
  <c r="T116" i="3"/>
  <c r="H162" i="3"/>
  <c r="T10" i="3"/>
  <c r="M45" i="3"/>
  <c r="N45" i="3" s="1"/>
  <c r="T27" i="3"/>
  <c r="W7" i="3"/>
  <c r="Z7" i="3" s="1"/>
  <c r="Z14" i="3" s="1"/>
  <c r="Z28" i="3" s="1"/>
  <c r="Q11" i="3"/>
  <c r="Q12" i="3" s="1"/>
  <c r="L48" i="3"/>
  <c r="P8" i="3"/>
  <c r="Q3" i="2"/>
  <c r="AA4" i="2" s="1"/>
  <c r="V14" i="3" l="1"/>
  <c r="V28" i="3" s="1"/>
  <c r="V116" i="3"/>
  <c r="W10" i="3"/>
  <c r="W116" i="3"/>
  <c r="W14" i="3"/>
  <c r="W28" i="3" s="1"/>
  <c r="Z27" i="3"/>
  <c r="T11" i="3"/>
  <c r="T12" i="3" s="1"/>
  <c r="Z10" i="3"/>
  <c r="Z116" i="3"/>
  <c r="M47" i="3"/>
  <c r="N58" i="3" s="1"/>
  <c r="M48" i="3"/>
  <c r="N59" i="3" s="1"/>
  <c r="S8" i="3"/>
  <c r="F4" i="2"/>
  <c r="R7" i="2"/>
  <c r="G4" i="2"/>
  <c r="K4" i="2"/>
  <c r="J4" i="2"/>
  <c r="Z11" i="3" l="1"/>
  <c r="Z12" i="3" s="1"/>
  <c r="O45" i="3"/>
  <c r="P45" i="3" s="1"/>
  <c r="Q45" i="3" s="1"/>
  <c r="R45" i="3" s="1"/>
  <c r="S45" i="3" s="1"/>
  <c r="T45" i="3" s="1"/>
  <c r="N75" i="3"/>
  <c r="W27" i="3"/>
  <c r="W11" i="3" s="1"/>
  <c r="W12" i="3" s="1"/>
  <c r="O46" i="3"/>
  <c r="P46" i="3" s="1"/>
  <c r="Q46" i="3" s="1"/>
  <c r="Q76" i="3" s="1"/>
  <c r="V8" i="3"/>
  <c r="Y7" i="3"/>
  <c r="Y116" i="3" s="1"/>
  <c r="U4" i="2"/>
  <c r="R8" i="2"/>
  <c r="Q75" i="3" l="1"/>
  <c r="T75" i="3" s="1"/>
  <c r="O47" i="3"/>
  <c r="P47" i="3" s="1"/>
  <c r="Q47" i="3" s="1"/>
  <c r="Q77" i="3" s="1"/>
  <c r="O48" i="3"/>
  <c r="P48" i="3" s="1"/>
  <c r="Q59" i="3" s="1"/>
  <c r="R46" i="3"/>
  <c r="S46" i="3" s="1"/>
  <c r="T46" i="3" s="1"/>
  <c r="T76" i="3" s="1"/>
  <c r="Y8" i="3"/>
  <c r="Y14" i="3"/>
  <c r="U45" i="3"/>
  <c r="V45" i="3" s="1"/>
  <c r="W45" i="3" s="1"/>
  <c r="O4" i="2"/>
  <c r="P4" i="2" s="1"/>
  <c r="X5" i="2" s="1"/>
  <c r="Z5" i="2" s="1"/>
  <c r="J5" i="2" s="1"/>
  <c r="R9" i="2"/>
  <c r="W75" i="3" l="1"/>
  <c r="R48" i="3"/>
  <c r="R47" i="3"/>
  <c r="S47" i="3" s="1"/>
  <c r="T47" i="3" s="1"/>
  <c r="T77" i="3" s="1"/>
  <c r="Y28" i="3"/>
  <c r="U46" i="3"/>
  <c r="V46" i="3" s="1"/>
  <c r="W46" i="3" s="1"/>
  <c r="W76" i="3" s="1"/>
  <c r="X45" i="3"/>
  <c r="Y45" i="3" s="1"/>
  <c r="Z45" i="3" s="1"/>
  <c r="Q4" i="2"/>
  <c r="Y5" i="2" s="1"/>
  <c r="AA5" i="2" s="1"/>
  <c r="F5" i="2"/>
  <c r="R10" i="2"/>
  <c r="Z75" i="3" l="1"/>
  <c r="S48" i="3"/>
  <c r="T48" i="3" s="1"/>
  <c r="T78" i="3" s="1"/>
  <c r="U47" i="3"/>
  <c r="V47" i="3" s="1"/>
  <c r="W47" i="3" s="1"/>
  <c r="W77" i="3" s="1"/>
  <c r="X46" i="3"/>
  <c r="Y46" i="3" s="1"/>
  <c r="Z46" i="3" s="1"/>
  <c r="Z76" i="3" s="1"/>
  <c r="R11" i="2"/>
  <c r="G5" i="2"/>
  <c r="U5" i="2" s="1"/>
  <c r="O5" i="2" s="1"/>
  <c r="Q5" i="2" s="1"/>
  <c r="K5" i="2"/>
  <c r="U48" i="3" l="1"/>
  <c r="V48" i="3"/>
  <c r="W48" i="3" s="1"/>
  <c r="W78" i="3" s="1"/>
  <c r="X47" i="3"/>
  <c r="Y47" i="3" s="1"/>
  <c r="Z47" i="3" s="1"/>
  <c r="Z77" i="3" s="1"/>
  <c r="Y6" i="2"/>
  <c r="AA6" i="2" s="1"/>
  <c r="K6" i="2" s="1"/>
  <c r="R12" i="2"/>
  <c r="P5" i="2"/>
  <c r="X6" i="2" s="1"/>
  <c r="Z6" i="2" s="1"/>
  <c r="J6" i="2" s="1"/>
  <c r="X48" i="3" l="1"/>
  <c r="Y48" i="3" s="1"/>
  <c r="Z48" i="3" s="1"/>
  <c r="Z78" i="3" s="1"/>
  <c r="G6" i="2"/>
  <c r="R13" i="2"/>
  <c r="F6" i="2"/>
  <c r="U6" i="2" s="1"/>
  <c r="W6" i="2" s="1"/>
  <c r="O6" i="2" s="1"/>
  <c r="R14" i="2" l="1"/>
  <c r="Y7" i="2"/>
  <c r="AA7" i="2" s="1"/>
  <c r="X7" i="2" l="1"/>
  <c r="Z7" i="2" s="1"/>
  <c r="R15" i="2"/>
  <c r="G7" i="2"/>
  <c r="K7" i="2"/>
  <c r="J7" i="2" l="1"/>
  <c r="F7" i="2"/>
  <c r="U7" i="2" s="1"/>
  <c r="O7" i="2" s="1"/>
  <c r="R16" i="2"/>
  <c r="P7" i="2" l="1"/>
  <c r="X8" i="2" s="1"/>
  <c r="Z8" i="2" s="1"/>
  <c r="Q7" i="2"/>
  <c r="Y8" i="2" s="1"/>
  <c r="AA8" i="2" s="1"/>
  <c r="G8" i="2" s="1"/>
  <c r="J8" i="2"/>
  <c r="R17" i="2"/>
  <c r="F8" i="2"/>
  <c r="K8" i="2" l="1"/>
  <c r="W8" i="2"/>
  <c r="R18" i="2"/>
  <c r="O8" i="2" l="1"/>
  <c r="Q8" i="2" s="1"/>
  <c r="Y9" i="2" s="1"/>
  <c r="AA9" i="2" s="1"/>
  <c r="R19" i="2"/>
  <c r="G9" i="2" l="1"/>
  <c r="K9" i="2"/>
  <c r="P8" i="2"/>
  <c r="X9" i="2" s="1"/>
  <c r="Z9" i="2" s="1"/>
  <c r="J9" i="2" s="1"/>
  <c r="F9" i="2"/>
  <c r="U9" i="2" s="1"/>
  <c r="W9" i="2" s="1"/>
  <c r="O9" i="2" s="1"/>
  <c r="P9" i="2" s="1"/>
  <c r="X10" i="2" s="1"/>
  <c r="Z10" i="2" s="1"/>
  <c r="J10" i="2" s="1"/>
  <c r="R20" i="2"/>
  <c r="Q9" i="2" l="1"/>
  <c r="Y10" i="2" s="1"/>
  <c r="AA10" i="2" s="1"/>
  <c r="G10" i="2" s="1"/>
  <c r="R21" i="2"/>
  <c r="F10" i="2"/>
  <c r="U10" i="2" l="1"/>
  <c r="W10" i="2" s="1"/>
  <c r="O10" i="2" s="1"/>
  <c r="Q10" i="2" s="1"/>
  <c r="K10" i="2"/>
  <c r="R22" i="2"/>
  <c r="Y11" i="2" l="1"/>
  <c r="P10" i="2"/>
  <c r="X11" i="2" s="1"/>
  <c r="Z11" i="2" s="1"/>
  <c r="J11" i="2" s="1"/>
  <c r="R23" i="2"/>
  <c r="AA11" i="2" l="1"/>
  <c r="G11" i="2" s="1"/>
  <c r="F11" i="2"/>
  <c r="U11" i="2" s="1"/>
  <c r="W11" i="2" s="1"/>
  <c r="O11" i="2" s="1"/>
  <c r="P11" i="2" s="1"/>
  <c r="X12" i="2" s="1"/>
  <c r="Z12" i="2" s="1"/>
  <c r="J12" i="2" s="1"/>
  <c r="R24" i="2"/>
  <c r="K11" i="2" l="1"/>
  <c r="Q11" i="2"/>
  <c r="R25" i="2"/>
  <c r="F12" i="2"/>
  <c r="Y12" i="2" l="1"/>
  <c r="AA12" i="2" s="1"/>
  <c r="R26" i="2"/>
  <c r="G12" i="2" l="1"/>
  <c r="U12" i="2" s="1"/>
  <c r="W12" i="2" s="1"/>
  <c r="O12" i="2" s="1"/>
  <c r="Q12" i="2" s="1"/>
  <c r="K12" i="2"/>
  <c r="R27" i="2"/>
  <c r="Y13" i="2" l="1"/>
  <c r="AA13" i="2" s="1"/>
  <c r="G13" i="2" s="1"/>
  <c r="P12" i="2"/>
  <c r="X13" i="2" s="1"/>
  <c r="Z13" i="2" s="1"/>
  <c r="J13" i="2" s="1"/>
  <c r="R28" i="2"/>
  <c r="K13" i="2" l="1"/>
  <c r="F13" i="2"/>
  <c r="U13" i="2" s="1"/>
  <c r="W13" i="2" s="1"/>
  <c r="O13" i="2" s="1"/>
  <c r="Q13" i="2" s="1"/>
  <c r="Y14" i="2" s="1"/>
  <c r="AA14" i="2" s="1"/>
  <c r="G14" i="2" s="1"/>
  <c r="R30" i="2"/>
  <c r="R29" i="2"/>
  <c r="K14" i="2" l="1"/>
  <c r="P13" i="2"/>
  <c r="X14" i="2" s="1"/>
  <c r="Z14" i="2" s="1"/>
  <c r="J14" i="2" s="1"/>
  <c r="F14" i="2" l="1"/>
  <c r="U14" i="2" s="1"/>
  <c r="W14" i="2" s="1"/>
  <c r="O14" i="2" s="1"/>
  <c r="P14" i="2" s="1"/>
  <c r="X15" i="2" s="1"/>
  <c r="Z15" i="2" s="1"/>
  <c r="J15" i="2" s="1"/>
  <c r="F15" i="2" l="1"/>
  <c r="Q14" i="2"/>
  <c r="Y15" i="2" s="1"/>
  <c r="AA15" i="2" s="1"/>
  <c r="G15" i="2" s="1"/>
  <c r="U15" i="2" s="1"/>
  <c r="W15" i="2" s="1"/>
  <c r="O15" i="2" s="1"/>
  <c r="Q15" i="2" s="1"/>
  <c r="K15" i="2" l="1"/>
  <c r="Y16" i="2" s="1"/>
  <c r="AA16" i="2" s="1"/>
  <c r="G16" i="2" s="1"/>
  <c r="P15" i="2"/>
  <c r="X16" i="2" s="1"/>
  <c r="Z16" i="2" s="1"/>
  <c r="J16" i="2" s="1"/>
  <c r="K16" i="2" l="1"/>
  <c r="F16" i="2"/>
  <c r="U16" i="2" s="1"/>
  <c r="W16" i="2" s="1"/>
  <c r="O16" i="2" s="1"/>
  <c r="P16" i="2" s="1"/>
  <c r="X17" i="2" s="1"/>
  <c r="Z17" i="2" s="1"/>
  <c r="J17" i="2" s="1"/>
  <c r="Q16" i="2" l="1"/>
  <c r="Y17" i="2" s="1"/>
  <c r="AA17" i="2" s="1"/>
  <c r="K17" i="2" s="1"/>
  <c r="F17" i="2"/>
  <c r="G17" i="2" l="1"/>
  <c r="U17" i="2" s="1"/>
  <c r="W17" i="2" s="1"/>
  <c r="O17" i="2" s="1"/>
  <c r="P17" i="2" s="1"/>
  <c r="X18" i="2" s="1"/>
  <c r="Z18" i="2" s="1"/>
  <c r="J18" i="2" s="1"/>
  <c r="Q17" i="2" l="1"/>
  <c r="Y18" i="2" s="1"/>
  <c r="AA18" i="2" s="1"/>
  <c r="G18" i="2" s="1"/>
  <c r="F18" i="2"/>
  <c r="K18" i="2" l="1"/>
  <c r="U18" i="2"/>
  <c r="W18" i="2" s="1"/>
  <c r="O18" i="2" s="1"/>
  <c r="Q18" i="2" s="1"/>
  <c r="Y19" i="2" l="1"/>
  <c r="AA19" i="2" s="1"/>
  <c r="G19" i="2" s="1"/>
  <c r="P18" i="2"/>
  <c r="X19" i="2" s="1"/>
  <c r="Z19" i="2" s="1"/>
  <c r="J19" i="2" s="1"/>
  <c r="K19" i="2" l="1"/>
  <c r="F19" i="2"/>
  <c r="U19" i="2" s="1"/>
  <c r="W19" i="2" s="1"/>
  <c r="O19" i="2" s="1"/>
  <c r="P19" i="2" s="1"/>
  <c r="X20" i="2" s="1"/>
  <c r="Z20" i="2" s="1"/>
  <c r="Q19" i="2" l="1"/>
  <c r="Y20" i="2" s="1"/>
  <c r="AA20" i="2" s="1"/>
  <c r="G20" i="2" s="1"/>
  <c r="J20" i="2"/>
  <c r="F20" i="2"/>
  <c r="K20" i="2" l="1"/>
  <c r="U20" i="2"/>
  <c r="W20" i="2" s="1"/>
  <c r="O20" i="2" l="1"/>
  <c r="P20" i="2" s="1"/>
  <c r="X21" i="2" s="1"/>
  <c r="Z21" i="2" s="1"/>
  <c r="J21" i="2" l="1"/>
  <c r="F21" i="2"/>
  <c r="Q20" i="2"/>
  <c r="Y21" i="2" s="1"/>
  <c r="AA21" i="2" s="1"/>
  <c r="G21" i="2" s="1"/>
  <c r="U21" i="2" l="1"/>
  <c r="W21" i="2" s="1"/>
  <c r="O21" i="2" s="1"/>
  <c r="Q21" i="2" s="1"/>
  <c r="K21" i="2"/>
  <c r="P21" i="2" l="1"/>
  <c r="X22" i="2" s="1"/>
  <c r="Z22" i="2" s="1"/>
  <c r="J22" i="2" s="1"/>
  <c r="Y22" i="2"/>
  <c r="AA22" i="2" s="1"/>
  <c r="G22" i="2" s="1"/>
  <c r="F22" i="2"/>
  <c r="U22" i="2" s="1"/>
  <c r="W22" i="2" s="1"/>
  <c r="O22" i="2" s="1"/>
  <c r="Q22" i="2" s="1"/>
  <c r="K22" i="2" l="1"/>
  <c r="Y23" i="2" s="1"/>
  <c r="AA23" i="2" s="1"/>
  <c r="P22" i="2"/>
  <c r="X23" i="2" s="1"/>
  <c r="Z23" i="2" s="1"/>
  <c r="J23" i="2" s="1"/>
  <c r="G23" i="2" l="1"/>
  <c r="K23" i="2"/>
  <c r="F23" i="2"/>
  <c r="U23" i="2" s="1"/>
  <c r="W23" i="2" s="1"/>
  <c r="O23" i="2" s="1"/>
  <c r="Q23" i="2" s="1"/>
  <c r="Y24" i="2" s="1"/>
  <c r="AA24" i="2" s="1"/>
  <c r="P23" i="2" l="1"/>
  <c r="X24" i="2" s="1"/>
  <c r="Z24" i="2" s="1"/>
  <c r="J24" i="2" s="1"/>
  <c r="G24" i="2"/>
  <c r="K24" i="2"/>
  <c r="F24" i="2" l="1"/>
  <c r="U24" i="2" s="1"/>
  <c r="W24" i="2" s="1"/>
  <c r="O24" i="2" s="1"/>
  <c r="P24" i="2" s="1"/>
  <c r="X25" i="2" s="1"/>
  <c r="Z25" i="2" s="1"/>
  <c r="J25" i="2" s="1"/>
  <c r="Q24" i="2" l="1"/>
  <c r="Y25" i="2" s="1"/>
  <c r="AA25" i="2" s="1"/>
  <c r="G25" i="2" s="1"/>
  <c r="F25" i="2"/>
  <c r="K25" i="2" l="1"/>
  <c r="U25" i="2"/>
  <c r="W25" i="2" s="1"/>
  <c r="O25" i="2" s="1"/>
  <c r="Q25" i="2" s="1"/>
  <c r="Y26" i="2" s="1"/>
  <c r="AA26" i="2" s="1"/>
  <c r="G26" i="2" s="1"/>
  <c r="P25" i="2" l="1"/>
  <c r="X26" i="2" s="1"/>
  <c r="Z26" i="2" s="1"/>
  <c r="J26" i="2" s="1"/>
  <c r="K26" i="2"/>
  <c r="F26" i="2" l="1"/>
  <c r="U26" i="2" s="1"/>
  <c r="W26" i="2" s="1"/>
  <c r="O26" i="2" s="1"/>
  <c r="Q26" i="2" s="1"/>
  <c r="Y27" i="2" s="1"/>
  <c r="AA27" i="2" s="1"/>
  <c r="P26" i="2" l="1"/>
  <c r="X27" i="2" s="1"/>
  <c r="Z27" i="2" s="1"/>
  <c r="J27" i="2" s="1"/>
  <c r="G27" i="2"/>
  <c r="K27" i="2"/>
  <c r="F27" i="2" l="1"/>
  <c r="U27" i="2" s="1"/>
  <c r="W27" i="2" s="1"/>
  <c r="O27" i="2" s="1"/>
  <c r="P27" i="2" s="1"/>
  <c r="X28" i="2" s="1"/>
  <c r="Z28" i="2" s="1"/>
  <c r="J28" i="2" s="1"/>
  <c r="Q27" i="2" l="1"/>
  <c r="Y28" i="2" s="1"/>
  <c r="AA28" i="2" s="1"/>
  <c r="G28" i="2" s="1"/>
  <c r="F28" i="2"/>
  <c r="U28" i="2" l="1"/>
  <c r="W28" i="2" s="1"/>
  <c r="O28" i="2" s="1"/>
  <c r="Q28" i="2" s="1"/>
  <c r="K28" i="2"/>
  <c r="Y29" i="2" l="1"/>
  <c r="AA29" i="2" s="1"/>
  <c r="G29" i="2" s="1"/>
  <c r="P28" i="2"/>
  <c r="X29" i="2" s="1"/>
  <c r="Z29" i="2" s="1"/>
  <c r="J29" i="2" s="1"/>
  <c r="K29" i="2" l="1"/>
  <c r="F29" i="2"/>
  <c r="U29" i="2" s="1"/>
  <c r="W29" i="2" s="1"/>
  <c r="O29" i="2" s="1"/>
  <c r="P29" i="2" s="1"/>
  <c r="X30" i="2" s="1"/>
  <c r="Z30" i="2" s="1"/>
  <c r="J30" i="2" s="1"/>
  <c r="F30" i="2" l="1"/>
  <c r="Q29" i="2"/>
  <c r="Y30" i="2" s="1"/>
  <c r="AA30" i="2" s="1"/>
  <c r="G30" i="2" l="1"/>
  <c r="U30" i="2" s="1"/>
  <c r="W30" i="2" s="1"/>
  <c r="O30" i="2" s="1"/>
  <c r="Q30" i="2" s="1"/>
  <c r="K30" i="2"/>
  <c r="P30" i="2" l="1"/>
  <c r="H154" i="3" l="1"/>
  <c r="K119" i="3" s="1"/>
  <c r="G154" i="3"/>
  <c r="J119" i="3" s="1"/>
  <c r="J120" i="3" s="1"/>
  <c r="G141" i="3"/>
  <c r="G142" i="3" s="1"/>
  <c r="J121" i="3" l="1"/>
  <c r="J124" i="3"/>
  <c r="J126" i="3" s="1"/>
  <c r="J128" i="3"/>
  <c r="H87" i="3"/>
  <c r="H88" i="3"/>
  <c r="H90" i="3"/>
  <c r="G164" i="3"/>
  <c r="J41" i="3" s="1"/>
  <c r="J36" i="3" s="1"/>
  <c r="H155" i="3"/>
  <c r="H144" i="3"/>
  <c r="H156" i="3"/>
  <c r="G144" i="3"/>
  <c r="H89" i="3"/>
  <c r="G155" i="3"/>
  <c r="J133" i="3" l="1"/>
  <c r="J146" i="3"/>
  <c r="G165" i="3"/>
  <c r="M117" i="3"/>
  <c r="M118" i="3" s="1"/>
  <c r="J159" i="3" s="1"/>
  <c r="K120" i="3"/>
  <c r="N117" i="3"/>
  <c r="N118" i="3" s="1"/>
  <c r="K159" i="3" s="1"/>
  <c r="K121" i="3" l="1"/>
  <c r="K124" i="3"/>
  <c r="K128" i="3"/>
  <c r="J127" i="3"/>
  <c r="J147" i="3" l="1"/>
  <c r="J149" i="3" s="1"/>
  <c r="K129" i="3"/>
  <c r="J129" i="3"/>
  <c r="J158" i="3" s="1"/>
  <c r="K133" i="3"/>
  <c r="K146" i="3"/>
  <c r="K147" i="3" s="1"/>
  <c r="K158" i="3" l="1"/>
  <c r="K130" i="3"/>
  <c r="J130" i="3"/>
  <c r="K149" i="3"/>
  <c r="J150" i="3" s="1"/>
  <c r="J151" i="3" s="1"/>
  <c r="K132" i="3" l="1"/>
  <c r="J132" i="3"/>
  <c r="J131" i="3"/>
  <c r="K150" i="3" l="1"/>
  <c r="K151" i="3" s="1"/>
  <c r="J136" i="3"/>
  <c r="K157" i="3"/>
  <c r="K162" i="3" s="1"/>
  <c r="J157" i="3"/>
  <c r="J162" i="3" s="1"/>
  <c r="J137" i="3" l="1"/>
  <c r="J138" i="3" s="1"/>
  <c r="J139" i="3" l="1"/>
  <c r="J140" i="3" s="1"/>
  <c r="J141" i="3" s="1"/>
  <c r="J142" i="3" s="1"/>
  <c r="K88" i="3" l="1"/>
  <c r="K87" i="3"/>
  <c r="K97" i="3" s="1"/>
  <c r="K89" i="3"/>
  <c r="J143" i="3"/>
  <c r="K143" i="3"/>
  <c r="K90" i="3"/>
  <c r="J156" i="3" l="1"/>
  <c r="J144" i="3"/>
  <c r="J154" i="3"/>
  <c r="K156" i="3"/>
  <c r="K144" i="3"/>
  <c r="J164" i="3"/>
  <c r="M41" i="3" s="1"/>
  <c r="M36" i="3" s="1"/>
  <c r="K103" i="3"/>
  <c r="K100" i="3"/>
  <c r="K106" i="3" s="1"/>
  <c r="N83" i="3" s="1"/>
  <c r="K99" i="3"/>
  <c r="K105" i="3" s="1"/>
  <c r="K98" i="3"/>
  <c r="K104" i="3" s="1"/>
  <c r="J155" i="3" l="1"/>
  <c r="M119" i="3"/>
  <c r="J165" i="3"/>
  <c r="K109" i="3"/>
  <c r="N51" i="3"/>
  <c r="N81" i="3" s="1"/>
  <c r="M93" i="3"/>
  <c r="K110" i="3"/>
  <c r="M94" i="3"/>
  <c r="N82" i="3"/>
  <c r="M95" i="3"/>
  <c r="K111" i="3"/>
  <c r="K125" i="3"/>
  <c r="K126" i="3" s="1"/>
  <c r="K127" i="3" s="1"/>
  <c r="M92" i="3"/>
  <c r="N92" i="3" s="1"/>
  <c r="K108" i="3"/>
  <c r="N50" i="3"/>
  <c r="N80" i="3" s="1"/>
  <c r="K101" i="3"/>
  <c r="K154" i="3" s="1"/>
  <c r="M88" i="3" l="1"/>
  <c r="P117" i="3"/>
  <c r="P118" i="3" s="1"/>
  <c r="M159" i="3" s="1"/>
  <c r="M120" i="3"/>
  <c r="M90" i="3"/>
  <c r="N84" i="3"/>
  <c r="M89" i="3"/>
  <c r="M87" i="3"/>
  <c r="K155" i="3"/>
  <c r="N119" i="3"/>
  <c r="N54" i="3"/>
  <c r="N56" i="3"/>
  <c r="N63" i="3"/>
  <c r="N57" i="3"/>
  <c r="N64" i="3"/>
  <c r="M121" i="3" l="1"/>
  <c r="M128" i="3"/>
  <c r="M129" i="3" s="1"/>
  <c r="M130" i="3" s="1"/>
  <c r="M124" i="3"/>
  <c r="M126" i="3" s="1"/>
  <c r="M127" i="3" s="1"/>
  <c r="N67" i="3"/>
  <c r="N60" i="3"/>
  <c r="N61" i="3" s="1"/>
  <c r="N120" i="3"/>
  <c r="Q117" i="3"/>
  <c r="Q118" i="3" s="1"/>
  <c r="N159" i="3" s="1"/>
  <c r="M133" i="3" l="1"/>
  <c r="M146" i="3"/>
  <c r="M147" i="3" s="1"/>
  <c r="M158" i="3"/>
  <c r="N121" i="3"/>
  <c r="N128" i="3"/>
  <c r="N124" i="3"/>
  <c r="M149" i="3" l="1"/>
  <c r="N129" i="3"/>
  <c r="N158" i="3" s="1"/>
  <c r="N146" i="3"/>
  <c r="N147" i="3" s="1"/>
  <c r="N133" i="3"/>
  <c r="N149" i="3" l="1"/>
  <c r="M150" i="3" s="1"/>
  <c r="M151" i="3" s="1"/>
  <c r="N130" i="3"/>
  <c r="N132" i="3" s="1"/>
  <c r="N150" i="3" l="1"/>
  <c r="N151" i="3" s="1"/>
  <c r="M132" i="3"/>
  <c r="M131" i="3"/>
  <c r="M136" i="3" l="1"/>
  <c r="M137" i="3" s="1"/>
  <c r="M138" i="3" s="1"/>
  <c r="N157" i="3"/>
  <c r="N162" i="3" s="1"/>
  <c r="M157" i="3"/>
  <c r="M162" i="3" s="1"/>
  <c r="M139" i="3" l="1"/>
  <c r="M140" i="3" l="1"/>
  <c r="N143" i="3" s="1"/>
  <c r="M141" i="3" l="1"/>
  <c r="M142" i="3" s="1"/>
  <c r="N156" i="3" s="1"/>
  <c r="M143" i="3"/>
  <c r="M156" i="3" s="1"/>
  <c r="M154" i="3" l="1"/>
  <c r="M144" i="3"/>
  <c r="N144" i="3"/>
  <c r="M164" i="3"/>
  <c r="P41" i="3" s="1"/>
  <c r="P36" i="3" s="1"/>
  <c r="N89" i="3"/>
  <c r="N99" i="3" s="1"/>
  <c r="N105" i="3" s="1"/>
  <c r="N88" i="3"/>
  <c r="N87" i="3"/>
  <c r="N97" i="3" s="1"/>
  <c r="N90" i="3"/>
  <c r="N100" i="3" s="1"/>
  <c r="N106" i="3" s="1"/>
  <c r="Q83" i="3" s="1"/>
  <c r="N110" i="3" l="1"/>
  <c r="P94" i="3"/>
  <c r="P119" i="3"/>
  <c r="M155" i="3"/>
  <c r="N98" i="3"/>
  <c r="N103" i="3"/>
  <c r="N111" i="3"/>
  <c r="P95" i="3"/>
  <c r="Q52" i="3"/>
  <c r="Q82" i="3" s="1"/>
  <c r="M165" i="3"/>
  <c r="N104" i="3" l="1"/>
  <c r="N101" i="3"/>
  <c r="N154" i="3" s="1"/>
  <c r="S117" i="3"/>
  <c r="S118" i="3" s="1"/>
  <c r="P159" i="3" s="1"/>
  <c r="P120" i="3"/>
  <c r="N108" i="3"/>
  <c r="Q50" i="3"/>
  <c r="Q80" i="3" s="1"/>
  <c r="P92" i="3"/>
  <c r="Q92" i="3" s="1"/>
  <c r="Q65" i="3"/>
  <c r="Q58" i="3"/>
  <c r="P93" i="3" l="1"/>
  <c r="N109" i="3"/>
  <c r="N125" i="3"/>
  <c r="N126" i="3" s="1"/>
  <c r="N127" i="3" s="1"/>
  <c r="Q51" i="3"/>
  <c r="N155" i="3"/>
  <c r="Q119" i="3"/>
  <c r="P121" i="3"/>
  <c r="P124" i="3"/>
  <c r="P126" i="3" s="1"/>
  <c r="P127" i="3" s="1"/>
  <c r="P128" i="3"/>
  <c r="P129" i="3" s="1"/>
  <c r="P130" i="3" s="1"/>
  <c r="Q56" i="3"/>
  <c r="Q63" i="3"/>
  <c r="P87" i="3"/>
  <c r="Q54" i="3" l="1"/>
  <c r="Q81" i="3"/>
  <c r="Q64" i="3"/>
  <c r="Q67" i="3" s="1"/>
  <c r="Q57" i="3"/>
  <c r="Q60" i="3" s="1"/>
  <c r="T117" i="3"/>
  <c r="T118" i="3" s="1"/>
  <c r="Q159" i="3" s="1"/>
  <c r="Q120" i="3"/>
  <c r="P146" i="3"/>
  <c r="P147" i="3" s="1"/>
  <c r="P133" i="3"/>
  <c r="P158" i="3"/>
  <c r="Q61" i="3" l="1"/>
  <c r="P89" i="3"/>
  <c r="Q84" i="3"/>
  <c r="P88" i="3"/>
  <c r="P90" i="3"/>
  <c r="Q128" i="3"/>
  <c r="Q129" i="3" s="1"/>
  <c r="Q124" i="3"/>
  <c r="Q121" i="3"/>
  <c r="P149" i="3"/>
  <c r="Q146" i="3" l="1"/>
  <c r="Q147" i="3" s="1"/>
  <c r="Q133" i="3"/>
  <c r="Q158" i="3"/>
  <c r="Q130" i="3"/>
  <c r="Q149" i="3" l="1"/>
  <c r="P150" i="3" s="1"/>
  <c r="P132" i="3"/>
  <c r="Q132" i="3"/>
  <c r="P131" i="3"/>
  <c r="Q150" i="3" l="1"/>
  <c r="Q151" i="3" s="1"/>
  <c r="P151" i="3"/>
  <c r="P157" i="3"/>
  <c r="P162" i="3" s="1"/>
  <c r="P136" i="3"/>
  <c r="P137" i="3" s="1"/>
  <c r="P138" i="3" s="1"/>
  <c r="P139" i="3" s="1"/>
  <c r="P140" i="3" s="1"/>
  <c r="Q157" i="3"/>
  <c r="Q162" i="3" s="1"/>
  <c r="P141" i="3" l="1"/>
  <c r="P142" i="3" s="1"/>
  <c r="Q143" i="3"/>
  <c r="P143" i="3"/>
  <c r="Q90" i="3" l="1"/>
  <c r="Q100" i="3" s="1"/>
  <c r="Q106" i="3" s="1"/>
  <c r="Q88" i="3"/>
  <c r="Q98" i="3" s="1"/>
  <c r="Q104" i="3" s="1"/>
  <c r="Q87" i="3"/>
  <c r="Q97" i="3" s="1"/>
  <c r="Q89" i="3"/>
  <c r="Q99" i="3" s="1"/>
  <c r="Q105" i="3" s="1"/>
  <c r="S94" i="3" s="1"/>
  <c r="Q156" i="3"/>
  <c r="Q144" i="3"/>
  <c r="P164" i="3"/>
  <c r="P144" i="3"/>
  <c r="P156" i="3"/>
  <c r="P154" i="3"/>
  <c r="Q110" i="3" l="1"/>
  <c r="T52" i="3"/>
  <c r="T58" i="3" s="1"/>
  <c r="Q109" i="3"/>
  <c r="T51" i="3"/>
  <c r="S93" i="3"/>
  <c r="P165" i="3"/>
  <c r="S41" i="3"/>
  <c r="S36" i="3" s="1"/>
  <c r="T53" i="3"/>
  <c r="T66" i="3" s="1"/>
  <c r="S95" i="3"/>
  <c r="Q111" i="3"/>
  <c r="Q103" i="3"/>
  <c r="Q101" i="3"/>
  <c r="Q154" i="3" s="1"/>
  <c r="P155" i="3"/>
  <c r="S119" i="3"/>
  <c r="T82" i="3" l="1"/>
  <c r="T65" i="3"/>
  <c r="S120" i="3"/>
  <c r="S128" i="3" s="1"/>
  <c r="V117" i="3"/>
  <c r="V118" i="3" s="1"/>
  <c r="S159" i="3" s="1"/>
  <c r="T81" i="3"/>
  <c r="T57" i="3"/>
  <c r="T64" i="3"/>
  <c r="T83" i="3"/>
  <c r="T59" i="3"/>
  <c r="Q108" i="3"/>
  <c r="S92" i="3"/>
  <c r="T92" i="3" s="1"/>
  <c r="T50" i="3"/>
  <c r="Q125" i="3"/>
  <c r="Q126" i="3" s="1"/>
  <c r="Q127" i="3" s="1"/>
  <c r="Q155" i="3"/>
  <c r="T119" i="3"/>
  <c r="S124" i="3" l="1"/>
  <c r="S126" i="3" s="1"/>
  <c r="S127" i="3" s="1"/>
  <c r="S121" i="3"/>
  <c r="T120" i="3"/>
  <c r="W117" i="3"/>
  <c r="W118" i="3" s="1"/>
  <c r="T159" i="3" s="1"/>
  <c r="T63" i="3"/>
  <c r="T67" i="3" s="1"/>
  <c r="T80" i="3"/>
  <c r="T56" i="3"/>
  <c r="T60" i="3" s="1"/>
  <c r="T54" i="3"/>
  <c r="S129" i="3"/>
  <c r="S130" i="3" s="1"/>
  <c r="S133" i="3" l="1"/>
  <c r="S146" i="3"/>
  <c r="S147" i="3" s="1"/>
  <c r="T121" i="3"/>
  <c r="T124" i="3"/>
  <c r="T128" i="3"/>
  <c r="T129" i="3" s="1"/>
  <c r="T61" i="3"/>
  <c r="S88" i="3"/>
  <c r="S90" i="3"/>
  <c r="T84" i="3"/>
  <c r="S89" i="3"/>
  <c r="S87" i="3"/>
  <c r="S158" i="3"/>
  <c r="S149" i="3" l="1"/>
  <c r="T133" i="3"/>
  <c r="T146" i="3"/>
  <c r="T147" i="3" s="1"/>
  <c r="T158" i="3"/>
  <c r="T130" i="3"/>
  <c r="T132" i="3" s="1"/>
  <c r="T149" i="3" l="1"/>
  <c r="S150" i="3" s="1"/>
  <c r="S132" i="3"/>
  <c r="S131" i="3"/>
  <c r="S151" i="3" l="1"/>
  <c r="T150" i="3"/>
  <c r="T151" i="3" s="1"/>
  <c r="S136" i="3"/>
  <c r="S157" i="3"/>
  <c r="S162" i="3" s="1"/>
  <c r="T157" i="3"/>
  <c r="T162" i="3" s="1"/>
  <c r="S137" i="3" l="1"/>
  <c r="S138" i="3" s="1"/>
  <c r="S139" i="3" l="1"/>
  <c r="S140" i="3" s="1"/>
  <c r="S141" i="3" l="1"/>
  <c r="S142" i="3" s="1"/>
  <c r="S143" i="3"/>
  <c r="S156" i="3" s="1"/>
  <c r="T143" i="3"/>
  <c r="S154" i="3" l="1"/>
  <c r="S144" i="3"/>
  <c r="T156" i="3"/>
  <c r="T144" i="3"/>
  <c r="S164" i="3"/>
  <c r="T89" i="3"/>
  <c r="T99" i="3" s="1"/>
  <c r="T105" i="3" s="1"/>
  <c r="T110" i="3" s="1"/>
  <c r="T88" i="3"/>
  <c r="T98" i="3" s="1"/>
  <c r="T104" i="3" s="1"/>
  <c r="W51" i="3" s="1"/>
  <c r="T87" i="3"/>
  <c r="T97" i="3" s="1"/>
  <c r="T103" i="3" s="1"/>
  <c r="W50" i="3" s="1"/>
  <c r="W80" i="3" s="1"/>
  <c r="T90" i="3"/>
  <c r="T100" i="3" s="1"/>
  <c r="T106" i="3" s="1"/>
  <c r="V95" i="3" s="1"/>
  <c r="S155" i="3" l="1"/>
  <c r="V119" i="3"/>
  <c r="V41" i="3"/>
  <c r="V36" i="3" s="1"/>
  <c r="V93" i="3"/>
  <c r="S165" i="3"/>
  <c r="W53" i="3"/>
  <c r="W83" i="3" s="1"/>
  <c r="T111" i="3"/>
  <c r="T101" i="3"/>
  <c r="T154" i="3" s="1"/>
  <c r="T155" i="3" s="1"/>
  <c r="V94" i="3"/>
  <c r="T109" i="3"/>
  <c r="W52" i="3"/>
  <c r="W58" i="3" s="1"/>
  <c r="V92" i="3"/>
  <c r="W92" i="3" s="1"/>
  <c r="T108" i="3"/>
  <c r="T125" i="3"/>
  <c r="T126" i="3" s="1"/>
  <c r="T127" i="3" s="1"/>
  <c r="W63" i="3"/>
  <c r="W56" i="3"/>
  <c r="W64" i="3"/>
  <c r="W57" i="3"/>
  <c r="V87" i="3"/>
  <c r="W81" i="3"/>
  <c r="V88" i="3" s="1"/>
  <c r="Y117" i="3" l="1"/>
  <c r="Y118" i="3" s="1"/>
  <c r="V159" i="3" s="1"/>
  <c r="V120" i="3"/>
  <c r="V121" i="3" s="1"/>
  <c r="V133" i="3" s="1"/>
  <c r="W66" i="3"/>
  <c r="W119" i="3"/>
  <c r="Z117" i="3" s="1"/>
  <c r="Z118" i="3" s="1"/>
  <c r="W159" i="3" s="1"/>
  <c r="W54" i="3"/>
  <c r="W82" i="3"/>
  <c r="W59" i="3"/>
  <c r="W60" i="3" s="1"/>
  <c r="W65" i="3"/>
  <c r="W61" i="3" l="1"/>
  <c r="W67" i="3"/>
  <c r="V128" i="3"/>
  <c r="V129" i="3" s="1"/>
  <c r="V124" i="3"/>
  <c r="V126" i="3" s="1"/>
  <c r="V127" i="3" s="1"/>
  <c r="V89" i="3"/>
  <c r="W84" i="3"/>
  <c r="V90" i="3"/>
  <c r="W120" i="3"/>
  <c r="W124" i="3" s="1"/>
  <c r="V146" i="3"/>
  <c r="V147" i="3" s="1"/>
  <c r="V149" i="3" s="1"/>
  <c r="V130" i="3" l="1"/>
  <c r="V158" i="3"/>
  <c r="W128" i="3"/>
  <c r="W129" i="3" s="1"/>
  <c r="W130" i="3" s="1"/>
  <c r="W121" i="3"/>
  <c r="W132" i="3" l="1"/>
  <c r="V132" i="3"/>
  <c r="V131" i="3"/>
  <c r="V136" i="3" s="1"/>
  <c r="W158" i="3"/>
  <c r="W133" i="3"/>
  <c r="W146" i="3"/>
  <c r="W147" i="3" s="1"/>
  <c r="W157" i="3" l="1"/>
  <c r="W162" i="3" s="1"/>
  <c r="V157" i="3"/>
  <c r="V162" i="3" s="1"/>
  <c r="W149" i="3"/>
  <c r="V150" i="3" s="1"/>
  <c r="V151" i="3" s="1"/>
  <c r="V137" i="3"/>
  <c r="V138" i="3" s="1"/>
  <c r="V139" i="3" s="1"/>
  <c r="W150" i="3" l="1"/>
  <c r="W151" i="3" s="1"/>
  <c r="V140" i="3"/>
  <c r="V141" i="3" s="1"/>
  <c r="V142" i="3" s="1"/>
  <c r="W88" i="3" l="1"/>
  <c r="W87" i="3"/>
  <c r="W90" i="3"/>
  <c r="W89" i="3"/>
  <c r="W143" i="3"/>
  <c r="W144" i="3" s="1"/>
  <c r="V143" i="3"/>
  <c r="V164" i="3" l="1"/>
  <c r="Y41" i="3" s="1"/>
  <c r="W156" i="3"/>
  <c r="V144" i="3"/>
  <c r="V156" i="3"/>
  <c r="V154" i="3"/>
  <c r="W100" i="3"/>
  <c r="W106" i="3" s="1"/>
  <c r="W98" i="3"/>
  <c r="W104" i="3" s="1"/>
  <c r="W97" i="3"/>
  <c r="W103" i="3" s="1"/>
  <c r="W99" i="3"/>
  <c r="W105" i="3" s="1"/>
  <c r="Y36" i="3" l="1"/>
  <c r="V165" i="3"/>
  <c r="Y119" i="3"/>
  <c r="Y120" i="3" s="1"/>
  <c r="W111" i="3"/>
  <c r="Y95" i="3"/>
  <c r="Z53" i="3"/>
  <c r="Z83" i="3" s="1"/>
  <c r="Z52" i="3"/>
  <c r="Z82" i="3" s="1"/>
  <c r="Y94" i="3"/>
  <c r="W110" i="3"/>
  <c r="W125" i="3"/>
  <c r="W126" i="3" s="1"/>
  <c r="W127" i="3" s="1"/>
  <c r="Z50" i="3"/>
  <c r="Y92" i="3"/>
  <c r="Z92" i="3" s="1"/>
  <c r="Z159" i="3" s="1"/>
  <c r="W108" i="3"/>
  <c r="Y93" i="3"/>
  <c r="Z51" i="3"/>
  <c r="Z81" i="3" s="1"/>
  <c r="W109" i="3"/>
  <c r="W101" i="3"/>
  <c r="W154" i="3" s="1"/>
  <c r="V155" i="3"/>
  <c r="Z54" i="3" l="1"/>
  <c r="Z56" i="3"/>
  <c r="Z63" i="3"/>
  <c r="Y128" i="3"/>
  <c r="Y121" i="3"/>
  <c r="Y124" i="3"/>
  <c r="Y126" i="3" s="1"/>
  <c r="Y127" i="3" s="1"/>
  <c r="Z64" i="3"/>
  <c r="Z57" i="3"/>
  <c r="Z59" i="3"/>
  <c r="Z66" i="3"/>
  <c r="W155" i="3"/>
  <c r="Z119" i="3"/>
  <c r="Z65" i="3"/>
  <c r="Z58" i="3"/>
  <c r="Z80" i="3"/>
  <c r="Z120" i="3" l="1"/>
  <c r="Y88" i="3"/>
  <c r="Z84" i="3"/>
  <c r="Y87" i="3"/>
  <c r="Y90" i="3"/>
  <c r="Y89" i="3"/>
  <c r="Y133" i="3"/>
  <c r="Y146" i="3"/>
  <c r="Y147" i="3" s="1"/>
  <c r="Y129" i="3"/>
  <c r="Y130" i="3" s="1"/>
  <c r="Z67" i="3"/>
  <c r="Z60" i="3"/>
  <c r="Z61" i="3" s="1"/>
  <c r="Y158" i="3" l="1"/>
  <c r="Y149" i="3"/>
  <c r="Z124" i="3"/>
  <c r="Z121" i="3"/>
  <c r="Z128" i="3"/>
  <c r="Z146" i="3" l="1"/>
  <c r="Z147" i="3" s="1"/>
  <c r="Z133" i="3"/>
  <c r="Z129" i="3"/>
  <c r="Z130" i="3" s="1"/>
  <c r="Z149" i="3" l="1"/>
  <c r="Y150" i="3" s="1"/>
  <c r="Z132" i="3"/>
  <c r="Y131" i="3"/>
  <c r="Y136" i="3" s="1"/>
  <c r="Y137" i="3" s="1"/>
  <c r="Y132" i="3"/>
  <c r="Z158" i="3"/>
  <c r="Z150" i="3" l="1"/>
  <c r="Z151" i="3" s="1"/>
  <c r="Y151" i="3"/>
  <c r="Y138" i="3"/>
  <c r="Y157" i="3"/>
  <c r="Y162" i="3" s="1"/>
  <c r="Z157" i="3"/>
  <c r="Z162" i="3" s="1"/>
  <c r="Y139" i="3" l="1"/>
  <c r="Y140" i="3" l="1"/>
  <c r="Y141" i="3" s="1"/>
  <c r="Y142" i="3" s="1"/>
  <c r="Z90" i="3" l="1"/>
  <c r="Z89" i="3"/>
  <c r="Z87" i="3"/>
  <c r="Z88" i="3"/>
  <c r="Z143" i="3"/>
  <c r="Y143" i="3"/>
  <c r="Y164" i="3" l="1"/>
  <c r="Y165" i="3" s="1"/>
  <c r="Y144" i="3"/>
  <c r="Y156" i="3"/>
  <c r="Y154" i="3"/>
  <c r="Y155" i="3" s="1"/>
  <c r="Z156" i="3"/>
  <c r="Z144" i="3"/>
  <c r="Z98" i="3"/>
  <c r="Z104" i="3" s="1"/>
  <c r="Z109" i="3" s="1"/>
  <c r="Z97" i="3"/>
  <c r="Z103" i="3" s="1"/>
  <c r="Z99" i="3"/>
  <c r="Z105" i="3" s="1"/>
  <c r="Z110" i="3" s="1"/>
  <c r="Z100" i="3"/>
  <c r="Z106" i="3" s="1"/>
  <c r="Z111" i="3" s="1"/>
  <c r="Z101" i="3" l="1"/>
  <c r="Z154" i="3" s="1"/>
  <c r="Z155" i="3" s="1"/>
  <c r="Z125" i="3"/>
  <c r="Z126" i="3" s="1"/>
  <c r="Z127" i="3" s="1"/>
  <c r="Z108" i="3"/>
</calcChain>
</file>

<file path=xl/sharedStrings.xml><?xml version="1.0" encoding="utf-8"?>
<sst xmlns="http://schemas.openxmlformats.org/spreadsheetml/2006/main" count="820" uniqueCount="521">
  <si>
    <t>forest_primary_c_ha</t>
  </si>
  <si>
    <t>forest_secondary_c_ha</t>
  </si>
  <si>
    <t>forest_primary_c_ha_yr</t>
  </si>
  <si>
    <t>forest_secondary_c_ha_yr</t>
  </si>
  <si>
    <t>forest_primary_conv_ha</t>
  </si>
  <si>
    <t>forest_secondary_conv_ha</t>
  </si>
  <si>
    <t>fraction_c_available_for_use</t>
  </si>
  <si>
    <t>c_demand</t>
  </si>
  <si>
    <t>forest_primary_ha</t>
  </si>
  <si>
    <t>forest_secondary_ha</t>
  </si>
  <si>
    <t>fraction_c_converted_available</t>
  </si>
  <si>
    <t>c_stock_loss_conversion_primary</t>
  </si>
  <si>
    <t>c_stock_loss_conversion_secondary</t>
  </si>
  <si>
    <t>c_stock_loss_conversion_available_for_bmass</t>
  </si>
  <si>
    <t>c_stock_available_in_forests</t>
  </si>
  <si>
    <t>fraction_c_loss_to_degrade</t>
  </si>
  <si>
    <t>Assume forest in steady state at t = 0 (def a problem)</t>
  </si>
  <si>
    <t>Stop extraction at floor (30%)</t>
  </si>
  <si>
    <t>Reduce annual sequestration rate after some threshold (70%?)</t>
  </si>
  <si>
    <t>tp0</t>
  </si>
  <si>
    <t>tp1</t>
  </si>
  <si>
    <t>tp2</t>
  </si>
  <si>
    <t>..</t>
  </si>
  <si>
    <t>Initial Area (ha)</t>
  </si>
  <si>
    <t>primary</t>
  </si>
  <si>
    <t>secondary</t>
  </si>
  <si>
    <t>Deforestation</t>
  </si>
  <si>
    <t>Protected Areas</t>
  </si>
  <si>
    <t>Annual Sequestration</t>
  </si>
  <si>
    <t>Area of Original Remaining</t>
  </si>
  <si>
    <t>C stock tonne per ha</t>
  </si>
  <si>
    <t>Removals (tonnes)</t>
  </si>
  <si>
    <t xml:space="preserve"> Demanded</t>
  </si>
  <si>
    <t>seq_curve</t>
  </si>
  <si>
    <t>tp3</t>
  </si>
  <si>
    <t>tp4</t>
  </si>
  <si>
    <t>New Forest Areas -- Assume unavailable for harvesting for at least 20 years</t>
  </si>
  <si>
    <t>stock in new forests</t>
  </si>
  <si>
    <t>seq_cum</t>
  </si>
  <si>
    <t>new</t>
  </si>
  <si>
    <t>tp</t>
  </si>
  <si>
    <t>n_years_to_avail</t>
  </si>
  <si>
    <t>frac_avail_for_use</t>
  </si>
  <si>
    <t>deforestation</t>
  </si>
  <si>
    <t>C from other</t>
  </si>
  <si>
    <t>min_frac_required</t>
  </si>
  <si>
    <t>C total available</t>
  </si>
  <si>
    <t>C at beginning of period</t>
  </si>
  <si>
    <t>C without degradationin init</t>
  </si>
  <si>
    <t xml:space="preserve"> </t>
  </si>
  <si>
    <t>Satisfiable</t>
  </si>
  <si>
    <t>t = 0</t>
  </si>
  <si>
    <t>protected area</t>
  </si>
  <si>
    <t>demanded removals (hwp + fuelwood)</t>
  </si>
  <si>
    <t>frac la conversion available for use</t>
  </si>
  <si>
    <t>land use conversion away</t>
  </si>
  <si>
    <t>Demand</t>
  </si>
  <si>
    <t>calculated variables</t>
  </si>
  <si>
    <t>C stock</t>
  </si>
  <si>
    <t>sequestration_curve</t>
  </si>
  <si>
    <t>function</t>
  </si>
  <si>
    <t>base factor</t>
  </si>
  <si>
    <t>base average stock</t>
  </si>
  <si>
    <t>current average stock</t>
  </si>
  <si>
    <t>t = 1</t>
  </si>
  <si>
    <t>t = 2</t>
  </si>
  <si>
    <t>land conversion into</t>
  </si>
  <si>
    <t>initial area  from steady state</t>
  </si>
  <si>
    <t>nominal annual sequestration (tonna/ha/year)</t>
  </si>
  <si>
    <t>area_from_t1</t>
  </si>
  <si>
    <t>c_stock_t0</t>
  </si>
  <si>
    <t>c_stock_t1</t>
  </si>
  <si>
    <t>c_stock_t2</t>
  </si>
  <si>
    <t>Removals</t>
  </si>
  <si>
    <t>original forest</t>
  </si>
  <si>
    <t>average stock per ha available (accounts for min frac)</t>
  </si>
  <si>
    <t>c available from stock beginning of period</t>
  </si>
  <si>
    <t>after X years, new forests enter the full pool, and it's assumed that wood is pulled uniformly (deal with average sequestration factors)</t>
  </si>
  <si>
    <t>t = 3</t>
  </si>
  <si>
    <t>area_from_t2</t>
  </si>
  <si>
    <t>area_from_t3</t>
  </si>
  <si>
    <t>c_stock_t3</t>
  </si>
  <si>
    <t>…</t>
  </si>
  <si>
    <t>t = 4</t>
  </si>
  <si>
    <t>t = 5</t>
  </si>
  <si>
    <t>T x T</t>
  </si>
  <si>
    <t>NEW FOREST PROTECTION MATRIX</t>
  </si>
  <si>
    <t xml:space="preserve"> (Y) area_from _t0</t>
  </si>
  <si>
    <t>zeros</t>
  </si>
  <si>
    <t>NPP Curve and Young Forest Assumptions</t>
  </si>
  <si>
    <t>sequestration_factor_t0_base</t>
  </si>
  <si>
    <t>sequestration_factor_t1_base</t>
  </si>
  <si>
    <t>sequestration_factor_t2_base</t>
  </si>
  <si>
    <t>sequestration_factor_t3_base</t>
  </si>
  <si>
    <t>unproctected</t>
  </si>
  <si>
    <t>protected</t>
  </si>
  <si>
    <t>orig</t>
  </si>
  <si>
    <t>young</t>
  </si>
  <si>
    <t>avail</t>
  </si>
  <si>
    <t>unavail</t>
  </si>
  <si>
    <t>from original forests, c stock available</t>
  </si>
  <si>
    <t>from original forests, c stock that is unavailable without affecting land use transition</t>
  </si>
  <si>
    <t>from new forests, c stock available</t>
  </si>
  <si>
    <t>from new forests, c stock unavailable</t>
  </si>
  <si>
    <t xml:space="preserve">from original forests, c stock </t>
  </si>
  <si>
    <t xml:space="preserve">from protected forests, c stock </t>
  </si>
  <si>
    <t>last in, last out</t>
  </si>
  <si>
    <t>LILO</t>
  </si>
  <si>
    <t>young_forest_protected</t>
  </si>
  <si>
    <t>if_untouched_c_stock_t0</t>
  </si>
  <si>
    <t>if_untouched_c_stock_t1</t>
  </si>
  <si>
    <t>if_untouched_c_stock_t2</t>
  </si>
  <si>
    <t>if_untouched_c_stock_t3</t>
  </si>
  <si>
    <t>land use conversion away from new forest</t>
  </si>
  <si>
    <t>forest area (start)</t>
  </si>
  <si>
    <t>base tonne C/ha reqd maintained</t>
  </si>
  <si>
    <t>base storage tonne C/ha</t>
  </si>
  <si>
    <t>buffer zone (fraction of stock above dead storage which contributes to slowing removals)</t>
  </si>
  <si>
    <t>some reservoir terms</t>
  </si>
  <si>
    <t>removals allocation</t>
  </si>
  <si>
    <t>removals from original</t>
  </si>
  <si>
    <t>stock to allocate from original pool excluding conversion</t>
  </si>
  <si>
    <t>total accessible pool</t>
  </si>
  <si>
    <t>removals  unmet by original</t>
  </si>
  <si>
    <t>drops</t>
  </si>
  <si>
    <t>cumulative_vals</t>
  </si>
  <si>
    <t>conversion away from new forest</t>
  </si>
  <si>
    <t>c_available_for_removals_mask_t0</t>
  </si>
  <si>
    <t>c_available_for_removals_mask_t1</t>
  </si>
  <si>
    <t>c_available_for_removals_mask_t2</t>
  </si>
  <si>
    <t>c_available_for_removals_mask_t3</t>
  </si>
  <si>
    <t>adjusted_sequestration_factor_t0</t>
  </si>
  <si>
    <t>adjusted_sequestration_factor_t1</t>
  </si>
  <si>
    <t>adjusted_sequestration_factor_t2</t>
  </si>
  <si>
    <t>adjusted_sequestration_factor_t3</t>
  </si>
  <si>
    <t>t = 6</t>
  </si>
  <si>
    <t>adjustment factor</t>
  </si>
  <si>
    <t>(percentage of forest stock available out of full stock not in dead storage ) carbon_stock_factor</t>
  </si>
  <si>
    <t>sequestration adjustment threshold--below this carbon stock depletion level, sequestration factors will start to decline</t>
  </si>
  <si>
    <t>YOUNG FOREST/AFORESTATION</t>
  </si>
  <si>
    <t>STARTING FOREST</t>
  </si>
  <si>
    <t>if_untouched_c_stock</t>
  </si>
  <si>
    <t>average_stock_per_ha</t>
  </si>
  <si>
    <t>area from steady state after conversion away</t>
  </si>
  <si>
    <t>original_forest_protected</t>
  </si>
  <si>
    <t>land use conversion away from new forest without protection</t>
  </si>
  <si>
    <t>removals from young</t>
  </si>
  <si>
    <t>total c available for removals</t>
  </si>
  <si>
    <t>c_stock_removal_allocation_t0</t>
  </si>
  <si>
    <t>c_stock_removal_allocation_t1</t>
  </si>
  <si>
    <t>c_stock_removal_allocation_t2</t>
  </si>
  <si>
    <t>c_stock_removal_allocation_t3</t>
  </si>
  <si>
    <t xml:space="preserve">stock in new forest if no removals (includes changes to area of new forest)
arr_young_stock_if_no_removals
</t>
  </si>
  <si>
    <t>Auxiliary Variables and Notes</t>
  </si>
  <si>
    <t>Variable</t>
  </si>
  <si>
    <t>Python Variable</t>
  </si>
  <si>
    <t>arr_area_remaining_from_orig</t>
  </si>
  <si>
    <t>arr_area</t>
  </si>
  <si>
    <t>arr_area_remaining_from_orig_after_conversion_away</t>
  </si>
  <si>
    <t>arr_area_protected_total</t>
  </si>
  <si>
    <t>arr_area_protected_original</t>
  </si>
  <si>
    <t>Classification (input/output)</t>
  </si>
  <si>
    <t>input</t>
  </si>
  <si>
    <t>output</t>
  </si>
  <si>
    <t>adjustment_factor_sf</t>
  </si>
  <si>
    <t>total removals from original</t>
  </si>
  <si>
    <t>ag c lost from conversion</t>
  </si>
  <si>
    <t>bg c lost from conversion</t>
  </si>
  <si>
    <t>vec_total_removals_demanded</t>
  </si>
  <si>
    <t>Sequestration and Dead Wood/Litter</t>
  </si>
  <si>
    <t>NOTE: assume that PRIMARY forests are in equilibrium, i.e., that the magnitude of carbon sequestered is equal to the magnitude emitted from decomposition. Use this rate as a fraction of the nominal stock, then apply this fraction to forests.</t>
  </si>
  <si>
    <t>decomposition fraction of above ground C stock</t>
  </si>
  <si>
    <t>starting c_stock_total</t>
  </si>
  <si>
    <t>ratio of below ground biomass to above ground</t>
  </si>
  <si>
    <t>internal</t>
  </si>
  <si>
    <t>healthy storage available per ha</t>
  </si>
  <si>
    <t>arr_biomass_c_ag_lost_conversion</t>
  </si>
  <si>
    <t>arr_biomass_c_bg_lost_conversion</t>
  </si>
  <si>
    <t>arr_young_sf_base_by_tp_planted (T x T)</t>
  </si>
  <si>
    <t>T = number of time periods</t>
  </si>
  <si>
    <t>(ref to above)</t>
  </si>
  <si>
    <t>arr_orig_sf_adjustment_factor</t>
  </si>
  <si>
    <t>arr_orig_sf_adjusted</t>
  </si>
  <si>
    <t>arr_orig_biomass_c_allocation_excluding_conversion</t>
  </si>
  <si>
    <t>arr_orig_frac_removables_satisfiable</t>
  </si>
  <si>
    <t>frac_removables_satisfiable</t>
  </si>
  <si>
    <t>arr_orig_biomass_c_allocation_adjusted</t>
  </si>
  <si>
    <t>vec_orig_biomass_c_accessible_pool</t>
  </si>
  <si>
    <t>arr_orig_allocation_removals</t>
  </si>
  <si>
    <t>arr_young_biomass_c_ag_converted_by_tp_planted (T x T)</t>
  </si>
  <si>
    <t>vec_young_biomass_c_ag_converted</t>
  </si>
  <si>
    <t>arr_young_biomass_c_bg_converted_by_tp_planted (T x T)</t>
  </si>
  <si>
    <t>vec_young_biomass_c_bg_converted</t>
  </si>
  <si>
    <t>c_stock_ag_converted_t0</t>
  </si>
  <si>
    <t>c_stock_ag_converted_t1</t>
  </si>
  <si>
    <t>c_stock_ag_converted_t2</t>
  </si>
  <si>
    <t>c_stock_ag_converted_t3</t>
  </si>
  <si>
    <t>c_stock_bg_converted_t0</t>
  </si>
  <si>
    <t>c_stock_bg_converted_t1</t>
  </si>
  <si>
    <t>c_stock_bg_converted_t2</t>
  </si>
  <si>
    <t>c_stock_bg_converted_t3</t>
  </si>
  <si>
    <t>ag biomass loss from deomposition</t>
  </si>
  <si>
    <t>ag biomass loss from decomposition t0</t>
  </si>
  <si>
    <t>ag biomass loss from decomposition t1</t>
  </si>
  <si>
    <t>ag biomass loss from decomposition t2</t>
  </si>
  <si>
    <t>ag biomass loss from decomposition t3</t>
  </si>
  <si>
    <t>arr_young_biomass_c_ag_stock (T x T)</t>
  </si>
  <si>
    <t>arr_young_biomass_c_bg_stock (T x T)</t>
  </si>
  <si>
    <t>c_stock_bg_t0</t>
  </si>
  <si>
    <t>c_stock_bg_t1</t>
  </si>
  <si>
    <t>c_stock_bg_t2</t>
  </si>
  <si>
    <t>c_stock_bg_t3</t>
  </si>
  <si>
    <t>bg biomass loss from stock removals</t>
  </si>
  <si>
    <t>total starting ag stock</t>
  </si>
  <si>
    <t>total starting ag stock in new</t>
  </si>
  <si>
    <t>total starting ag stock in original</t>
  </si>
  <si>
    <t>total starting bg stock</t>
  </si>
  <si>
    <t>vec_area_conversion_away_young_forest</t>
  </si>
  <si>
    <t>arr_area_conversion_into</t>
  </si>
  <si>
    <t>vec_area_conversion_away_young_forest_no_protection</t>
  </si>
  <si>
    <t>arr_area_conversion_away_total</t>
  </si>
  <si>
    <t>vec_frac_biomass_from_conversion_available_for_use</t>
  </si>
  <si>
    <t>vec_frac_biomass_adjustment_threshold</t>
  </si>
  <si>
    <t xml:space="preserve">dead storage (minimum fraction of original stock that must remain on the land to allow it to remain that land use type). </t>
  </si>
  <si>
    <t>vec_biomass_c_ag_init_stst_storage</t>
  </si>
  <si>
    <t>vec_biomass_c_ag_init_healthy_available</t>
  </si>
  <si>
    <t>vec_biomass_c_bg_to_ag_ratio</t>
  </si>
  <si>
    <t>vec_young_sf_curve</t>
  </si>
  <si>
    <t>arr_young_biomass_c_available_for_removals_mask (T x T)</t>
  </si>
  <si>
    <t>vec_young_biomass_c_available_for_removals_total</t>
  </si>
  <si>
    <t>arr_young_biomass_c_ag_stock_if_untouched (T x T)</t>
  </si>
  <si>
    <t>n/a -- refers to vec_annual_sf_nominal</t>
  </si>
  <si>
    <t>arr_orig_biomass_c_ag_if_untouched</t>
  </si>
  <si>
    <t>arr_orig_biomass_c_ag_starting</t>
  </si>
  <si>
    <t>arr_total_biomass_c_ag_starting</t>
  </si>
  <si>
    <t>arr_total_biomass_c_bg_starting</t>
  </si>
  <si>
    <t>arr_orig_biomass_c_ag_average_per_area</t>
  </si>
  <si>
    <t>vec_young_biomass_c_ag_starting</t>
  </si>
  <si>
    <t>n/af ref to arr_orig_biomass_c_ag_starting</t>
  </si>
  <si>
    <t>average stock in target land use classes</t>
  </si>
  <si>
    <t xml:space="preserve">average per area stock of target land use classes, used to restrict removals </t>
  </si>
  <si>
    <t>arr_biomass_c_average_ag_stock_in_conversion_targets</t>
  </si>
  <si>
    <t>c_stock_converted_that_remains_t0</t>
  </si>
  <si>
    <t>stock that is preserved in target land classes that are converted to (based on average)</t>
  </si>
  <si>
    <t>c_stock_converted_that_remains_t1</t>
  </si>
  <si>
    <t>c_stock_converted_that_remains_t2</t>
  </si>
  <si>
    <t>c_stock_converted_that_remains_t3</t>
  </si>
  <si>
    <t>removals from converted land</t>
  </si>
  <si>
    <t>losses</t>
  </si>
  <si>
    <t xml:space="preserve">c available from  conversion </t>
  </si>
  <si>
    <t>arr_biomass_c_removals_from_converted_land_allocation</t>
  </si>
  <si>
    <t>vec_biomass_c_removed_from_original_demanded</t>
  </si>
  <si>
    <t>demanded removals from forest left forest</t>
  </si>
  <si>
    <t>arr_young_biomass_c_ag_preserved_in_conversion_by_tp_planted (T x T)</t>
  </si>
  <si>
    <t>vec_young_biomass_c_ag_preserved_in_conversion</t>
  </si>
  <si>
    <t>arr_orig_biomass_c_ag_preserved_in_conversion</t>
  </si>
  <si>
    <t>vec_young_biomass_c_ag_available_from_conversion</t>
  </si>
  <si>
    <t>TOTAL C CONVERTED FOR COMPARISON TO LAND USE STOCK MATRIX (must use for comparing loss)</t>
  </si>
  <si>
    <t>arr_orig_biomass_c_removed_from_forests</t>
  </si>
  <si>
    <t>orig c converted</t>
  </si>
  <si>
    <t>orig biomass converted that is preserved</t>
  </si>
  <si>
    <t>allocation of removals</t>
  </si>
  <si>
    <t>vec_biomass_c_removed_from_original_unmet</t>
  </si>
  <si>
    <t>arr_biomass_c_removed_from_forests_excluding_conversion</t>
  </si>
  <si>
    <t>arr_biomass_c_bg_lost_removals</t>
  </si>
  <si>
    <t>arr_orig_frac_stock_available</t>
  </si>
  <si>
    <t>vec_total_removals_met</t>
  </si>
  <si>
    <t>vec_sf_nominal_initial</t>
  </si>
  <si>
    <t>vec_area_protected_young</t>
  </si>
  <si>
    <t>vec_biomass_c_ag_min_reqd_per_area</t>
  </si>
  <si>
    <t>arr_orig_biomass_c_ag_converted_away</t>
  </si>
  <si>
    <t>arr_orig_biomass_c_ag_average_per_area_no_ds</t>
  </si>
  <si>
    <t>arr_total_biomass_c_ag_available_from_conversion</t>
  </si>
  <si>
    <t>A_{in}(t)</t>
  </si>
  <si>
    <t>\hat{a}^{(y)}_{out}(t)</t>
  </si>
  <si>
    <t>a^{(y)}_{out}(t)</t>
  </si>
  <si>
    <t>\hat{\alpha}(t)</t>
  </si>
  <si>
    <t>arr_biomass_c_average_bg_stock_in_conversion_targets</t>
  </si>
  <si>
    <t>arr_biomass_c_total_growth</t>
  </si>
  <si>
    <t>d(t)</t>
  </si>
  <si>
    <t>\overline{Y}_{conv}(t, u)</t>
  </si>
  <si>
    <t>\overline{y}_{conv}(t)</t>
  </si>
  <si>
    <t>\underline{Y}_{conv}(t, u)</t>
  </si>
  <si>
    <t>\underline{y}_{conv}(t)</t>
  </si>
  <si>
    <t>\overline{Y}^*(t, u)</t>
  </si>
  <si>
    <t xml:space="preserve">Fractional threshold for stock loss (compared to undisturbed forest levels) below which sequestration declines. </t>
  </si>
  <si>
    <t>Area of young forest that would be converted away assuming no protection (counterfactual).</t>
  </si>
  <si>
    <t>Area of young forest converted away.</t>
  </si>
  <si>
    <t>Area of conversion into new forest land (planted or restored).</t>
  </si>
  <si>
    <t>Fraction of biomass in each forest type that's converted to another land use class that is available for use to satisfy fuelwood and harvested wood product demands.</t>
  </si>
  <si>
    <t>Total area of forest protected.</t>
  </si>
  <si>
    <t>Area of young (newly planted) forest that is protected.</t>
  </si>
  <si>
    <t>Area of remaining (from simulation initialization) forest that is protected.</t>
  </si>
  <si>
    <t>Latex Variable</t>
  </si>
  <si>
    <t>Variable Description</t>
  </si>
  <si>
    <t>arr_young_area_by_tp_planted (T x T)   [e.g., col K]</t>
  </si>
  <si>
    <t>arr_young_area_by_tp_planted_cumvals (T x T)   [e.g., col I]</t>
  </si>
  <si>
    <t>arr_young_area_by_tp_planted_drops (T x T)   [e.g., col J]</t>
  </si>
  <si>
    <t>\overline{Y}_{alloc}(t, u)</t>
  </si>
  <si>
    <t>\Psi^{(y)}(t, u)</t>
  </si>
  <si>
    <t>\overline{Y}(t, u)</t>
  </si>
  <si>
    <t>\Delta_0\overline{Y}(t, u)</t>
  </si>
  <si>
    <t>\Delta\overline{Y}(t, u)</t>
  </si>
  <si>
    <t>\underline{Y}(t, u)</t>
  </si>
  <si>
    <t>L</t>
  </si>
  <si>
    <t>A^{(y)}(t, u)</t>
  </si>
  <si>
    <t>\hat{A}^{(y)}(t, u)</t>
  </si>
  <si>
    <t>\chi(t)</t>
  </si>
  <si>
    <t>M</t>
  </si>
  <si>
    <t>\overline{y}(t)</t>
  </si>
  <si>
    <t>\Delta_0\overline{b}</t>
  </si>
  <si>
    <t>Vector (length 2) storing nominal sequestration factor (mass of biomass growth per time period) associated with forests. Used in NPP fit from integration target.</t>
  </si>
  <si>
    <t>\overline{y}_{availconv}(t)</t>
  </si>
  <si>
    <t>\overline{y}_{presconv}(t)</t>
  </si>
  <si>
    <t>\overline{Y}_{presconv}(t, u)</t>
  </si>
  <si>
    <t>r</t>
  </si>
  <si>
    <t>r_{conv}(t)</t>
  </si>
  <si>
    <t>Mass of biomass removals from converted land at time $t$.</t>
  </si>
  <si>
    <t>Matrix storing total biomass available (i.e., excluding dead storage) in original forests by type (column) excluding land converted out at time period $t$. Excludes young forests.</t>
  </si>
  <si>
    <t>u</t>
  </si>
  <si>
    <t>Vector ($T $) giving adjusted--based on availability in buffer zone--total quantity of biomass available for removals.</t>
  </si>
  <si>
    <t>\Phi_{avail}</t>
  </si>
  <si>
    <t>\Psi^{(0)}_{rmvsat}</t>
  </si>
  <si>
    <t>\underline{L}_{conv}</t>
  </si>
  <si>
    <t>\tilde{A}^{(y)}(t, u)</t>
  </si>
  <si>
    <t>\underline{L}_{rmv}(t, v)</t>
  </si>
  <si>
    <t>\overline{L}_{conv}(t, v)</t>
  </si>
  <si>
    <t>G(t, v)</t>
  </si>
  <si>
    <t>A</t>
  </si>
  <si>
    <t>a</t>
  </si>
  <si>
    <t>G</t>
  </si>
  <si>
    <t>B</t>
  </si>
  <si>
    <t>b</t>
  </si>
  <si>
    <t>d</t>
  </si>
  <si>
    <t>Y</t>
  </si>
  <si>
    <t>y</t>
  </si>
  <si>
    <t>R</t>
  </si>
  <si>
    <t>s</t>
  </si>
  <si>
    <t>Sort Class</t>
  </si>
  <si>
    <t>z:\chi</t>
  </si>
  <si>
    <t>z:\eta</t>
  </si>
  <si>
    <t>z:\alpha</t>
  </si>
  <si>
    <t>z:\gamma</t>
  </si>
  <si>
    <t>z:\delta</t>
  </si>
  <si>
    <t>z:\Psi</t>
  </si>
  <si>
    <t>z:\Phi</t>
  </si>
  <si>
    <t>\overline{Y}_{avail}(t, u)</t>
  </si>
  <si>
    <t>\tilde{\Psi}^{(0)}(t, v)</t>
  </si>
  <si>
    <t>n_tps_no_withdrawals_new_growth</t>
  </si>
  <si>
    <t>n_{wait}</t>
  </si>
  <si>
    <t>Number (integer) giving number of time periods that must pass after planting a forest to allow withdrawals.</t>
  </si>
  <si>
    <t>n</t>
  </si>
  <si>
    <t>Total of land converted away from type during time $t$. $A(0)$ is an input vector.</t>
  </si>
  <si>
    <t xml:space="preserve">Matrix ($n_T \times 2$) storing area remaining from land use type at beginning of simulation at beginning of time $t$.  </t>
  </si>
  <si>
    <t>Matrix ($n_T \times 2$) storing area of land use at beginning of time $t$. $A(0)$ is an input vector.</t>
  </si>
  <si>
    <t>Matrix ($n_T \times 2$) storing average above ground stock contained In land use classes that forests transition into; used to estimate above-ground conversion losses of stock.</t>
  </si>
  <si>
    <t>Matrix ($n_T \times 2$) soring average below ground stock contained In land use classes that forests transition into; used to estimate below-ground conversion losses of stock.</t>
  </si>
  <si>
    <t>Matrix ($n_T \times 2$) storing above ground biomass stock left from start of simulation if untouched (without degradation).</t>
  </si>
  <si>
    <t xml:space="preserve">Matrix ($n_T \times 2$) storing adjustment factor for sequestration; responds to stock level compared to steady-state level. </t>
  </si>
  <si>
    <t>Matrix ($n_T \times 2$) storing sequestration factor in original forests (as adjusted due to degradation).</t>
  </si>
  <si>
    <t>Matrix ($n_T \times 2$) storing biomass stock remaining from forests present at the start of the simulation.</t>
  </si>
  <si>
    <t>Matrix ($n_T \times 2$) storing average (mass per unit area) biomass stock remaining from forests present at the start of the simulation.</t>
  </si>
  <si>
    <t>Matrix ($n_T \times 2$) storing average (mass per unit area) biomass stock remaining from forests present at the start of the simulation \emph{excluding} dead storage.</t>
  </si>
  <si>
    <t>Matrix ($n_T \times 2$) storing total mass of biomass from original forests converted away in each time period.</t>
  </si>
  <si>
    <t>Row-stochastic matrix ($n_T \times 2$) storing allocation of removals by forest type (column) at time $t$ (row).</t>
  </si>
  <si>
    <t>Matrix ($n_T \times 2$) storing removals from original forests by type (columns), excluding conversions.</t>
  </si>
  <si>
    <t>Matrix ($n_T \times 2$) giving fraction of original forest stock available when compared to healthy (unperturbed) baseline.</t>
  </si>
  <si>
    <t>Matrix ($n_T \times 2$) giving fraction of removals satisfiable at time $t$ for forest type $v$.</t>
  </si>
  <si>
    <t>Matrix ($n_T \times 2$) giving adjusted--based on availability in buffer zone--quantity of biomass available for removals by forest type.</t>
  </si>
  <si>
    <t>Matrix ($n_T \times 2$) giving allocation of adjusted--based on availability in buffer zone--quantity of biomass available for removals by forest type.</t>
  </si>
  <si>
    <t>Matrix ($n_T \times 2$) giving total loss of below-ground biomass stock due to above-ground removals at time $t$ for forest type $v$.</t>
  </si>
  <si>
    <t>Matrix ($n_T \times 2$) giving total loss of above-ground biomass stock due to land use conversion at time $t$ for forest type $v$.</t>
  </si>
  <si>
    <t>Matrix ($n_T \times 2$) giving total loss of below-ground biomass stock due to land use conversion at time $t$ for forest type $v$.</t>
  </si>
  <si>
    <t>Matrix ($n_T \times 2$) giving total growth of above-ground biomass stock during time $t$ for forest type $v$.</t>
  </si>
  <si>
    <t>Matrix ($n_T \times n_T$) storing cumulative area in young forests at time $t$. Used to determine how much area is removed from each young forest area if conversion is applicable.</t>
  </si>
  <si>
    <t>Matrix ($n_T \times n_T$) storing how much area of young forest planted in time $t$ remains in time $u$.</t>
  </si>
  <si>
    <t>Matrix ($n_T \times n_T$) storing how much forest area in each time period (column $u$) has to be dropped due to conversion into young forests. Only applicable if all other secondary forest has been elimnated.</t>
  </si>
  <si>
    <t>Matrix ($n_T \times n_T$) storing total mass of biomass in young forests converted away in each time period by time period planted. Used to help ensure that earliest plantations are converted first.</t>
  </si>
  <si>
    <t>Matrix ($n_T \times n_T$) storing total above-ground mass of biomass preserved in each area of young forest planted by time period planted $u$.</t>
  </si>
  <si>
    <t xml:space="preserve">Matrix ($n_T \times n_T$) storing total young biomass that is converted to other (non-forest) land use types by time period planted. </t>
  </si>
  <si>
    <t>Matrix ($n_T \times n_T$) storing the sequestration factors (which come from AFOLU NPP curve estimates) for unperturbed young forests by time period planted.</t>
  </si>
  <si>
    <t>Matrix ($n_T \times n_T$) storing counterfactual for young biomass above-ground stock if untouched at time $t$ for biomass planted at time $u$.</t>
  </si>
  <si>
    <t>Matrix ($n_T \times n_T$) used to determine whether young biomass is available for harvest. Determined based on number of years of growth required to make biomass available.</t>
  </si>
  <si>
    <t>Matrix ($n_T \times n_T$) storing total above-ground mass of biomas allocated for removal in time $t$ from biomass planted at time $u$.</t>
  </si>
  <si>
    <t>Matrix ($n_T \times n_T$) used in auxialiary calculations for total above-ground mass of biomas allocated for removal in time $t$ from biomass planted at time $u$.</t>
  </si>
  <si>
    <t>Matrix ($n_T \times n_T$) storing the adjusted sequestration factors (which come from AFOLU NPP curve estimates) for forests by time period planted. Adjustments are based off of the level of average stock depletion.</t>
  </si>
  <si>
    <t>Matrix ($n_T \times n_T$) storing total above-ground biomass stock at time $t$ for young forests planted at time $u$.</t>
  </si>
  <si>
    <t>Matrix ($n_T \times n_T$) storing total below-ground biomass stock at time $t$ for young forests planted at time $u$.</t>
  </si>
  <si>
    <t xml:space="preserve">Vector ($n_T$) storing total mass of above-ground biomass in young forests converted in time $t$. </t>
  </si>
  <si>
    <t>Vector ($n_T$) storing total above-ground mass of biomass preserved in each time period.</t>
  </si>
  <si>
    <t>Vector ($n_T$) storing total biomass from conversion that is available to satisfy harvested wood product (HWP) and fuelwood (FW) demands.</t>
  </si>
  <si>
    <t>Vector ($n_T$)  storing total young biomass that is converted to other (non-forest) land use types at time $t$.</t>
  </si>
  <si>
    <t>Vector ($n_T$) storing how much biomass is available at time $t$ from young forests.</t>
  </si>
  <si>
    <t>Vector ($n_T$) storing total above-ground biomass stock in young forests at the start of time period $t$.</t>
  </si>
  <si>
    <t xml:space="preserve">Vector ($n_T$) storing demand for removals from all forests, excluding those from conversions. </t>
  </si>
  <si>
    <t>Vector ($n_T$) storing removals from original forests, excluding conversions.  Always $\leq d_{rmv}$.</t>
  </si>
  <si>
    <t>Vector ($n_T$) storing unmet demand for removals from original forests.</t>
  </si>
  <si>
    <t>Vector ($n_T$) giving total removals supplied.</t>
  </si>
  <si>
    <t>arr_frac_biomass_dead_storage</t>
  </si>
  <si>
    <t>arr_frac_biomass_buffer</t>
  </si>
  <si>
    <t>\check{\alpha}(t, v)</t>
  </si>
  <si>
    <t>\bar{\alpha}(t, v)</t>
  </si>
  <si>
    <t>Matrix ($n_T \times 2$)  storing fraction of biomass that represents dead storage. Is set in SISEPUEDE to be max of exogenous specification and amount implied by average stock in conversion targets (cannot have biomass below transition targets and remain forest).</t>
  </si>
  <si>
    <t xml:space="preserve">Matrix ($n_T \times 2$) storing fraction of biomass in buffer zone; dead storage + buffer gives the fractional threshold for slowing removals. </t>
  </si>
  <si>
    <t>written</t>
  </si>
  <si>
    <t>x</t>
  </si>
  <si>
    <t>a^{(y)}_{prot}(t)</t>
  </si>
  <si>
    <t>A_{prot}(t, v)</t>
  </si>
  <si>
    <t>A_{prot}^*(t, v)</t>
  </si>
  <si>
    <t>\Delta_0\overline{y}(u)</t>
  </si>
  <si>
    <t>Vector ($n_T$) storing the sequestration factors for young forests $u$ time periods after planting.</t>
  </si>
  <si>
    <t>vec_young_sf_curve_specification (T)</t>
  </si>
  <si>
    <t>z:\tau</t>
  </si>
  <si>
    <t>\delta</t>
  </si>
  <si>
    <t xml:space="preserve">Matrix ($n_T \times n_T$) storing the adjustment factor for young forest factors; applied to unadjusted young forest sequestration factor $R^{(y)}_0(t, u)$ based on depletion levels. </t>
  </si>
  <si>
    <t>arr_young_sf_adjustment_factor (T x T)   [e.g., col J]</t>
  </si>
  <si>
    <t>arr_young_sf_adjusted_by_tp_planted (T x T)   [e.g., col K]</t>
  </si>
  <si>
    <t>arr_young_biomass_c_stock_removal_allocation_aux (T x T)   [e.g., col G]</t>
  </si>
  <si>
    <t>arr_young_biomass_c_stock_removal_allocation (T x T)   [e.g., col H]</t>
  </si>
  <si>
    <t>\overline{y}_{avail}(t)</t>
  </si>
  <si>
    <t>R^{(0)}_{rmv}(t, v)</t>
  </si>
  <si>
    <t>R_{rmv}(t, v)</t>
  </si>
  <si>
    <t>u^{(0)}_{rmv}(t)</t>
  </si>
  <si>
    <t>d_{rmv}(t)</t>
  </si>
  <si>
    <t>\overline{Y}_{aux}(t, u)</t>
  </si>
  <si>
    <t>Matrix ($n_T \times 2$) storing removals from all forests by type (columns), excluding conversions. Removals from young secondary forests are added to those removals from original secondary forests.</t>
  </si>
  <si>
    <t>\Psi^{(0)}(t, v)</t>
  </si>
  <si>
    <t>A^*(t, v)</t>
  </si>
  <si>
    <t>A(t, v)</t>
  </si>
  <si>
    <t>A_{out}(t, v)</t>
  </si>
  <si>
    <t>\overline{\eta}(t, v)</t>
  </si>
  <si>
    <t>\underline{\eta}(t, v)</t>
  </si>
  <si>
    <t>\overline{b}^{(0)}(v)</t>
  </si>
  <si>
    <t>\overline{L}_{dcmp}(t, v)</t>
  </si>
  <si>
    <t>\underline{L}_{dcmp}(t, v)</t>
  </si>
  <si>
    <t>l</t>
  </si>
  <si>
    <t>\overline{l}^{(y)}_{dcmp}(t)</t>
  </si>
  <si>
    <t>\overline{L}^{(y)}_{dcmp}(t, u)</t>
  </si>
  <si>
    <t>Matrix ($n_T \times 2$) storing total above-ground biomass stock in all forests at the start of time period $t$.</t>
  </si>
  <si>
    <t>Matrix ($n_T \times 2$) storing total below-ground biomass stock in all forests at the start of time period $t$.</t>
  </si>
  <si>
    <t>\underline{M}(t, v)</t>
  </si>
  <si>
    <t>\overline{M}(t, v)</t>
  </si>
  <si>
    <t>\overline{\overline{B}}(t, v)</t>
  </si>
  <si>
    <t>\overline{\overline{B}}'(t, v)</t>
  </si>
  <si>
    <t>\Delta\overline{B}(t, v)</t>
  </si>
  <si>
    <t>\overline{M}_0^*(t, v)</t>
  </si>
  <si>
    <t>\overline{M}_0(t, v)</t>
  </si>
  <si>
    <t>\tau(v)</t>
  </si>
  <si>
    <t>Vector (dim $2$) storing avrage biomass stock per unit area required to be considered forest.</t>
  </si>
  <si>
    <t>\gamma(v)</t>
  </si>
  <si>
    <t xml:space="preserve">Vector (dim $2$) storing initial steady-state storage in each class. Used in integration targets for NPP curve and as initial carbon storage condition. </t>
  </si>
  <si>
    <t>Vector (dim $2$) storing ratio of below-ground carbon stock to above-ground carbon stock in each forest type.</t>
  </si>
  <si>
    <t>A^{(0)}_{out}(t, v)</t>
  </si>
  <si>
    <t>Matrix ($n_T \times 2$) storing area of mature forests that are converted away.</t>
  </si>
  <si>
    <t>arr_area_conversion_away_mature_forest</t>
  </si>
  <si>
    <t>Matrix ($n_T \times 2$) storing total mass of biomass from original forests that is preserved in conversion.</t>
  </si>
  <si>
    <t>Matrix ($n_T \times 2$) storing total mass of biomass from all forests converted away in each time period that is available for satisfying removal demands.</t>
  </si>
  <si>
    <t>\overline{M}_{conv}(t, v)</t>
  </si>
  <si>
    <t>\overline{M}_{presconv}(t, v)</t>
  </si>
  <si>
    <t>\overline{M}_{avail}(t, v)</t>
  </si>
  <si>
    <t>\overline{M}^{(0)}_{avail}(t, v)</t>
  </si>
  <si>
    <t>\tilde{M}^{(0)}_{avail}</t>
  </si>
  <si>
    <t>\Phi_{conv}(t, v)</t>
  </si>
  <si>
    <t>\overline{B}_{avail}(v)</t>
  </si>
  <si>
    <t>\tilde{m}^{(0)}</t>
  </si>
  <si>
    <t>m</t>
  </si>
  <si>
    <t>\psi^{(y)}(t)</t>
  </si>
  <si>
    <t xml:space="preserve">Vector ($n_T$) storing fraction of young removals that are available that are taken to satisfy removals _before_ original forests. If $&lt; 1$, does not negate the possibility that young forests will face removals after removals are taken from mature forests. </t>
  </si>
  <si>
    <t>vec_biomass_c_removed_from_young_post_orig</t>
  </si>
  <si>
    <t>vec_biomass_c_removals_young_priority_frac</t>
  </si>
  <si>
    <t>Vector ($n_T$) storing removals from young forests, excluding conversions, after original forests.  Always $\leq d_{rmv}$.</t>
  </si>
  <si>
    <t>r^{(y)}_{post}(t)</t>
  </si>
  <si>
    <t>r^{(0)}(t)</t>
  </si>
  <si>
    <t>r^{(y)}_{pre}(t)</t>
  </si>
  <si>
    <t>Vector ($n_T$) storing removals from young forests, excluding conversions, before original forests.  Always $\leq d_{rmv}$.</t>
  </si>
  <si>
    <t>- NOTE: is A^*(t + 1, v)</t>
  </si>
  <si>
    <t>vec_frac_dom_dead_wood</t>
  </si>
  <si>
    <t>Fraction of biomass per time period lost to dead organic matter pool. This is estimated from the NPP fit funtion under the assumption that primary forests exist in steady state (i.e., that there is no net growth of biomass if left undistributed).</t>
  </si>
  <si>
    <t>vec_frac_biomass_ag_to_dom</t>
  </si>
  <si>
    <t>arr_young_biomass_c_loss_to_dom (T x T)</t>
  </si>
  <si>
    <t>vec_young_biomass_c_loss_to_dom (T)</t>
  </si>
  <si>
    <t>arr_biomass_c_bg_lost_dom</t>
  </si>
  <si>
    <t>arr_biomass_c_ag_lost_dom</t>
  </si>
  <si>
    <t>Matrix ($n_T \times 2$) giving total loss of above-ground biomass stock to dead organic matter pool at time $t$ for forest type $v$.</t>
  </si>
  <si>
    <t>Matrix ($n_T \times 2$) giving total loss of below-ground biomass stock to dead organic matter pool at time $t$ for forest type $v$.</t>
  </si>
  <si>
    <t>Matrix ($n_T \times n_T$) storing the loss of biomass in young forests to dead organic pool. Loss rates are determined as a function of the NPP curve and an assumption that primary forests are in steady state.</t>
  </si>
  <si>
    <t xml:space="preserve">Vector ($n_T$) storing the total loss of biomass in young forests to dead organic pool. </t>
  </si>
  <si>
    <t xml:space="preserve">Fraction of dead organic matter that is dead wood vs. litter. </t>
  </si>
  <si>
    <t>\delta_{dw}</t>
  </si>
  <si>
    <t>vec_frac_dw_removed</t>
  </si>
  <si>
    <t>Input</t>
  </si>
  <si>
    <t>\chi_{dw}(t)</t>
  </si>
  <si>
    <t>Maximum fraction of dead wood available that is actually removed.</t>
  </si>
  <si>
    <t>Vector ($n_T$) storing demand for removals from all forests, excluding those from conversions, and dead wood.</t>
  </si>
  <si>
    <t>d_{noconv}(t)</t>
  </si>
  <si>
    <t>vec_biomass_c_removals_demanded_excluding_conversion</t>
  </si>
  <si>
    <t>vec_biomass_c_removed_from_dw</t>
  </si>
  <si>
    <t>r_{dw}(t, v)</t>
  </si>
  <si>
    <t>Vector ($n_T$) storing total removals from dead wood in DOM (deadwood/litter) pool.</t>
  </si>
  <si>
    <t>z:\psi</t>
  </si>
  <si>
    <t xml:space="preserve">vec_biomass_c_removed_from_young_pre_orig </t>
  </si>
  <si>
    <t>vec_biomass_c_removals_demanded_from_forest</t>
  </si>
  <si>
    <t>vec_biomass_c_removed_from_converted</t>
  </si>
  <si>
    <t>vec_removals_behavioral_response_factor</t>
  </si>
  <si>
    <t>vec_removals_fraction_satisfiable_from_dw</t>
  </si>
  <si>
    <t>vec_total_removals_demanded_adjusted</t>
  </si>
  <si>
    <t>z:\beta</t>
  </si>
  <si>
    <t>\beta(t)</t>
  </si>
  <si>
    <t>Vector ($n_T$) storing adjustment to demands in response to behaviorial change. Depends on $\beta(t)$.</t>
  </si>
  <si>
    <t>Vector ($n_T$) storing fraction demand removals that can be satisfied from the deadwood pool. For example, harvested wood products may not be satisiable from the deadwood pool, where fuelwoods may be.</t>
  </si>
  <si>
    <t>vec_total_removals_demanded_adjustment_factor</t>
  </si>
  <si>
    <t>\omega(t)</t>
  </si>
  <si>
    <t>z:\omega</t>
  </si>
  <si>
    <t>\psi_d(t)</t>
  </si>
  <si>
    <t>\hat{d}(t)</t>
  </si>
  <si>
    <t>Total exogenously specified biomass (mass units) removals needed to satisfy fuelwood and harvested wood products demands.</t>
  </si>
  <si>
    <t>Total biomass (mass units) removals needed to satisfy fuelwood and harvested wood products demands, adjusted endogenously based on behavior changes.</t>
  </si>
  <si>
    <t>s(t)</t>
  </si>
  <si>
    <t>Vector ($n_T$)  storing removal behavioral adjustment factor (RBAF). Unmet demand from removals could lead to reductions in demand going forward as consumers switch to different fuels. The behavioral adjustment factor allows this behavior to be reflected in changes to demands. A value of $\beta = 1$ means that shifts incurred in the previous time period are totally adopted, while a value of $\beta = 0$ means that exogenous demands remain.</t>
  </si>
  <si>
    <t>x1</t>
  </si>
  <si>
    <t>Vector (dim $2$) storing available stock factor per unit area in healthy forest, or carbon carrying capacity stock factor. Used to determine when average stocks fall below thresholds.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</si>
</sst>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rgb="FF000000"/>
      <name val="Aptos Narrow"/>
      <family val="2"/>
      <scheme val="minor"/>
    </font>
    <font>
      <b/>
      <sz val="12"/>
      <color theme="1"/>
      <name val="Aptos Narrow"/>
      <scheme val="minor"/>
    </font>
    <font>
      <b/>
      <sz val="12"/>
      <color theme="0"/>
      <name val="Aptos Narrow"/>
      <scheme val="minor"/>
    </font>
    <font>
      <sz val="12"/>
      <color theme="1"/>
      <name val="Aptos Narrow"/>
      <scheme val="minor"/>
    </font>
    <font>
      <sz val="8"/>
      <name val="Aptos Narrow"/>
      <family val="2"/>
      <scheme val="minor"/>
    </font>
    <font>
      <b/>
      <sz val="12"/>
      <color rgb="FFFFFFFF"/>
      <name val="Aptos Narrow"/>
      <scheme val="minor"/>
    </font>
  </fonts>
  <fills count="1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2" tint="-0.89999084444715716"/>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44B3E1"/>
        <bgColor rgb="FF000000"/>
      </patternFill>
    </fill>
    <fill>
      <patternFill patternType="solid">
        <fgColor theme="3" tint="9.9978637043366805E-2"/>
        <bgColor indexed="64"/>
      </patternFill>
    </fill>
    <fill>
      <patternFill patternType="solid">
        <fgColor theme="1"/>
        <bgColor indexed="64"/>
      </patternFill>
    </fill>
    <fill>
      <patternFill patternType="solid">
        <fgColor theme="6" tint="-0.249977111117893"/>
        <bgColor indexed="64"/>
      </patternFill>
    </fill>
    <fill>
      <patternFill patternType="solid">
        <fgColor rgb="FF12501A"/>
        <bgColor rgb="FF000000"/>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63">
    <xf numFmtId="0" fontId="0" fillId="0" borderId="0" xfId="0"/>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0" fillId="2" borderId="0" xfId="0" applyFill="1" applyAlignment="1">
      <alignment horizontal="center" vertical="center"/>
    </xf>
    <xf numFmtId="0" fontId="0" fillId="3" borderId="0" xfId="0" applyFill="1" applyAlignment="1">
      <alignment horizontal="center" vertical="center"/>
    </xf>
    <xf numFmtId="0" fontId="1" fillId="3" borderId="0" xfId="0" applyFont="1" applyFill="1" applyAlignment="1">
      <alignment horizontal="center"/>
    </xf>
    <xf numFmtId="0" fontId="0" fillId="3" borderId="0" xfId="0" applyFill="1"/>
    <xf numFmtId="0" fontId="0" fillId="4" borderId="0" xfId="0" applyFill="1" applyAlignment="1">
      <alignment horizontal="center" vertical="center"/>
    </xf>
    <xf numFmtId="0" fontId="0" fillId="4" borderId="0" xfId="0" applyFill="1" applyAlignment="1">
      <alignment horizontal="center"/>
    </xf>
    <xf numFmtId="0" fontId="0" fillId="3" borderId="0" xfId="0" applyFill="1" applyAlignment="1">
      <alignment horizontal="right" wrapText="1"/>
    </xf>
    <xf numFmtId="0" fontId="3" fillId="5" borderId="0" xfId="0" applyFont="1" applyFill="1" applyAlignment="1">
      <alignment horizontal="right" wrapText="1"/>
    </xf>
    <xf numFmtId="0" fontId="0" fillId="5" borderId="0" xfId="0" applyFill="1" applyAlignment="1">
      <alignment horizontal="center" vertical="center"/>
    </xf>
    <xf numFmtId="0" fontId="3" fillId="3" borderId="0" xfId="0" applyFont="1" applyFill="1" applyAlignment="1">
      <alignment horizontal="right" wrapText="1"/>
    </xf>
    <xf numFmtId="0" fontId="4" fillId="3" borderId="0" xfId="0" applyFont="1" applyFill="1" applyAlignment="1">
      <alignment horizontal="right" wrapText="1"/>
    </xf>
    <xf numFmtId="0" fontId="2" fillId="4" borderId="0" xfId="0" applyFont="1" applyFill="1" applyAlignment="1">
      <alignment horizontal="right" wrapText="1"/>
    </xf>
    <xf numFmtId="0" fontId="2" fillId="3" borderId="0" xfId="0" applyFont="1" applyFill="1" applyAlignment="1">
      <alignment vertical="center"/>
    </xf>
    <xf numFmtId="0" fontId="0" fillId="3" borderId="0" xfId="0" applyFill="1" applyAlignment="1">
      <alignment vertical="center"/>
    </xf>
    <xf numFmtId="0" fontId="2" fillId="3" borderId="0" xfId="0" applyFont="1" applyFill="1" applyAlignment="1">
      <alignment horizontal="center" vertical="center"/>
    </xf>
    <xf numFmtId="0" fontId="0" fillId="2" borderId="0" xfId="0" applyFill="1"/>
    <xf numFmtId="0" fontId="2" fillId="4" borderId="0" xfId="0" applyFont="1" applyFill="1" applyAlignment="1">
      <alignment horizontal="center" vertical="center"/>
    </xf>
    <xf numFmtId="0" fontId="2" fillId="4" borderId="0" xfId="0" applyFont="1" applyFill="1"/>
    <xf numFmtId="0" fontId="0" fillId="3" borderId="0" xfId="0" applyFill="1" applyAlignment="1">
      <alignment horizontal="center" vertical="center" wrapText="1"/>
    </xf>
    <xf numFmtId="0" fontId="3" fillId="6" borderId="0" xfId="0" applyFont="1" applyFill="1" applyAlignment="1">
      <alignment horizontal="right"/>
    </xf>
    <xf numFmtId="0" fontId="3" fillId="6" borderId="0" xfId="0" applyFont="1" applyFill="1" applyAlignment="1">
      <alignment horizontal="right" vertical="center"/>
    </xf>
    <xf numFmtId="0" fontId="0" fillId="3" borderId="0" xfId="0" applyFill="1" applyAlignment="1">
      <alignment horizontal="right" vertical="center" wrapText="1"/>
    </xf>
    <xf numFmtId="0" fontId="0" fillId="3" borderId="0" xfId="0" applyFill="1" applyAlignment="1">
      <alignment vertical="center" wrapText="1"/>
    </xf>
    <xf numFmtId="0" fontId="3" fillId="6" borderId="0" xfId="0" applyFont="1" applyFill="1" applyAlignment="1">
      <alignment horizontal="center" vertical="center"/>
    </xf>
    <xf numFmtId="0" fontId="3" fillId="9" borderId="0" xfId="0" applyFont="1" applyFill="1" applyAlignment="1">
      <alignment horizontal="center" vertical="center"/>
    </xf>
    <xf numFmtId="0" fontId="3" fillId="6" borderId="0" xfId="0" applyFont="1" applyFill="1" applyAlignment="1">
      <alignment horizontal="right" vertical="center" wrapText="1"/>
    </xf>
    <xf numFmtId="0" fontId="3" fillId="6" borderId="0" xfId="0" applyFont="1" applyFill="1" applyAlignment="1">
      <alignment horizontal="center" vertical="center" wrapText="1"/>
    </xf>
    <xf numFmtId="0" fontId="3" fillId="7" borderId="0" xfId="0" applyFont="1" applyFill="1" applyAlignment="1">
      <alignment horizontal="center" vertical="center"/>
    </xf>
    <xf numFmtId="0" fontId="6" fillId="10" borderId="0" xfId="0" applyFont="1" applyFill="1" applyAlignment="1">
      <alignment horizontal="center" vertical="center"/>
    </xf>
    <xf numFmtId="0" fontId="3" fillId="8" borderId="0" xfId="0" applyFont="1" applyFill="1" applyAlignment="1">
      <alignment horizontal="center" vertical="center"/>
    </xf>
    <xf numFmtId="0" fontId="3" fillId="11" borderId="0" xfId="0" applyFont="1" applyFill="1" applyAlignment="1">
      <alignment horizontal="center" vertical="center"/>
    </xf>
    <xf numFmtId="0" fontId="3" fillId="12" borderId="0" xfId="0" applyFont="1" applyFill="1" applyAlignment="1">
      <alignment horizontal="center" vertical="center"/>
    </xf>
    <xf numFmtId="0" fontId="3" fillId="12" borderId="0" xfId="0" applyFont="1" applyFill="1"/>
    <xf numFmtId="0" fontId="3" fillId="13" borderId="0" xfId="0" applyFont="1" applyFill="1" applyAlignment="1">
      <alignment horizontal="right" vertical="center" wrapText="1"/>
    </xf>
    <xf numFmtId="0" fontId="3" fillId="13" borderId="0" xfId="0" applyFont="1" applyFill="1" applyAlignment="1">
      <alignment horizontal="right" vertical="center"/>
    </xf>
    <xf numFmtId="0" fontId="6" fillId="14" borderId="0" xfId="0" applyFont="1" applyFill="1" applyAlignment="1">
      <alignment horizontal="right" vertical="center"/>
    </xf>
    <xf numFmtId="0" fontId="3" fillId="6" borderId="0" xfId="0" applyFont="1" applyFill="1" applyAlignment="1">
      <alignment vertical="center"/>
    </xf>
    <xf numFmtId="0" fontId="3" fillId="13" borderId="0" xfId="0" applyFont="1" applyFill="1" applyAlignment="1">
      <alignment vertical="center" wrapText="1"/>
    </xf>
    <xf numFmtId="0" fontId="3" fillId="13" borderId="0" xfId="0" applyFont="1" applyFill="1" applyAlignment="1">
      <alignment vertical="center"/>
    </xf>
    <xf numFmtId="0" fontId="3" fillId="13" borderId="0" xfId="0" applyFont="1" applyFill="1" applyAlignment="1">
      <alignment horizontal="center" vertical="center"/>
    </xf>
    <xf numFmtId="0" fontId="6" fillId="14" borderId="0" xfId="0" applyFont="1" applyFill="1" applyAlignment="1">
      <alignment horizontal="center" vertical="center"/>
    </xf>
    <xf numFmtId="0" fontId="3" fillId="13" borderId="0" xfId="0" applyFont="1" applyFill="1" applyAlignment="1">
      <alignment horizontal="right"/>
    </xf>
    <xf numFmtId="0" fontId="3" fillId="13" borderId="0" xfId="0" applyFont="1" applyFill="1" applyAlignment="1">
      <alignment horizontal="left" vertical="center"/>
    </xf>
    <xf numFmtId="0" fontId="3" fillId="0" borderId="0" xfId="0" applyFont="1" applyAlignment="1">
      <alignment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3" fillId="15" borderId="0" xfId="0" applyFont="1" applyFill="1" applyAlignment="1">
      <alignment horizontal="center" vertical="center"/>
    </xf>
    <xf numFmtId="0" fontId="3" fillId="13" borderId="0" xfId="0" quotePrefix="1" applyFont="1" applyFill="1" applyAlignment="1">
      <alignment vertical="center"/>
    </xf>
    <xf numFmtId="0" fontId="3" fillId="13" borderId="0" xfId="0" applyFont="1" applyFill="1" applyAlignment="1">
      <alignment horizontal="right" vertical="center" wrapText="1"/>
    </xf>
    <xf numFmtId="0" fontId="3" fillId="9" borderId="0" xfId="0" applyFont="1" applyFill="1" applyAlignment="1">
      <alignment horizontal="center" vertical="center"/>
    </xf>
    <xf numFmtId="0" fontId="3" fillId="13" borderId="0" xfId="0" applyFont="1" applyFill="1" applyAlignment="1">
      <alignment horizontal="right" vertical="center"/>
    </xf>
    <xf numFmtId="0" fontId="0" fillId="3" borderId="0" xfId="0" applyFill="1" applyAlignment="1">
      <alignment horizontal="center" vertical="center" wrapText="1"/>
    </xf>
    <xf numFmtId="0" fontId="2" fillId="4" borderId="0" xfId="0" applyFont="1" applyFill="1" applyAlignment="1">
      <alignment horizontal="center"/>
    </xf>
    <xf numFmtId="0" fontId="0" fillId="3" borderId="0" xfId="0" applyFill="1" applyAlignment="1">
      <alignment horizontal="center" vertical="center"/>
    </xf>
    <xf numFmtId="0" fontId="2" fillId="4" borderId="0" xfId="0" applyFont="1" applyFill="1" applyAlignment="1">
      <alignment horizontal="center" vertic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682B-8E9E-524B-A713-F464F2F373DE}">
  <dimension ref="A1:L22"/>
  <sheetViews>
    <sheetView workbookViewId="0">
      <selection activeCell="F11" sqref="F11"/>
    </sheetView>
  </sheetViews>
  <sheetFormatPr baseColWidth="10" defaultRowHeight="16" x14ac:dyDescent="0.2"/>
  <cols>
    <col min="1" max="1" width="31.33203125" customWidth="1"/>
    <col min="2" max="2" width="17.6640625" bestFit="1" customWidth="1"/>
    <col min="3" max="3" width="19.83203125" bestFit="1" customWidth="1"/>
    <col min="4" max="4" width="15.6640625" bestFit="1" customWidth="1"/>
    <col min="5" max="5" width="19.83203125" bestFit="1" customWidth="1"/>
    <col min="6" max="6" width="20" bestFit="1" customWidth="1"/>
    <col min="7" max="7" width="22.33203125" bestFit="1" customWidth="1"/>
    <col min="8" max="8" width="20.5" bestFit="1" customWidth="1"/>
    <col min="9" max="9" width="22.83203125" bestFit="1" customWidth="1"/>
    <col min="10" max="10" width="14.6640625" customWidth="1"/>
  </cols>
  <sheetData>
    <row r="1" spans="1:12" x14ac:dyDescent="0.2">
      <c r="L1" t="s">
        <v>6</v>
      </c>
    </row>
    <row r="3" spans="1:12" x14ac:dyDescent="0.2">
      <c r="B3">
        <v>0</v>
      </c>
    </row>
    <row r="4" spans="1:12" x14ac:dyDescent="0.2">
      <c r="A4" t="s">
        <v>0</v>
      </c>
      <c r="B4">
        <v>100</v>
      </c>
    </row>
    <row r="5" spans="1:12" x14ac:dyDescent="0.2">
      <c r="A5" t="s">
        <v>1</v>
      </c>
      <c r="B5">
        <v>35</v>
      </c>
    </row>
    <row r="6" spans="1:12" x14ac:dyDescent="0.2">
      <c r="A6" t="s">
        <v>8</v>
      </c>
      <c r="B6">
        <v>100000</v>
      </c>
    </row>
    <row r="7" spans="1:12" x14ac:dyDescent="0.2">
      <c r="A7" t="s">
        <v>9</v>
      </c>
      <c r="B7">
        <v>400000</v>
      </c>
    </row>
    <row r="8" spans="1:12" x14ac:dyDescent="0.2">
      <c r="A8" t="s">
        <v>2</v>
      </c>
      <c r="B8">
        <v>0.1</v>
      </c>
      <c r="F8" t="s">
        <v>16</v>
      </c>
    </row>
    <row r="9" spans="1:12" x14ac:dyDescent="0.2">
      <c r="A9" t="s">
        <v>3</v>
      </c>
      <c r="B9">
        <v>0.5</v>
      </c>
      <c r="F9" t="s">
        <v>17</v>
      </c>
    </row>
    <row r="10" spans="1:12" x14ac:dyDescent="0.2">
      <c r="A10" t="s">
        <v>4</v>
      </c>
      <c r="B10">
        <v>10</v>
      </c>
      <c r="F10" t="s">
        <v>18</v>
      </c>
    </row>
    <row r="11" spans="1:12" x14ac:dyDescent="0.2">
      <c r="A11" t="s">
        <v>5</v>
      </c>
      <c r="B11">
        <v>6</v>
      </c>
    </row>
    <row r="12" spans="1:12" x14ac:dyDescent="0.2">
      <c r="A12" t="s">
        <v>7</v>
      </c>
      <c r="B12">
        <v>4000</v>
      </c>
    </row>
    <row r="13" spans="1:12" x14ac:dyDescent="0.2">
      <c r="A13" t="s">
        <v>10</v>
      </c>
      <c r="B13">
        <v>0.5</v>
      </c>
    </row>
    <row r="17" spans="1:2" x14ac:dyDescent="0.2">
      <c r="A17" t="s">
        <v>11</v>
      </c>
      <c r="B17">
        <f>B10*B4</f>
        <v>1000</v>
      </c>
    </row>
    <row r="18" spans="1:2" x14ac:dyDescent="0.2">
      <c r="A18" t="s">
        <v>12</v>
      </c>
      <c r="B18">
        <f>B11*B5</f>
        <v>210</v>
      </c>
    </row>
    <row r="19" spans="1:2" x14ac:dyDescent="0.2">
      <c r="A19" t="s">
        <v>13</v>
      </c>
      <c r="B19">
        <f>B13*(B17+B18)</f>
        <v>605</v>
      </c>
    </row>
    <row r="20" spans="1:2" x14ac:dyDescent="0.2">
      <c r="A20" t="s">
        <v>14</v>
      </c>
      <c r="B20">
        <f>B4*(B6-B10)+B5*(B7-B11)</f>
        <v>23998790</v>
      </c>
    </row>
    <row r="22" spans="1:2" x14ac:dyDescent="0.2">
      <c r="A22" t="s">
        <v>15</v>
      </c>
      <c r="B22">
        <v>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B73C-8C04-4845-96FD-F75302BA5D7D}">
  <dimension ref="A1:AX31"/>
  <sheetViews>
    <sheetView topLeftCell="M1" workbookViewId="0">
      <selection activeCell="W5" sqref="W5"/>
    </sheetView>
  </sheetViews>
  <sheetFormatPr baseColWidth="10" defaultRowHeight="16" x14ac:dyDescent="0.2"/>
  <cols>
    <col min="1" max="1" width="7.33203125" style="3" bestFit="1" customWidth="1"/>
    <col min="2" max="2" width="9.5" style="3" bestFit="1" customWidth="1"/>
    <col min="3" max="3" width="7.33203125" style="2" bestFit="1" customWidth="1"/>
    <col min="4" max="4" width="9.5" style="2" bestFit="1" customWidth="1"/>
    <col min="5" max="5" width="13.33203125" style="2" customWidth="1"/>
    <col min="6" max="6" width="7.33203125" style="3" bestFit="1" customWidth="1"/>
    <col min="7" max="7" width="9.5" style="3" bestFit="1" customWidth="1"/>
    <col min="8" max="8" width="17.6640625" style="2" customWidth="1"/>
    <col min="9" max="9" width="12.83203125" style="2" customWidth="1"/>
    <col min="10" max="10" width="14.1640625" style="3" customWidth="1"/>
    <col min="11" max="11" width="10.83203125" style="3"/>
    <col min="12" max="13" width="13.1640625" style="4" customWidth="1"/>
    <col min="14" max="14" width="14.33203125" style="5" bestFit="1" customWidth="1"/>
    <col min="15" max="15" width="10.6640625" style="5" bestFit="1" customWidth="1"/>
    <col min="16" max="16" width="8.1640625" style="5" customWidth="1"/>
    <col min="17" max="17" width="9.5" style="5" bestFit="1" customWidth="1"/>
    <col min="18" max="20" width="12.1640625" style="4" customWidth="1"/>
    <col min="21" max="22" width="12.1640625" style="8" customWidth="1"/>
    <col min="23" max="24" width="12.1640625" style="4" customWidth="1"/>
    <col min="25" max="25" width="15.83203125" style="4" customWidth="1"/>
    <col min="26" max="27" width="15.83203125" style="5" customWidth="1"/>
    <col min="28" max="28" width="12.1640625" style="4" customWidth="1"/>
    <col min="29" max="33" width="10.83203125" style="3"/>
    <col min="34" max="34" width="15.1640625" style="3" customWidth="1"/>
    <col min="35" max="39" width="10.83203125" style="3"/>
    <col min="40" max="40" width="23.5" style="3" customWidth="1"/>
    <col min="41" max="41" width="4.33203125" customWidth="1"/>
    <col min="48" max="48" width="4.1640625" customWidth="1"/>
    <col min="50" max="50" width="9.1640625" customWidth="1"/>
    <col min="51" max="51" width="3.33203125" customWidth="1"/>
  </cols>
  <sheetData>
    <row r="1" spans="1:50" x14ac:dyDescent="0.2">
      <c r="A1" s="59" t="s">
        <v>23</v>
      </c>
      <c r="B1" s="59"/>
      <c r="C1" s="60" t="s">
        <v>26</v>
      </c>
      <c r="D1" s="60"/>
      <c r="E1" s="60"/>
      <c r="F1" s="59" t="s">
        <v>30</v>
      </c>
      <c r="G1" s="59"/>
      <c r="H1" s="60" t="s">
        <v>27</v>
      </c>
      <c r="I1" s="60"/>
      <c r="J1" s="59" t="s">
        <v>28</v>
      </c>
      <c r="K1" s="59"/>
      <c r="L1" s="61" t="s">
        <v>29</v>
      </c>
      <c r="M1" s="61"/>
      <c r="N1" s="57" t="s">
        <v>31</v>
      </c>
      <c r="O1" s="57"/>
      <c r="P1" s="57"/>
      <c r="Q1" s="57"/>
      <c r="R1" s="61" t="s">
        <v>48</v>
      </c>
      <c r="S1" s="61"/>
      <c r="T1" s="61"/>
      <c r="U1" s="62" t="s">
        <v>44</v>
      </c>
      <c r="V1" s="62"/>
      <c r="W1" s="4" t="s">
        <v>46</v>
      </c>
      <c r="X1" s="4" t="s">
        <v>47</v>
      </c>
      <c r="AC1" s="59" t="s">
        <v>36</v>
      </c>
      <c r="AD1" s="59"/>
      <c r="AE1" s="59"/>
      <c r="AF1" s="59"/>
      <c r="AG1" s="59"/>
      <c r="AH1" s="59"/>
      <c r="AI1" s="7" t="s">
        <v>37</v>
      </c>
      <c r="AJ1" s="1"/>
      <c r="AK1" s="1"/>
      <c r="AL1" s="1"/>
      <c r="AM1" s="1"/>
      <c r="AN1"/>
      <c r="AP1" t="s">
        <v>33</v>
      </c>
      <c r="AQ1" t="s">
        <v>38</v>
      </c>
      <c r="AR1" t="s">
        <v>41</v>
      </c>
    </row>
    <row r="2" spans="1:50" x14ac:dyDescent="0.2">
      <c r="A2" s="3" t="s">
        <v>24</v>
      </c>
      <c r="B2" s="3" t="s">
        <v>25</v>
      </c>
      <c r="C2" s="2" t="s">
        <v>24</v>
      </c>
      <c r="D2" s="2" t="s">
        <v>25</v>
      </c>
      <c r="E2" s="2" t="s">
        <v>42</v>
      </c>
      <c r="F2" s="3" t="s">
        <v>24</v>
      </c>
      <c r="G2" s="3" t="s">
        <v>25</v>
      </c>
      <c r="H2" s="2" t="s">
        <v>24</v>
      </c>
      <c r="I2" s="2" t="s">
        <v>25</v>
      </c>
      <c r="J2" s="3" t="s">
        <v>24</v>
      </c>
      <c r="K2" s="3" t="s">
        <v>25</v>
      </c>
      <c r="L2" s="4" t="s">
        <v>24</v>
      </c>
      <c r="M2" s="4" t="s">
        <v>25</v>
      </c>
      <c r="N2" s="5" t="s">
        <v>32</v>
      </c>
      <c r="O2" s="5" t="s">
        <v>50</v>
      </c>
      <c r="P2" s="5" t="s">
        <v>24</v>
      </c>
      <c r="Q2" s="5" t="s">
        <v>25</v>
      </c>
      <c r="R2" s="4" t="s">
        <v>24</v>
      </c>
      <c r="S2" s="4" t="s">
        <v>25</v>
      </c>
      <c r="T2" s="4" t="s">
        <v>45</v>
      </c>
      <c r="U2" s="8" t="s">
        <v>43</v>
      </c>
      <c r="V2" s="8" t="s">
        <v>39</v>
      </c>
      <c r="X2" s="4" t="s">
        <v>24</v>
      </c>
      <c r="Y2" s="4" t="s">
        <v>25</v>
      </c>
      <c r="AA2" s="5" t="s">
        <v>49</v>
      </c>
      <c r="AB2" s="4" t="s">
        <v>40</v>
      </c>
      <c r="AC2" s="3" t="s">
        <v>19</v>
      </c>
      <c r="AD2" s="3" t="s">
        <v>20</v>
      </c>
      <c r="AE2" s="3" t="s">
        <v>21</v>
      </c>
      <c r="AF2" s="3" t="s">
        <v>34</v>
      </c>
      <c r="AG2" s="3" t="s">
        <v>35</v>
      </c>
      <c r="AH2" s="3" t="s">
        <v>22</v>
      </c>
      <c r="AI2" s="3" t="s">
        <v>19</v>
      </c>
      <c r="AJ2" s="3" t="s">
        <v>20</v>
      </c>
      <c r="AK2" s="3" t="s">
        <v>21</v>
      </c>
      <c r="AL2" s="3" t="s">
        <v>34</v>
      </c>
      <c r="AM2" s="3" t="s">
        <v>35</v>
      </c>
      <c r="AN2" s="3" t="s">
        <v>22</v>
      </c>
      <c r="AP2">
        <v>0</v>
      </c>
      <c r="AQ2">
        <f>SUM(AP$2:AP2)</f>
        <v>0</v>
      </c>
      <c r="AR2">
        <v>20</v>
      </c>
    </row>
    <row r="3" spans="1:50" x14ac:dyDescent="0.2">
      <c r="A3" s="3">
        <v>10000</v>
      </c>
      <c r="B3" s="3">
        <v>250000</v>
      </c>
      <c r="C3" s="2">
        <v>50</v>
      </c>
      <c r="D3" s="2">
        <v>100</v>
      </c>
      <c r="E3" s="2">
        <v>0.7</v>
      </c>
      <c r="F3" s="3">
        <v>150</v>
      </c>
      <c r="G3" s="3">
        <v>100</v>
      </c>
      <c r="H3" s="2">
        <v>5000</v>
      </c>
      <c r="I3" s="2">
        <v>50000</v>
      </c>
      <c r="J3" s="3">
        <v>1</v>
      </c>
      <c r="K3" s="3">
        <v>3</v>
      </c>
      <c r="L3" s="4">
        <f>A3</f>
        <v>10000</v>
      </c>
      <c r="M3" s="4">
        <f>B3</f>
        <v>250000</v>
      </c>
      <c r="N3" s="5">
        <v>1000000</v>
      </c>
      <c r="O3" s="5">
        <f>INT(Z3&gt;T3)*MIN(N3,W3)</f>
        <v>1000000</v>
      </c>
      <c r="P3" s="5">
        <f>$O3*R3/($R3+$S3)</f>
        <v>36144.578313253012</v>
      </c>
      <c r="Q3" s="5">
        <f>$O3*S3/($R3+$S3)</f>
        <v>963855.42168674699</v>
      </c>
      <c r="R3" s="2">
        <f>MAX(L3-H3,0)*F$3</f>
        <v>750000</v>
      </c>
      <c r="S3" s="2">
        <f>MAX(M3-I3, 0)*G$3</f>
        <v>20000000</v>
      </c>
      <c r="T3" s="2">
        <v>0.3</v>
      </c>
      <c r="U3" s="9">
        <f>(C3*F3 + D3*G3)*E3</f>
        <v>12250</v>
      </c>
      <c r="V3" s="9">
        <f>IF(AB3&gt;$AR$2,AI3)+IF(AB3&gt;$AR$2+1,AJ3)+IF(AB3&gt;$AR$2+2,AK3)+IF(AB3&gt;$AR$2+3,AL3)+IF(AB3&gt;$AR$2+4,AM3)</f>
        <v>0</v>
      </c>
      <c r="W3" s="2">
        <f>(X3+Y3)*(1-T3)+U3</f>
        <v>14537250</v>
      </c>
      <c r="X3" s="2">
        <f>R3</f>
        <v>750000</v>
      </c>
      <c r="Y3" s="2">
        <f>S3</f>
        <v>20000000</v>
      </c>
      <c r="Z3" s="3">
        <v>1</v>
      </c>
      <c r="AA3" s="3">
        <v>1</v>
      </c>
      <c r="AB3" s="2">
        <v>0</v>
      </c>
      <c r="AC3" s="3">
        <v>0</v>
      </c>
      <c r="AD3" s="3">
        <v>0</v>
      </c>
      <c r="AE3" s="3">
        <v>0</v>
      </c>
      <c r="AF3" s="3">
        <v>0</v>
      </c>
      <c r="AG3" s="3">
        <v>0</v>
      </c>
      <c r="AI3" s="3">
        <f t="shared" ref="AI3:AN3" si="0">AC3*$AQ2</f>
        <v>0</v>
      </c>
      <c r="AJ3" s="3">
        <f t="shared" si="0"/>
        <v>0</v>
      </c>
      <c r="AK3" s="3">
        <f t="shared" si="0"/>
        <v>0</v>
      </c>
      <c r="AL3" s="3">
        <f t="shared" si="0"/>
        <v>0</v>
      </c>
      <c r="AM3" s="3">
        <f t="shared" si="0"/>
        <v>0</v>
      </c>
      <c r="AN3" s="3">
        <f t="shared" si="0"/>
        <v>0</v>
      </c>
      <c r="AP3">
        <v>0.01</v>
      </c>
      <c r="AQ3">
        <f>SUM(AP$2:AP3)</f>
        <v>0.01</v>
      </c>
      <c r="AR3">
        <v>20</v>
      </c>
      <c r="AW3" s="5">
        <v>4000000</v>
      </c>
      <c r="AX3">
        <f>ROUND(AW3/4,0)</f>
        <v>1000000</v>
      </c>
    </row>
    <row r="4" spans="1:50" x14ac:dyDescent="0.2">
      <c r="C4" s="2">
        <v>50</v>
      </c>
      <c r="D4" s="2">
        <v>100</v>
      </c>
      <c r="E4" s="2">
        <v>0.7</v>
      </c>
      <c r="F4" s="3">
        <f>F$3*Z4</f>
        <v>146.22331751247413</v>
      </c>
      <c r="G4" s="3">
        <f>G$3*AA4</f>
        <v>98.978712247690112</v>
      </c>
      <c r="H4" s="2">
        <v>5000</v>
      </c>
      <c r="I4" s="2">
        <v>50000</v>
      </c>
      <c r="J4" s="3">
        <f>J$3*Z4</f>
        <v>0.97482211674982755</v>
      </c>
      <c r="K4" s="3">
        <f>K$3*AA4</f>
        <v>2.9693613674307033</v>
      </c>
      <c r="L4" s="4">
        <f>MAX(L3-C3,H3)</f>
        <v>9950</v>
      </c>
      <c r="M4" s="4">
        <f>MAX(M3-D3,I3)</f>
        <v>249900</v>
      </c>
      <c r="N4" s="5">
        <v>1025000</v>
      </c>
      <c r="O4" s="5">
        <f>INT(Z4&gt;T4)*MIN(N4,W4)</f>
        <v>1025000</v>
      </c>
      <c r="P4" s="5">
        <f t="shared" ref="P4:P5" si="1">$O4*R4/($R4+$S4)</f>
        <v>36708.669962619075</v>
      </c>
      <c r="Q4" s="5">
        <f t="shared" ref="Q4:Q7" si="2">$O4*S4/($R4+$S4)</f>
        <v>988291.33003738092</v>
      </c>
      <c r="R4" s="2">
        <f>MAX(L4-H4,0)*F$3</f>
        <v>742500</v>
      </c>
      <c r="S4" s="2">
        <f>MAX(M4-I4, 0)*G$3</f>
        <v>19990000</v>
      </c>
      <c r="T4" s="2">
        <v>0.3</v>
      </c>
      <c r="U4" s="9">
        <f t="shared" ref="U4:U30" si="3">(C4*F4 + D4*G4)*E4</f>
        <v>12046.325970274902</v>
      </c>
      <c r="V4" s="9">
        <f t="shared" ref="V4:V30" si="4">IF(AB4&gt;$AR$2,AI4)+IF(AB4&gt;$AR$2+1,AJ4)+IF(AB4&gt;$AR$2+2,AK4)+IF(AB4&gt;$AR$2+3,AL4)+IF(AB4&gt;$AR$2+4,AM4)</f>
        <v>0</v>
      </c>
      <c r="W4" s="2">
        <f>(X4+Y4)*(1-T4)+U4</f>
        <v>14368801.325970275</v>
      </c>
      <c r="X4" s="2">
        <f>X3-P3+L4*J3</f>
        <v>723805.42168674699</v>
      </c>
      <c r="Y4" s="2">
        <f>Y3-Q3+M4*K3</f>
        <v>19785844.578313254</v>
      </c>
      <c r="Z4" s="3">
        <f>X4/R4</f>
        <v>0.97482211674982755</v>
      </c>
      <c r="AA4" s="3">
        <f>Y4/S4</f>
        <v>0.98978712247690115</v>
      </c>
      <c r="AB4" s="2">
        <v>1</v>
      </c>
      <c r="AC4" s="3">
        <v>100</v>
      </c>
      <c r="AD4" s="3">
        <v>0</v>
      </c>
      <c r="AE4" s="3">
        <v>0</v>
      </c>
      <c r="AF4" s="3">
        <v>0</v>
      </c>
      <c r="AG4" s="3">
        <v>0</v>
      </c>
      <c r="AI4" s="3">
        <f>AC4*$AQ2</f>
        <v>0</v>
      </c>
      <c r="AJ4" s="3">
        <f t="shared" ref="AJ4:AM4" si="5">AD4*$AQ2</f>
        <v>0</v>
      </c>
      <c r="AK4" s="3">
        <f t="shared" si="5"/>
        <v>0</v>
      </c>
      <c r="AL4" s="3">
        <f t="shared" si="5"/>
        <v>0</v>
      </c>
      <c r="AM4" s="3">
        <f t="shared" si="5"/>
        <v>0</v>
      </c>
      <c r="AN4" s="3">
        <f>AH4*$AQ2</f>
        <v>0</v>
      </c>
      <c r="AP4">
        <v>0.05</v>
      </c>
      <c r="AQ4">
        <f>SUM(AP$2:AP4)</f>
        <v>6.0000000000000005E-2</v>
      </c>
      <c r="AR4">
        <v>20</v>
      </c>
      <c r="AW4" s="5">
        <v>4100000</v>
      </c>
      <c r="AX4">
        <f t="shared" ref="AX4:AX30" si="6">ROUND(AW4/4,0)</f>
        <v>1025000</v>
      </c>
    </row>
    <row r="5" spans="1:50" x14ac:dyDescent="0.2">
      <c r="C5" s="2">
        <v>40</v>
      </c>
      <c r="D5" s="2">
        <v>120</v>
      </c>
      <c r="E5" s="2">
        <v>0.7</v>
      </c>
      <c r="F5" s="3">
        <f>F$3*Z5</f>
        <v>142.193365444888</v>
      </c>
      <c r="G5" s="3">
        <f t="shared" ref="G5:G30" si="7">G$3*AA5</f>
        <v>97.794292882182489</v>
      </c>
      <c r="H5" s="2">
        <v>5000</v>
      </c>
      <c r="I5" s="2">
        <v>50000</v>
      </c>
      <c r="J5" s="3">
        <f t="shared" ref="J5:J30" si="8">J$3*Z5</f>
        <v>0.94795576963258665</v>
      </c>
      <c r="K5" s="3">
        <f t="shared" ref="K5:K30" si="9">K$3*AA5</f>
        <v>2.9338287864654746</v>
      </c>
      <c r="L5" s="4">
        <f>MAX(L4-C4,H4)</f>
        <v>9900</v>
      </c>
      <c r="M5" s="4">
        <f t="shared" ref="M5:M30" si="10">MAX(M4-D4,I4)</f>
        <v>249800</v>
      </c>
      <c r="N5" s="5">
        <v>1062500</v>
      </c>
      <c r="O5" s="5">
        <f t="shared" ref="O5:O30" si="11">INT(Z5&gt;T5)*MIN(N5,W5)</f>
        <v>1062500</v>
      </c>
      <c r="P5" s="5">
        <f t="shared" si="1"/>
        <v>37699.131064446054</v>
      </c>
      <c r="Q5" s="5">
        <f t="shared" si="2"/>
        <v>1024800.8689355539</v>
      </c>
      <c r="R5" s="2">
        <f t="shared" ref="R5:R30" si="12">MAX(L5-H5,0)*F$3</f>
        <v>735000</v>
      </c>
      <c r="S5" s="2">
        <f t="shared" ref="S5:S30" si="13">MAX(M5-I5, 0)*G$3</f>
        <v>19980000</v>
      </c>
      <c r="T5" s="2">
        <v>0.3</v>
      </c>
      <c r="U5" s="9">
        <f t="shared" si="3"/>
        <v>12196.134834560195</v>
      </c>
      <c r="V5" s="9">
        <f t="shared" si="4"/>
        <v>0</v>
      </c>
      <c r="W5" s="2">
        <f>(X5+Y5)*(1-T5)+U5</f>
        <v>14177429.180812567</v>
      </c>
      <c r="X5" s="2">
        <f>X4-P4+L5*J4</f>
        <v>696747.49067995115</v>
      </c>
      <c r="Y5" s="2">
        <f>Y4-Q4+M5*K4</f>
        <v>19539299.717860062</v>
      </c>
      <c r="Z5" s="3">
        <f>X5/R5</f>
        <v>0.94795576963258665</v>
      </c>
      <c r="AA5" s="3">
        <f>Y5/S5</f>
        <v>0.97794292882182488</v>
      </c>
      <c r="AB5" s="2">
        <v>2</v>
      </c>
      <c r="AC5" s="3">
        <v>100</v>
      </c>
      <c r="AD5" s="3">
        <v>100</v>
      </c>
      <c r="AE5" s="3">
        <v>0</v>
      </c>
      <c r="AF5" s="3">
        <v>0</v>
      </c>
      <c r="AG5" s="3">
        <v>0</v>
      </c>
      <c r="AI5" s="3">
        <f>AC5*$AQ3</f>
        <v>1</v>
      </c>
      <c r="AJ5" s="3">
        <f t="shared" ref="AJ5:AJ30" si="14">AD5*$AQ3</f>
        <v>1</v>
      </c>
      <c r="AK5" s="3">
        <f t="shared" ref="AK5:AK30" si="15">AE5*$AQ3</f>
        <v>0</v>
      </c>
      <c r="AL5" s="3">
        <f t="shared" ref="AL5:AL30" si="16">AF5*$AQ3</f>
        <v>0</v>
      </c>
      <c r="AM5" s="3">
        <f t="shared" ref="AM5:AM30" si="17">AG5*$AQ3</f>
        <v>0</v>
      </c>
      <c r="AN5" s="3">
        <f>AH5*$AQ3</f>
        <v>0</v>
      </c>
      <c r="AP5">
        <v>0.2</v>
      </c>
      <c r="AQ5">
        <f>SUM(AP$2:AP5)</f>
        <v>0.26</v>
      </c>
      <c r="AR5">
        <v>20</v>
      </c>
      <c r="AW5" s="5">
        <v>4250000</v>
      </c>
      <c r="AX5">
        <f t="shared" si="6"/>
        <v>1062500</v>
      </c>
    </row>
    <row r="6" spans="1:50" x14ac:dyDescent="0.2">
      <c r="C6" s="2">
        <v>45</v>
      </c>
      <c r="D6" s="2">
        <v>120</v>
      </c>
      <c r="E6" s="2">
        <v>0.7</v>
      </c>
      <c r="F6" s="3">
        <f t="shared" ref="F6:F30" si="18">F$3*Z6</f>
        <v>137.52987726421449</v>
      </c>
      <c r="G6" s="3">
        <f t="shared" si="7"/>
        <v>96.389308996039688</v>
      </c>
      <c r="H6" s="2">
        <v>5000</v>
      </c>
      <c r="I6" s="2">
        <v>50000</v>
      </c>
      <c r="J6" s="3">
        <f t="shared" si="8"/>
        <v>0.9168658484280966</v>
      </c>
      <c r="K6" s="3">
        <f t="shared" si="9"/>
        <v>2.8916792698811906</v>
      </c>
      <c r="L6" s="4">
        <f t="shared" ref="L6:L30" si="19">MAX(L5-C5,H5)</f>
        <v>9860</v>
      </c>
      <c r="M6" s="4">
        <f t="shared" si="10"/>
        <v>249680</v>
      </c>
      <c r="N6" s="5">
        <v>1100000</v>
      </c>
      <c r="O6" s="5">
        <f t="shared" si="11"/>
        <v>1100000</v>
      </c>
      <c r="P6" s="5">
        <f>$O6*R6/($R6+$S6)</f>
        <v>38744.745615306565</v>
      </c>
      <c r="Q6" s="5">
        <f>$O6*S6/($R6+$S6)</f>
        <v>1061255.2543846935</v>
      </c>
      <c r="R6" s="2">
        <f>MAX(L6-H6,0)*F$3</f>
        <v>729000</v>
      </c>
      <c r="S6" s="2">
        <f t="shared" si="13"/>
        <v>19968000</v>
      </c>
      <c r="T6" s="2">
        <v>0.3</v>
      </c>
      <c r="U6" s="9">
        <f t="shared" si="3"/>
        <v>12428.89308949009</v>
      </c>
      <c r="V6" s="9">
        <f t="shared" si="4"/>
        <v>0</v>
      </c>
      <c r="W6" s="2">
        <f t="shared" ref="W6:W30" si="20">(R6+S6)*(1-T6)+U6</f>
        <v>14500328.89308949</v>
      </c>
      <c r="X6" s="2">
        <f t="shared" ref="X6:X30" si="21">X5-P5+L6*J5</f>
        <v>668395.2035040824</v>
      </c>
      <c r="Y6" s="2">
        <f t="shared" ref="Y6:Y30" si="22">Y5-Q5+M6*K5</f>
        <v>19247017.220329206</v>
      </c>
      <c r="Z6" s="3">
        <f t="shared" ref="Z6:Z30" si="23">X6/R6</f>
        <v>0.9168658484280966</v>
      </c>
      <c r="AA6" s="3">
        <f t="shared" ref="AA6:AA30" si="24">Y6/S6</f>
        <v>0.96389308996039691</v>
      </c>
      <c r="AB6" s="2">
        <v>3</v>
      </c>
      <c r="AC6" s="3">
        <v>100</v>
      </c>
      <c r="AD6" s="3">
        <v>100</v>
      </c>
      <c r="AE6" s="6">
        <v>130</v>
      </c>
      <c r="AF6" s="3">
        <v>0</v>
      </c>
      <c r="AG6" s="3">
        <v>0</v>
      </c>
      <c r="AI6" s="3">
        <f t="shared" ref="AI6:AI30" si="25">AC6*$AQ4</f>
        <v>6.0000000000000009</v>
      </c>
      <c r="AJ6" s="3">
        <f t="shared" si="14"/>
        <v>6.0000000000000009</v>
      </c>
      <c r="AK6" s="3">
        <f t="shared" si="15"/>
        <v>7.8000000000000007</v>
      </c>
      <c r="AL6" s="3">
        <f t="shared" si="16"/>
        <v>0</v>
      </c>
      <c r="AM6" s="3">
        <f t="shared" si="17"/>
        <v>0</v>
      </c>
      <c r="AN6" s="3">
        <f t="shared" ref="AN6:AN30" si="26">AH6*$AQ4</f>
        <v>0</v>
      </c>
      <c r="AP6">
        <v>0.6</v>
      </c>
      <c r="AQ6">
        <f>SUM(AP$2:AP6)</f>
        <v>0.86</v>
      </c>
      <c r="AR6">
        <v>20</v>
      </c>
      <c r="AW6" s="5">
        <v>4400000</v>
      </c>
      <c r="AX6">
        <f t="shared" si="6"/>
        <v>1100000</v>
      </c>
    </row>
    <row r="7" spans="1:50" x14ac:dyDescent="0.2">
      <c r="C7" s="2">
        <v>45</v>
      </c>
      <c r="D7" s="2">
        <v>120</v>
      </c>
      <c r="E7" s="2">
        <v>0.7</v>
      </c>
      <c r="F7" s="3">
        <f t="shared" si="18"/>
        <v>132.6374862286807</v>
      </c>
      <c r="G7" s="3">
        <f t="shared" si="7"/>
        <v>94.745487294728719</v>
      </c>
      <c r="H7" s="2">
        <v>5000</v>
      </c>
      <c r="I7" s="2">
        <v>50000</v>
      </c>
      <c r="J7" s="3">
        <f t="shared" si="8"/>
        <v>0.88424990819120475</v>
      </c>
      <c r="K7" s="3">
        <f t="shared" si="9"/>
        <v>2.8423646188418616</v>
      </c>
      <c r="L7" s="4">
        <f t="shared" si="19"/>
        <v>9815</v>
      </c>
      <c r="M7" s="4">
        <f t="shared" si="10"/>
        <v>249560</v>
      </c>
      <c r="N7" s="5">
        <v>1105000</v>
      </c>
      <c r="O7" s="5">
        <f>INT(Z7&gt;T7)*MIN(N7,W7)</f>
        <v>1105000</v>
      </c>
      <c r="P7" s="5">
        <f>$O7*R7/($R7+$S7)</f>
        <v>38595.444488774439</v>
      </c>
      <c r="Q7" s="5">
        <f t="shared" si="2"/>
        <v>1066404.5555112255</v>
      </c>
      <c r="R7" s="2">
        <f t="shared" si="12"/>
        <v>722250</v>
      </c>
      <c r="S7" s="2">
        <f t="shared" si="13"/>
        <v>19956000</v>
      </c>
      <c r="T7" s="2">
        <v>0.3</v>
      </c>
      <c r="U7" s="9">
        <f t="shared" si="3"/>
        <v>12136.701748960653</v>
      </c>
      <c r="V7" s="9">
        <f t="shared" si="4"/>
        <v>0</v>
      </c>
      <c r="W7" s="2">
        <f>(R7+S7)*(1-T7)+U7</f>
        <v>14486911.701748962</v>
      </c>
      <c r="X7" s="2">
        <f>X6-P6+L7*J6</f>
        <v>638649.49619109766</v>
      </c>
      <c r="Y7" s="2">
        <f t="shared" si="22"/>
        <v>18907409.444536064</v>
      </c>
      <c r="Z7" s="3">
        <f t="shared" si="23"/>
        <v>0.88424990819120475</v>
      </c>
      <c r="AA7" s="3">
        <f t="shared" si="24"/>
        <v>0.94745487294728725</v>
      </c>
      <c r="AB7" s="4">
        <v>4</v>
      </c>
      <c r="AC7" s="3">
        <v>100</v>
      </c>
      <c r="AD7" s="3">
        <v>100</v>
      </c>
      <c r="AE7" s="6">
        <v>130</v>
      </c>
      <c r="AF7" s="3">
        <v>200</v>
      </c>
      <c r="AG7" s="3">
        <v>0</v>
      </c>
      <c r="AI7" s="3">
        <f t="shared" si="25"/>
        <v>26</v>
      </c>
      <c r="AJ7" s="3">
        <f t="shared" si="14"/>
        <v>26</v>
      </c>
      <c r="AK7" s="3">
        <f t="shared" si="15"/>
        <v>33.800000000000004</v>
      </c>
      <c r="AL7" s="3">
        <f t="shared" si="16"/>
        <v>52</v>
      </c>
      <c r="AM7" s="3">
        <f t="shared" si="17"/>
        <v>0</v>
      </c>
      <c r="AN7" s="3">
        <f t="shared" si="26"/>
        <v>0</v>
      </c>
      <c r="AP7">
        <v>1.8</v>
      </c>
      <c r="AQ7">
        <f>SUM(AP$2:AP7)</f>
        <v>2.66</v>
      </c>
      <c r="AR7">
        <v>20</v>
      </c>
      <c r="AW7" s="5">
        <v>4420000</v>
      </c>
      <c r="AX7">
        <f t="shared" si="6"/>
        <v>1105000</v>
      </c>
    </row>
    <row r="8" spans="1:50" x14ac:dyDescent="0.2">
      <c r="C8" s="2">
        <v>40</v>
      </c>
      <c r="D8" s="2">
        <v>120</v>
      </c>
      <c r="E8" s="2">
        <v>0.7</v>
      </c>
      <c r="F8" s="3">
        <f t="shared" si="18"/>
        <v>127.60863172019944</v>
      </c>
      <c r="G8" s="3">
        <f t="shared" si="7"/>
        <v>93.01045086015219</v>
      </c>
      <c r="H8" s="2">
        <v>5000</v>
      </c>
      <c r="I8" s="2">
        <v>50000</v>
      </c>
      <c r="J8" s="3">
        <f t="shared" si="8"/>
        <v>0.85072421146799626</v>
      </c>
      <c r="K8" s="3">
        <f t="shared" si="9"/>
        <v>2.7903135258045655</v>
      </c>
      <c r="L8" s="4">
        <f t="shared" si="19"/>
        <v>9770</v>
      </c>
      <c r="M8" s="4">
        <f t="shared" si="10"/>
        <v>249440</v>
      </c>
      <c r="N8" s="5">
        <v>1127100</v>
      </c>
      <c r="O8" s="5">
        <f>INT(Z8&gt;T8)*MIN(N8,W8)</f>
        <v>1127100</v>
      </c>
      <c r="P8" s="5">
        <f t="shared" ref="P8:P30" si="27">$O8*R8/($R8+$S8)</f>
        <v>39034.829013286864</v>
      </c>
      <c r="Q8" s="5">
        <f t="shared" ref="Q8:Q30" si="28">$O8*S8/($R8+$S8)</f>
        <v>1088065.1709867131</v>
      </c>
      <c r="R8" s="2">
        <f t="shared" si="12"/>
        <v>715500</v>
      </c>
      <c r="S8" s="2">
        <f t="shared" si="13"/>
        <v>19944000</v>
      </c>
      <c r="T8" s="2">
        <v>0.3</v>
      </c>
      <c r="U8" s="9">
        <f>(C8*F8 + D8*G8)*E8</f>
        <v>11385.919560418368</v>
      </c>
      <c r="V8" s="9">
        <f t="shared" si="4"/>
        <v>0</v>
      </c>
      <c r="W8" s="2">
        <f t="shared" si="20"/>
        <v>14473035.919560418</v>
      </c>
      <c r="X8" s="2">
        <f>X7-P7+L8*J7</f>
        <v>608693.17330535129</v>
      </c>
      <c r="Y8" s="2">
        <f t="shared" si="22"/>
        <v>18550004.319548752</v>
      </c>
      <c r="Z8" s="3">
        <f t="shared" si="23"/>
        <v>0.85072421146799626</v>
      </c>
      <c r="AA8" s="3">
        <f t="shared" si="24"/>
        <v>0.93010450860152183</v>
      </c>
      <c r="AB8" s="4">
        <v>5</v>
      </c>
      <c r="AC8" s="3">
        <v>100</v>
      </c>
      <c r="AD8" s="3">
        <v>100</v>
      </c>
      <c r="AE8" s="6">
        <v>130</v>
      </c>
      <c r="AF8" s="3">
        <v>200</v>
      </c>
      <c r="AG8" s="3">
        <v>200</v>
      </c>
      <c r="AI8" s="3">
        <f t="shared" si="25"/>
        <v>86</v>
      </c>
      <c r="AJ8" s="3">
        <f t="shared" si="14"/>
        <v>86</v>
      </c>
      <c r="AK8" s="3">
        <f t="shared" si="15"/>
        <v>111.8</v>
      </c>
      <c r="AL8" s="3">
        <f t="shared" si="16"/>
        <v>172</v>
      </c>
      <c r="AM8" s="3">
        <f t="shared" si="17"/>
        <v>172</v>
      </c>
      <c r="AN8" s="3">
        <f t="shared" si="26"/>
        <v>0</v>
      </c>
      <c r="AP8">
        <v>3</v>
      </c>
      <c r="AQ8">
        <f>SUM(AP$2:AP8)</f>
        <v>5.66</v>
      </c>
      <c r="AR8">
        <v>20</v>
      </c>
      <c r="AW8" s="5">
        <v>4508400</v>
      </c>
      <c r="AX8">
        <f t="shared" si="6"/>
        <v>1127100</v>
      </c>
    </row>
    <row r="9" spans="1:50" x14ac:dyDescent="0.2">
      <c r="C9" s="2">
        <v>50</v>
      </c>
      <c r="D9" s="2">
        <v>120</v>
      </c>
      <c r="E9" s="2">
        <v>0.7</v>
      </c>
      <c r="F9" s="3">
        <f t="shared" si="18"/>
        <v>122.18517777370995</v>
      </c>
      <c r="G9" s="3">
        <f t="shared" si="7"/>
        <v>91.097833217016017</v>
      </c>
      <c r="H9" s="2">
        <v>5000</v>
      </c>
      <c r="I9" s="2">
        <v>50000</v>
      </c>
      <c r="J9" s="3">
        <f t="shared" si="8"/>
        <v>0.81456785182473301</v>
      </c>
      <c r="K9" s="3">
        <f t="shared" si="9"/>
        <v>2.7329349965104806</v>
      </c>
      <c r="L9" s="4">
        <f t="shared" si="19"/>
        <v>9730</v>
      </c>
      <c r="M9" s="4">
        <f t="shared" si="10"/>
        <v>249320</v>
      </c>
      <c r="N9" s="5">
        <v>1149643</v>
      </c>
      <c r="O9" s="5">
        <f t="shared" si="11"/>
        <v>1149643</v>
      </c>
      <c r="P9" s="5">
        <f t="shared" si="27"/>
        <v>39516.10631494804</v>
      </c>
      <c r="Q9" s="5">
        <f t="shared" si="28"/>
        <v>1110126.8936850519</v>
      </c>
      <c r="R9" s="2">
        <f t="shared" si="12"/>
        <v>709500</v>
      </c>
      <c r="S9" s="2">
        <f t="shared" si="13"/>
        <v>19932000</v>
      </c>
      <c r="T9" s="2">
        <v>0.3</v>
      </c>
      <c r="U9" s="9">
        <f t="shared" si="3"/>
        <v>11928.699212309191</v>
      </c>
      <c r="V9" s="9">
        <f t="shared" si="4"/>
        <v>0</v>
      </c>
      <c r="W9" s="2">
        <f t="shared" si="20"/>
        <v>14460978.699212309</v>
      </c>
      <c r="X9" s="2">
        <f t="shared" si="21"/>
        <v>577935.89086964808</v>
      </c>
      <c r="Y9" s="2">
        <f t="shared" si="22"/>
        <v>18157620.116815634</v>
      </c>
      <c r="Z9" s="3">
        <f t="shared" si="23"/>
        <v>0.81456785182473301</v>
      </c>
      <c r="AA9" s="3">
        <f t="shared" si="24"/>
        <v>0.91097833217016022</v>
      </c>
      <c r="AB9" s="2">
        <v>6</v>
      </c>
      <c r="AC9" s="3">
        <v>100</v>
      </c>
      <c r="AD9" s="3">
        <v>100</v>
      </c>
      <c r="AE9" s="6">
        <v>130</v>
      </c>
      <c r="AF9" s="3">
        <v>200</v>
      </c>
      <c r="AG9" s="3">
        <v>200</v>
      </c>
      <c r="AH9" s="3">
        <v>200</v>
      </c>
      <c r="AI9" s="3">
        <f t="shared" si="25"/>
        <v>266</v>
      </c>
      <c r="AJ9" s="3">
        <f t="shared" si="14"/>
        <v>266</v>
      </c>
      <c r="AK9" s="3">
        <f t="shared" si="15"/>
        <v>345.8</v>
      </c>
      <c r="AL9" s="3">
        <f t="shared" si="16"/>
        <v>532</v>
      </c>
      <c r="AM9" s="3">
        <f t="shared" si="17"/>
        <v>532</v>
      </c>
      <c r="AN9" s="3">
        <f t="shared" si="26"/>
        <v>532</v>
      </c>
      <c r="AP9">
        <v>6</v>
      </c>
      <c r="AQ9">
        <f>SUM(AP$2:AP9)</f>
        <v>11.66</v>
      </c>
      <c r="AR9">
        <v>20</v>
      </c>
      <c r="AW9" s="5">
        <v>4598570</v>
      </c>
      <c r="AX9">
        <f t="shared" si="6"/>
        <v>1149643</v>
      </c>
    </row>
    <row r="10" spans="1:50" x14ac:dyDescent="0.2">
      <c r="C10" s="2">
        <v>60</v>
      </c>
      <c r="D10" s="2">
        <v>120</v>
      </c>
      <c r="E10" s="2">
        <v>0.7</v>
      </c>
      <c r="F10" s="3">
        <f t="shared" si="18"/>
        <v>116.73179516247083</v>
      </c>
      <c r="G10" s="3">
        <f t="shared" si="7"/>
        <v>88.9986979129568</v>
      </c>
      <c r="H10" s="2">
        <v>5000</v>
      </c>
      <c r="I10" s="2">
        <v>50000</v>
      </c>
      <c r="J10" s="3">
        <f t="shared" si="8"/>
        <v>0.7782119677498055</v>
      </c>
      <c r="K10" s="3">
        <f t="shared" si="9"/>
        <v>2.6699609373887041</v>
      </c>
      <c r="L10" s="4">
        <f t="shared" si="19"/>
        <v>9680</v>
      </c>
      <c r="M10" s="4">
        <f t="shared" si="10"/>
        <v>249200</v>
      </c>
      <c r="N10" s="5">
        <v>1172635</v>
      </c>
      <c r="O10" s="5">
        <f t="shared" si="11"/>
        <v>1172635</v>
      </c>
      <c r="P10" s="5">
        <f t="shared" si="27"/>
        <v>39918.037532732036</v>
      </c>
      <c r="Q10" s="5">
        <f t="shared" si="28"/>
        <v>1132716.9624672679</v>
      </c>
      <c r="R10" s="2">
        <f t="shared" si="12"/>
        <v>702000</v>
      </c>
      <c r="S10" s="2">
        <f t="shared" si="13"/>
        <v>19920000</v>
      </c>
      <c r="T10" s="2">
        <v>0.3</v>
      </c>
      <c r="U10" s="9">
        <f t="shared" si="3"/>
        <v>12378.626021512144</v>
      </c>
      <c r="V10" s="9">
        <f t="shared" si="4"/>
        <v>0</v>
      </c>
      <c r="W10" s="2">
        <f t="shared" si="20"/>
        <v>14447778.626021512</v>
      </c>
      <c r="X10" s="2">
        <f t="shared" si="21"/>
        <v>546304.80136036349</v>
      </c>
      <c r="Y10" s="2">
        <f t="shared" si="22"/>
        <v>17728540.624260996</v>
      </c>
      <c r="Z10" s="3">
        <f t="shared" si="23"/>
        <v>0.7782119677498055</v>
      </c>
      <c r="AA10" s="3">
        <f t="shared" si="24"/>
        <v>0.88998697912956803</v>
      </c>
      <c r="AB10" s="4">
        <v>7</v>
      </c>
      <c r="AC10" s="3">
        <v>100</v>
      </c>
      <c r="AD10" s="3">
        <v>100</v>
      </c>
      <c r="AE10" s="6">
        <v>130</v>
      </c>
      <c r="AF10" s="3">
        <v>200</v>
      </c>
      <c r="AG10" s="3">
        <v>200</v>
      </c>
      <c r="AH10" s="3">
        <v>200</v>
      </c>
      <c r="AI10" s="3">
        <f t="shared" si="25"/>
        <v>566</v>
      </c>
      <c r="AJ10" s="3">
        <f t="shared" si="14"/>
        <v>566</v>
      </c>
      <c r="AK10" s="3">
        <f t="shared" si="15"/>
        <v>735.80000000000007</v>
      </c>
      <c r="AL10" s="3">
        <f t="shared" si="16"/>
        <v>1132</v>
      </c>
      <c r="AM10" s="3">
        <f t="shared" si="17"/>
        <v>1132</v>
      </c>
      <c r="AN10" s="3">
        <f t="shared" si="26"/>
        <v>1132</v>
      </c>
      <c r="AP10">
        <v>10</v>
      </c>
      <c r="AQ10">
        <f>SUM(AP$2:AP10)</f>
        <v>21.66</v>
      </c>
      <c r="AR10">
        <v>20</v>
      </c>
      <c r="AW10" s="5">
        <v>4690540</v>
      </c>
      <c r="AX10">
        <f t="shared" si="6"/>
        <v>1172635</v>
      </c>
    </row>
    <row r="11" spans="1:50" x14ac:dyDescent="0.2">
      <c r="C11" s="2">
        <v>100</v>
      </c>
      <c r="D11" s="2">
        <v>120</v>
      </c>
      <c r="E11" s="2">
        <v>0.7</v>
      </c>
      <c r="F11" s="3">
        <f t="shared" si="18"/>
        <v>111.22795735008324</v>
      </c>
      <c r="G11" s="3">
        <f t="shared" si="7"/>
        <v>86.703122021692309</v>
      </c>
      <c r="H11" s="2">
        <v>5000</v>
      </c>
      <c r="I11" s="2">
        <v>50000</v>
      </c>
      <c r="J11" s="3">
        <f t="shared" si="8"/>
        <v>0.74151971566722163</v>
      </c>
      <c r="K11" s="3">
        <f t="shared" si="9"/>
        <v>2.6010936606507693</v>
      </c>
      <c r="L11" s="4">
        <f t="shared" si="19"/>
        <v>9620</v>
      </c>
      <c r="M11" s="4">
        <f t="shared" si="10"/>
        <v>249080</v>
      </c>
      <c r="N11" s="5">
        <v>1196088</v>
      </c>
      <c r="O11" s="5">
        <f t="shared" si="11"/>
        <v>1196088</v>
      </c>
      <c r="P11" s="5">
        <f t="shared" si="27"/>
        <v>40235.376146788993</v>
      </c>
      <c r="Q11" s="5">
        <f t="shared" si="28"/>
        <v>1155852.6238532111</v>
      </c>
      <c r="R11" s="2">
        <f t="shared" si="12"/>
        <v>693000</v>
      </c>
      <c r="S11" s="2">
        <f t="shared" si="13"/>
        <v>19908000</v>
      </c>
      <c r="T11" s="2">
        <v>0.3</v>
      </c>
      <c r="U11" s="9">
        <f t="shared" si="3"/>
        <v>15069.019264327979</v>
      </c>
      <c r="V11" s="9">
        <f t="shared" si="4"/>
        <v>0</v>
      </c>
      <c r="W11" s="2">
        <f t="shared" si="20"/>
        <v>14435769.019264327</v>
      </c>
      <c r="X11" s="2">
        <f t="shared" si="21"/>
        <v>513873.1629573846</v>
      </c>
      <c r="Y11" s="2">
        <f t="shared" si="22"/>
        <v>17260857.532078505</v>
      </c>
      <c r="Z11" s="3">
        <f t="shared" si="23"/>
        <v>0.74151971566722163</v>
      </c>
      <c r="AA11" s="3">
        <f t="shared" si="24"/>
        <v>0.86703122021692303</v>
      </c>
      <c r="AB11" s="4">
        <v>8</v>
      </c>
      <c r="AC11" s="3">
        <v>100</v>
      </c>
      <c r="AD11" s="3">
        <v>100</v>
      </c>
      <c r="AE11" s="6">
        <v>130</v>
      </c>
      <c r="AF11" s="3">
        <v>200</v>
      </c>
      <c r="AG11" s="3">
        <v>200</v>
      </c>
      <c r="AH11" s="3">
        <v>200</v>
      </c>
      <c r="AI11" s="3">
        <f t="shared" si="25"/>
        <v>1166</v>
      </c>
      <c r="AJ11" s="3">
        <f t="shared" si="14"/>
        <v>1166</v>
      </c>
      <c r="AK11" s="3">
        <f t="shared" si="15"/>
        <v>1515.8</v>
      </c>
      <c r="AL11" s="3">
        <f t="shared" si="16"/>
        <v>2332</v>
      </c>
      <c r="AM11" s="3">
        <f t="shared" si="17"/>
        <v>2332</v>
      </c>
      <c r="AN11" s="3">
        <f t="shared" si="26"/>
        <v>2332</v>
      </c>
      <c r="AP11">
        <v>12</v>
      </c>
      <c r="AQ11">
        <f>SUM(AP$2:AP11)</f>
        <v>33.659999999999997</v>
      </c>
      <c r="AR11">
        <v>20</v>
      </c>
      <c r="AW11" s="5">
        <v>4784350</v>
      </c>
      <c r="AX11">
        <f t="shared" si="6"/>
        <v>1196088</v>
      </c>
    </row>
    <row r="12" spans="1:50" x14ac:dyDescent="0.2">
      <c r="C12" s="2">
        <v>100</v>
      </c>
      <c r="D12" s="2">
        <v>120</v>
      </c>
      <c r="E12" s="2">
        <v>0.7</v>
      </c>
      <c r="F12" s="3">
        <f t="shared" si="18"/>
        <v>106.34890586366096</v>
      </c>
      <c r="G12" s="3">
        <f t="shared" si="7"/>
        <v>84.200709619928176</v>
      </c>
      <c r="H12" s="2">
        <v>5000</v>
      </c>
      <c r="I12" s="2">
        <v>50000</v>
      </c>
      <c r="J12" s="3">
        <f t="shared" si="8"/>
        <v>0.70899270575773976</v>
      </c>
      <c r="K12" s="3">
        <f t="shared" si="9"/>
        <v>2.5260212885978452</v>
      </c>
      <c r="L12" s="4">
        <f t="shared" si="19"/>
        <v>9520</v>
      </c>
      <c r="M12" s="4">
        <f t="shared" si="10"/>
        <v>248960</v>
      </c>
      <c r="N12" s="5">
        <v>1220010</v>
      </c>
      <c r="O12" s="5">
        <f t="shared" si="11"/>
        <v>1220010</v>
      </c>
      <c r="P12" s="5">
        <f t="shared" si="27"/>
        <v>40204.470691163602</v>
      </c>
      <c r="Q12" s="5">
        <f t="shared" si="28"/>
        <v>1179805.5293088364</v>
      </c>
      <c r="R12" s="2">
        <f t="shared" si="12"/>
        <v>678000</v>
      </c>
      <c r="S12" s="2">
        <f t="shared" si="13"/>
        <v>19896000</v>
      </c>
      <c r="T12" s="2">
        <v>0.3</v>
      </c>
      <c r="U12" s="9">
        <f t="shared" si="3"/>
        <v>14517.283018530235</v>
      </c>
      <c r="V12" s="9">
        <f t="shared" si="4"/>
        <v>0</v>
      </c>
      <c r="W12" s="2">
        <f t="shared" si="20"/>
        <v>14416317.283018529</v>
      </c>
      <c r="X12" s="2">
        <f t="shared" si="21"/>
        <v>480697.05450374755</v>
      </c>
      <c r="Y12" s="2">
        <f>Y11-Q11+M12*K11</f>
        <v>16752573.18598091</v>
      </c>
      <c r="Z12" s="3">
        <f t="shared" si="23"/>
        <v>0.70899270575773976</v>
      </c>
      <c r="AA12" s="3">
        <f t="shared" si="24"/>
        <v>0.84200709619928182</v>
      </c>
      <c r="AB12" s="2">
        <v>9</v>
      </c>
      <c r="AC12" s="3">
        <v>100</v>
      </c>
      <c r="AD12" s="3">
        <v>100</v>
      </c>
      <c r="AE12" s="6">
        <v>130</v>
      </c>
      <c r="AF12" s="3">
        <v>200</v>
      </c>
      <c r="AG12" s="3">
        <v>200</v>
      </c>
      <c r="AH12" s="3">
        <v>200</v>
      </c>
      <c r="AI12" s="3">
        <f t="shared" si="25"/>
        <v>2166</v>
      </c>
      <c r="AJ12" s="3">
        <f t="shared" si="14"/>
        <v>2166</v>
      </c>
      <c r="AK12" s="3">
        <f t="shared" si="15"/>
        <v>2815.8</v>
      </c>
      <c r="AL12" s="3">
        <f t="shared" si="16"/>
        <v>4332</v>
      </c>
      <c r="AM12" s="3">
        <f t="shared" si="17"/>
        <v>4332</v>
      </c>
      <c r="AN12" s="3">
        <f t="shared" si="26"/>
        <v>4332</v>
      </c>
      <c r="AP12">
        <v>13.5</v>
      </c>
      <c r="AQ12">
        <f>SUM(AP$2:AP12)</f>
        <v>47.16</v>
      </c>
      <c r="AR12">
        <v>20</v>
      </c>
      <c r="AW12" s="5">
        <v>4880040</v>
      </c>
      <c r="AX12">
        <f t="shared" si="6"/>
        <v>1220010</v>
      </c>
    </row>
    <row r="13" spans="1:50" x14ac:dyDescent="0.2">
      <c r="C13" s="2">
        <v>100</v>
      </c>
      <c r="D13" s="2">
        <v>120</v>
      </c>
      <c r="E13" s="2">
        <v>0.7</v>
      </c>
      <c r="F13" s="3">
        <f t="shared" si="18"/>
        <v>101.16997626715425</v>
      </c>
      <c r="G13" s="3">
        <f t="shared" si="7"/>
        <v>81.479293875109448</v>
      </c>
      <c r="H13" s="2">
        <v>5000</v>
      </c>
      <c r="I13" s="2">
        <v>50000</v>
      </c>
      <c r="J13" s="3">
        <f t="shared" si="8"/>
        <v>0.67446650844769507</v>
      </c>
      <c r="K13" s="3">
        <f t="shared" si="9"/>
        <v>2.4443788162532836</v>
      </c>
      <c r="L13" s="4">
        <f t="shared" si="19"/>
        <v>9420</v>
      </c>
      <c r="M13" s="4">
        <f t="shared" si="10"/>
        <v>248840</v>
      </c>
      <c r="N13" s="5">
        <v>1244410</v>
      </c>
      <c r="O13" s="5">
        <f t="shared" si="11"/>
        <v>1244410</v>
      </c>
      <c r="P13" s="5">
        <f t="shared" si="27"/>
        <v>40153.980143086585</v>
      </c>
      <c r="Q13" s="5">
        <f t="shared" si="28"/>
        <v>1204256.0198569135</v>
      </c>
      <c r="R13" s="2">
        <f t="shared" si="12"/>
        <v>663000</v>
      </c>
      <c r="S13" s="2">
        <f t="shared" si="13"/>
        <v>19884000</v>
      </c>
      <c r="T13" s="2">
        <v>0.3</v>
      </c>
      <c r="U13" s="9">
        <f t="shared" si="3"/>
        <v>13926.15902420999</v>
      </c>
      <c r="V13" s="9">
        <f t="shared" si="4"/>
        <v>0</v>
      </c>
      <c r="W13" s="2">
        <f t="shared" si="20"/>
        <v>14396826.159024211</v>
      </c>
      <c r="X13" s="2">
        <f t="shared" si="21"/>
        <v>447171.29510082182</v>
      </c>
      <c r="Y13" s="2">
        <f t="shared" si="22"/>
        <v>16201342.794126762</v>
      </c>
      <c r="Z13" s="3">
        <f t="shared" si="23"/>
        <v>0.67446650844769507</v>
      </c>
      <c r="AA13" s="3">
        <f t="shared" si="24"/>
        <v>0.81479293875109449</v>
      </c>
      <c r="AB13" s="4">
        <v>10</v>
      </c>
      <c r="AC13" s="3">
        <v>100</v>
      </c>
      <c r="AD13" s="3">
        <v>100</v>
      </c>
      <c r="AE13" s="6">
        <v>130</v>
      </c>
      <c r="AF13" s="3">
        <v>200</v>
      </c>
      <c r="AG13" s="3">
        <v>200</v>
      </c>
      <c r="AH13" s="3">
        <v>200</v>
      </c>
      <c r="AI13" s="3">
        <f t="shared" si="25"/>
        <v>3365.9999999999995</v>
      </c>
      <c r="AJ13" s="3">
        <f t="shared" si="14"/>
        <v>3365.9999999999995</v>
      </c>
      <c r="AK13" s="3">
        <f t="shared" si="15"/>
        <v>4375.7999999999993</v>
      </c>
      <c r="AL13" s="3">
        <f t="shared" si="16"/>
        <v>6731.9999999999991</v>
      </c>
      <c r="AM13" s="3">
        <f t="shared" si="17"/>
        <v>6731.9999999999991</v>
      </c>
      <c r="AN13" s="3">
        <f t="shared" si="26"/>
        <v>6731.9999999999991</v>
      </c>
      <c r="AP13">
        <v>12</v>
      </c>
      <c r="AQ13">
        <f>SUM(AP$2:AP13)</f>
        <v>59.16</v>
      </c>
      <c r="AR13">
        <v>20</v>
      </c>
      <c r="AW13" s="5">
        <v>4977640</v>
      </c>
      <c r="AX13">
        <f t="shared" si="6"/>
        <v>1244410</v>
      </c>
    </row>
    <row r="14" spans="1:50" x14ac:dyDescent="0.2">
      <c r="C14" s="2">
        <v>80</v>
      </c>
      <c r="D14" s="2">
        <v>120</v>
      </c>
      <c r="E14" s="2">
        <v>0.7</v>
      </c>
      <c r="F14" s="3">
        <f t="shared" si="18"/>
        <v>95.672070096404568</v>
      </c>
      <c r="G14" s="3">
        <f t="shared" si="7"/>
        <v>78.527841553182185</v>
      </c>
      <c r="H14" s="2">
        <v>5000</v>
      </c>
      <c r="I14" s="2">
        <v>50000</v>
      </c>
      <c r="J14" s="3">
        <f t="shared" si="8"/>
        <v>0.6378138006426971</v>
      </c>
      <c r="K14" s="3">
        <f t="shared" si="9"/>
        <v>2.3558352465954657</v>
      </c>
      <c r="L14" s="4">
        <f t="shared" si="19"/>
        <v>9320</v>
      </c>
      <c r="M14" s="4">
        <f t="shared" si="10"/>
        <v>248720</v>
      </c>
      <c r="N14" s="5">
        <v>1269298</v>
      </c>
      <c r="O14" s="5">
        <f t="shared" si="11"/>
        <v>1269298</v>
      </c>
      <c r="P14" s="5">
        <f t="shared" si="27"/>
        <v>40083.094736842104</v>
      </c>
      <c r="Q14" s="5">
        <f t="shared" si="28"/>
        <v>1229214.9052631578</v>
      </c>
      <c r="R14" s="2">
        <f t="shared" si="12"/>
        <v>648000</v>
      </c>
      <c r="S14" s="2">
        <f t="shared" si="13"/>
        <v>19872000</v>
      </c>
      <c r="T14" s="2">
        <v>0.3</v>
      </c>
      <c r="U14" s="9">
        <f t="shared" si="3"/>
        <v>11953.974615865958</v>
      </c>
      <c r="V14" s="9">
        <f t="shared" si="4"/>
        <v>0</v>
      </c>
      <c r="W14" s="2">
        <f t="shared" si="20"/>
        <v>14375953.974615866</v>
      </c>
      <c r="X14" s="2">
        <f t="shared" si="21"/>
        <v>413303.34281646775</v>
      </c>
      <c r="Y14" s="2">
        <f t="shared" si="22"/>
        <v>15605052.673448365</v>
      </c>
      <c r="Z14" s="3">
        <f t="shared" si="23"/>
        <v>0.6378138006426971</v>
      </c>
      <c r="AA14" s="3">
        <f t="shared" si="24"/>
        <v>0.78527841553182187</v>
      </c>
      <c r="AB14" s="4">
        <v>11</v>
      </c>
      <c r="AC14" s="3">
        <v>100</v>
      </c>
      <c r="AD14" s="3">
        <v>100</v>
      </c>
      <c r="AE14" s="6">
        <v>130</v>
      </c>
      <c r="AF14" s="3">
        <v>200</v>
      </c>
      <c r="AG14" s="3">
        <v>200</v>
      </c>
      <c r="AH14" s="3">
        <v>200</v>
      </c>
      <c r="AI14" s="3">
        <f t="shared" si="25"/>
        <v>4716</v>
      </c>
      <c r="AJ14" s="3">
        <f t="shared" si="14"/>
        <v>4716</v>
      </c>
      <c r="AK14" s="3">
        <f t="shared" si="15"/>
        <v>6130.7999999999993</v>
      </c>
      <c r="AL14" s="3">
        <f t="shared" si="16"/>
        <v>9432</v>
      </c>
      <c r="AM14" s="3">
        <f t="shared" si="17"/>
        <v>9432</v>
      </c>
      <c r="AN14" s="3">
        <f t="shared" si="26"/>
        <v>9432</v>
      </c>
      <c r="AP14">
        <v>10</v>
      </c>
      <c r="AQ14">
        <f>SUM(AP$2:AP14)</f>
        <v>69.16</v>
      </c>
      <c r="AR14">
        <v>20</v>
      </c>
      <c r="AW14" s="5">
        <v>5077190</v>
      </c>
      <c r="AX14">
        <f t="shared" si="6"/>
        <v>1269298</v>
      </c>
    </row>
    <row r="15" spans="1:50" x14ac:dyDescent="0.2">
      <c r="C15" s="2">
        <v>75</v>
      </c>
      <c r="D15" s="2">
        <v>120</v>
      </c>
      <c r="E15" s="2">
        <v>0.7</v>
      </c>
      <c r="F15" s="3">
        <f t="shared" si="18"/>
        <v>89.413596131500981</v>
      </c>
      <c r="G15" s="3">
        <f t="shared" si="7"/>
        <v>75.334835903770596</v>
      </c>
      <c r="H15" s="2">
        <v>5000</v>
      </c>
      <c r="I15" s="2">
        <v>50000</v>
      </c>
      <c r="J15" s="3">
        <f t="shared" si="8"/>
        <v>0.59609064087667318</v>
      </c>
      <c r="K15" s="3">
        <f t="shared" si="9"/>
        <v>2.2600450771131175</v>
      </c>
      <c r="L15" s="4">
        <f t="shared" si="19"/>
        <v>9240</v>
      </c>
      <c r="M15" s="4">
        <f t="shared" si="10"/>
        <v>248600</v>
      </c>
      <c r="N15" s="5">
        <v>1294683</v>
      </c>
      <c r="O15" s="5">
        <f t="shared" si="11"/>
        <v>1294683</v>
      </c>
      <c r="P15" s="5">
        <f t="shared" si="27"/>
        <v>40174.589578454332</v>
      </c>
      <c r="Q15" s="5">
        <f t="shared" si="28"/>
        <v>1254508.4104215456</v>
      </c>
      <c r="R15" s="2">
        <f t="shared" si="12"/>
        <v>636000</v>
      </c>
      <c r="S15" s="2">
        <f t="shared" si="13"/>
        <v>19860000</v>
      </c>
      <c r="T15" s="2">
        <v>0.3</v>
      </c>
      <c r="U15" s="9">
        <f t="shared" si="3"/>
        <v>11022.34001282053</v>
      </c>
      <c r="V15" s="9">
        <f t="shared" si="4"/>
        <v>0</v>
      </c>
      <c r="W15" s="2">
        <f t="shared" si="20"/>
        <v>14358222.34001282</v>
      </c>
      <c r="X15" s="2">
        <f t="shared" si="21"/>
        <v>379113.64759756415</v>
      </c>
      <c r="Y15" s="2">
        <f t="shared" si="22"/>
        <v>14961498.41048884</v>
      </c>
      <c r="Z15" s="3">
        <f t="shared" si="23"/>
        <v>0.59609064087667318</v>
      </c>
      <c r="AA15" s="3">
        <f t="shared" si="24"/>
        <v>0.75334835903770592</v>
      </c>
      <c r="AB15" s="2">
        <v>12</v>
      </c>
      <c r="AC15" s="3">
        <v>100</v>
      </c>
      <c r="AD15" s="3">
        <v>100</v>
      </c>
      <c r="AE15" s="6">
        <v>130</v>
      </c>
      <c r="AF15" s="3">
        <v>200</v>
      </c>
      <c r="AG15" s="3">
        <v>200</v>
      </c>
      <c r="AH15" s="3">
        <v>200</v>
      </c>
      <c r="AI15" s="3">
        <f t="shared" si="25"/>
        <v>5916</v>
      </c>
      <c r="AJ15" s="3">
        <f t="shared" si="14"/>
        <v>5916</v>
      </c>
      <c r="AK15" s="3">
        <f t="shared" si="15"/>
        <v>7690.7999999999993</v>
      </c>
      <c r="AL15" s="3">
        <f t="shared" si="16"/>
        <v>11832</v>
      </c>
      <c r="AM15" s="3">
        <f t="shared" si="17"/>
        <v>11832</v>
      </c>
      <c r="AN15" s="3">
        <f t="shared" si="26"/>
        <v>11832</v>
      </c>
      <c r="AP15">
        <v>6</v>
      </c>
      <c r="AQ15">
        <f>SUM(AP$2:AP15)</f>
        <v>75.16</v>
      </c>
      <c r="AR15">
        <v>20</v>
      </c>
      <c r="AW15" s="5">
        <v>5178730</v>
      </c>
      <c r="AX15">
        <f t="shared" si="6"/>
        <v>1294683</v>
      </c>
    </row>
    <row r="16" spans="1:50" x14ac:dyDescent="0.2">
      <c r="C16" s="2">
        <v>60</v>
      </c>
      <c r="D16" s="2">
        <v>120</v>
      </c>
      <c r="E16" s="2">
        <v>0.7</v>
      </c>
      <c r="F16" s="3">
        <f t="shared" si="18"/>
        <v>82.689610742555715</v>
      </c>
      <c r="G16" s="3">
        <f t="shared" si="7"/>
        <v>71.88918783166244</v>
      </c>
      <c r="H16" s="2">
        <v>5000</v>
      </c>
      <c r="I16" s="2">
        <v>50000</v>
      </c>
      <c r="J16" s="3">
        <f t="shared" si="8"/>
        <v>0.55126407161703805</v>
      </c>
      <c r="K16" s="3">
        <f t="shared" si="9"/>
        <v>2.156675634949873</v>
      </c>
      <c r="L16" s="4">
        <f t="shared" si="19"/>
        <v>9165</v>
      </c>
      <c r="M16" s="4">
        <f t="shared" si="10"/>
        <v>248480</v>
      </c>
      <c r="N16" s="5">
        <v>1320575</v>
      </c>
      <c r="O16" s="5">
        <f t="shared" si="11"/>
        <v>1320575</v>
      </c>
      <c r="P16" s="5">
        <f t="shared" si="27"/>
        <v>40298.896398871671</v>
      </c>
      <c r="Q16" s="5">
        <f t="shared" si="28"/>
        <v>1280276.1036011283</v>
      </c>
      <c r="R16" s="2">
        <f t="shared" si="12"/>
        <v>624750</v>
      </c>
      <c r="S16" s="2">
        <f t="shared" si="13"/>
        <v>19848000</v>
      </c>
      <c r="T16" s="2">
        <v>0.3</v>
      </c>
      <c r="U16" s="9">
        <f t="shared" si="3"/>
        <v>9511.655429046983</v>
      </c>
      <c r="V16" s="9">
        <f t="shared" si="4"/>
        <v>0</v>
      </c>
      <c r="W16" s="2">
        <f t="shared" si="20"/>
        <v>14340436.655429047</v>
      </c>
      <c r="X16" s="2">
        <f t="shared" si="21"/>
        <v>344402.22874274454</v>
      </c>
      <c r="Y16" s="2">
        <f t="shared" si="22"/>
        <v>14268566.000828361</v>
      </c>
      <c r="Z16" s="3">
        <f t="shared" si="23"/>
        <v>0.55126407161703805</v>
      </c>
      <c r="AA16" s="3">
        <f t="shared" si="24"/>
        <v>0.71889187831662438</v>
      </c>
      <c r="AB16" s="4">
        <v>13</v>
      </c>
      <c r="AC16" s="3">
        <v>100</v>
      </c>
      <c r="AD16" s="3">
        <v>100</v>
      </c>
      <c r="AE16" s="6">
        <v>130</v>
      </c>
      <c r="AF16" s="3">
        <v>200</v>
      </c>
      <c r="AG16" s="3">
        <v>200</v>
      </c>
      <c r="AH16" s="3">
        <v>200</v>
      </c>
      <c r="AI16" s="3">
        <f t="shared" si="25"/>
        <v>6916</v>
      </c>
      <c r="AJ16" s="3">
        <f t="shared" si="14"/>
        <v>6916</v>
      </c>
      <c r="AK16" s="3">
        <f t="shared" si="15"/>
        <v>8990.7999999999993</v>
      </c>
      <c r="AL16" s="3">
        <f t="shared" si="16"/>
        <v>13832</v>
      </c>
      <c r="AM16" s="3">
        <f t="shared" si="17"/>
        <v>13832</v>
      </c>
      <c r="AN16" s="3">
        <f t="shared" si="26"/>
        <v>13832</v>
      </c>
      <c r="AP16">
        <v>3</v>
      </c>
      <c r="AQ16">
        <f>SUM(AP$2:AP16)</f>
        <v>78.16</v>
      </c>
      <c r="AR16">
        <v>20</v>
      </c>
      <c r="AW16" s="5">
        <v>5282300</v>
      </c>
      <c r="AX16">
        <f t="shared" si="6"/>
        <v>1320575</v>
      </c>
    </row>
    <row r="17" spans="3:50" x14ac:dyDescent="0.2">
      <c r="C17" s="2">
        <v>40</v>
      </c>
      <c r="D17" s="2">
        <v>120</v>
      </c>
      <c r="E17" s="2">
        <v>0.7</v>
      </c>
      <c r="F17" s="3">
        <f t="shared" si="18"/>
        <v>75.303920028245059</v>
      </c>
      <c r="G17" s="3">
        <f t="shared" si="7"/>
        <v>68.17867441985976</v>
      </c>
      <c r="H17" s="2">
        <v>5000</v>
      </c>
      <c r="I17" s="2">
        <v>50000</v>
      </c>
      <c r="J17" s="3">
        <f t="shared" si="8"/>
        <v>0.50202613352163372</v>
      </c>
      <c r="K17" s="3">
        <f t="shared" si="9"/>
        <v>2.0453602325957929</v>
      </c>
      <c r="L17" s="4">
        <f t="shared" si="19"/>
        <v>9105</v>
      </c>
      <c r="M17" s="4">
        <f t="shared" si="10"/>
        <v>248360</v>
      </c>
      <c r="N17" s="5">
        <v>1346988</v>
      </c>
      <c r="O17" s="5">
        <f t="shared" si="11"/>
        <v>1346988</v>
      </c>
      <c r="P17" s="5">
        <f t="shared" si="27"/>
        <v>40554.371190729398</v>
      </c>
      <c r="Q17" s="5">
        <f t="shared" si="28"/>
        <v>1306433.6288092707</v>
      </c>
      <c r="R17" s="2">
        <f t="shared" si="12"/>
        <v>615750</v>
      </c>
      <c r="S17" s="2">
        <f t="shared" si="13"/>
        <v>19836000</v>
      </c>
      <c r="T17" s="2">
        <v>0.3</v>
      </c>
      <c r="U17" s="9">
        <f t="shared" si="3"/>
        <v>7835.5184120590802</v>
      </c>
      <c r="V17" s="9">
        <f t="shared" si="4"/>
        <v>0</v>
      </c>
      <c r="W17" s="2">
        <f t="shared" si="20"/>
        <v>14324060.518412059</v>
      </c>
      <c r="X17" s="2">
        <f t="shared" si="21"/>
        <v>309122.59171594598</v>
      </c>
      <c r="Y17" s="2">
        <f t="shared" si="22"/>
        <v>13523921.857923383</v>
      </c>
      <c r="Z17" s="3">
        <f t="shared" si="23"/>
        <v>0.50202613352163372</v>
      </c>
      <c r="AA17" s="3">
        <f t="shared" si="24"/>
        <v>0.68178674419859764</v>
      </c>
      <c r="AB17" s="4">
        <v>14</v>
      </c>
      <c r="AC17" s="3">
        <v>100</v>
      </c>
      <c r="AD17" s="3">
        <v>100</v>
      </c>
      <c r="AE17" s="6">
        <v>130</v>
      </c>
      <c r="AF17" s="3">
        <v>200</v>
      </c>
      <c r="AG17" s="3">
        <v>200</v>
      </c>
      <c r="AH17" s="3">
        <v>200</v>
      </c>
      <c r="AI17" s="3">
        <f t="shared" si="25"/>
        <v>7516</v>
      </c>
      <c r="AJ17" s="3">
        <f t="shared" si="14"/>
        <v>7516</v>
      </c>
      <c r="AK17" s="3">
        <f t="shared" si="15"/>
        <v>9770.7999999999993</v>
      </c>
      <c r="AL17" s="3">
        <f t="shared" si="16"/>
        <v>15032</v>
      </c>
      <c r="AM17" s="3">
        <f t="shared" si="17"/>
        <v>15032</v>
      </c>
      <c r="AN17" s="3">
        <f t="shared" si="26"/>
        <v>15032</v>
      </c>
      <c r="AP17">
        <v>1.8</v>
      </c>
      <c r="AQ17">
        <f>SUM(AP$2:AP17)</f>
        <v>79.959999999999994</v>
      </c>
      <c r="AR17">
        <v>20</v>
      </c>
      <c r="AW17" s="5">
        <v>5387950</v>
      </c>
      <c r="AX17">
        <f t="shared" si="6"/>
        <v>1346988</v>
      </c>
    </row>
    <row r="18" spans="3:50" x14ac:dyDescent="0.2">
      <c r="C18" s="2">
        <v>20</v>
      </c>
      <c r="D18" s="2">
        <v>120</v>
      </c>
      <c r="E18" s="2">
        <v>0.7</v>
      </c>
      <c r="F18" s="3">
        <f t="shared" si="18"/>
        <v>67.187967386369053</v>
      </c>
      <c r="G18" s="3">
        <f t="shared" si="7"/>
        <v>64.191023271053737</v>
      </c>
      <c r="H18" s="2">
        <v>5000</v>
      </c>
      <c r="I18" s="2">
        <v>50000</v>
      </c>
      <c r="J18" s="3">
        <f t="shared" si="8"/>
        <v>0.44791978257579368</v>
      </c>
      <c r="K18" s="3">
        <f t="shared" si="9"/>
        <v>1.9257306981316122</v>
      </c>
      <c r="L18" s="4">
        <f t="shared" si="19"/>
        <v>9065</v>
      </c>
      <c r="M18" s="4">
        <f t="shared" si="10"/>
        <v>248240</v>
      </c>
      <c r="N18" s="5">
        <v>1373928</v>
      </c>
      <c r="O18" s="5">
        <f t="shared" si="11"/>
        <v>1373928</v>
      </c>
      <c r="P18" s="5">
        <f t="shared" si="27"/>
        <v>40998.475463387775</v>
      </c>
      <c r="Q18" s="5">
        <f t="shared" si="28"/>
        <v>1332929.5245366122</v>
      </c>
      <c r="R18" s="2">
        <f t="shared" si="12"/>
        <v>609750</v>
      </c>
      <c r="S18" s="2">
        <f t="shared" si="13"/>
        <v>19824000</v>
      </c>
      <c r="T18" s="2">
        <v>0.3</v>
      </c>
      <c r="U18" s="9">
        <f t="shared" si="3"/>
        <v>6332.6774981776807</v>
      </c>
      <c r="V18" s="9">
        <f t="shared" si="4"/>
        <v>0</v>
      </c>
      <c r="W18" s="2">
        <f t="shared" si="20"/>
        <v>14309957.677498179</v>
      </c>
      <c r="X18" s="2">
        <f t="shared" si="21"/>
        <v>273119.0874255902</v>
      </c>
      <c r="Y18" s="2">
        <f t="shared" si="22"/>
        <v>12725228.453253692</v>
      </c>
      <c r="Z18" s="3">
        <f t="shared" si="23"/>
        <v>0.44791978257579368</v>
      </c>
      <c r="AA18" s="3">
        <f t="shared" si="24"/>
        <v>0.64191023271053738</v>
      </c>
      <c r="AB18" s="2">
        <v>15</v>
      </c>
      <c r="AC18" s="3">
        <v>100</v>
      </c>
      <c r="AD18" s="3">
        <v>100</v>
      </c>
      <c r="AE18" s="6">
        <v>130</v>
      </c>
      <c r="AF18" s="3">
        <v>200</v>
      </c>
      <c r="AG18" s="3">
        <v>200</v>
      </c>
      <c r="AH18" s="3">
        <v>200</v>
      </c>
      <c r="AI18" s="3">
        <f t="shared" si="25"/>
        <v>7816</v>
      </c>
      <c r="AJ18" s="3">
        <f t="shared" si="14"/>
        <v>7816</v>
      </c>
      <c r="AK18" s="3">
        <f t="shared" si="15"/>
        <v>10160.799999999999</v>
      </c>
      <c r="AL18" s="3">
        <f t="shared" si="16"/>
        <v>15632</v>
      </c>
      <c r="AM18" s="3">
        <f t="shared" si="17"/>
        <v>15632</v>
      </c>
      <c r="AN18" s="3">
        <f t="shared" si="26"/>
        <v>15632</v>
      </c>
      <c r="AP18">
        <v>1.1000000000000001</v>
      </c>
      <c r="AQ18">
        <f>SUM(AP$2:AP18)</f>
        <v>81.059999999999988</v>
      </c>
      <c r="AR18">
        <v>20</v>
      </c>
      <c r="AW18" s="5">
        <v>5495710</v>
      </c>
      <c r="AX18">
        <f t="shared" si="6"/>
        <v>1373928</v>
      </c>
    </row>
    <row r="19" spans="3:50" x14ac:dyDescent="0.2">
      <c r="C19" s="2">
        <v>20</v>
      </c>
      <c r="D19" s="2">
        <v>120</v>
      </c>
      <c r="E19" s="2">
        <v>0.7</v>
      </c>
      <c r="F19" s="3">
        <f t="shared" si="18"/>
        <v>58.386167217700972</v>
      </c>
      <c r="G19" s="3">
        <f t="shared" si="7"/>
        <v>59.913745354015226</v>
      </c>
      <c r="H19" s="2">
        <v>5000</v>
      </c>
      <c r="I19" s="2">
        <v>50000</v>
      </c>
      <c r="J19" s="3">
        <f t="shared" si="8"/>
        <v>0.38924111478467316</v>
      </c>
      <c r="K19" s="3">
        <f t="shared" si="9"/>
        <v>1.7974123606204566</v>
      </c>
      <c r="L19" s="4">
        <f t="shared" si="19"/>
        <v>9045</v>
      </c>
      <c r="M19" s="4">
        <f t="shared" si="10"/>
        <v>248120</v>
      </c>
      <c r="N19" s="5">
        <v>1401405</v>
      </c>
      <c r="O19" s="5">
        <f t="shared" si="11"/>
        <v>1401405</v>
      </c>
      <c r="P19" s="5">
        <f t="shared" si="27"/>
        <v>41643.219283746555</v>
      </c>
      <c r="Q19" s="5">
        <f t="shared" si="28"/>
        <v>1359761.7807162534</v>
      </c>
      <c r="R19" s="2">
        <f t="shared" si="12"/>
        <v>606750</v>
      </c>
      <c r="S19" s="2">
        <f t="shared" si="13"/>
        <v>19812000</v>
      </c>
      <c r="T19" s="2">
        <v>0.3</v>
      </c>
      <c r="U19" s="9">
        <f t="shared" si="3"/>
        <v>5850.1609507850926</v>
      </c>
      <c r="V19" s="9">
        <f t="shared" si="4"/>
        <v>0</v>
      </c>
      <c r="W19" s="2">
        <f t="shared" si="20"/>
        <v>14298975.160950786</v>
      </c>
      <c r="X19" s="2">
        <f t="shared" si="21"/>
        <v>236172.04639560045</v>
      </c>
      <c r="Y19" s="2">
        <f t="shared" si="22"/>
        <v>11870111.229537496</v>
      </c>
      <c r="Z19" s="3">
        <f t="shared" si="23"/>
        <v>0.38924111478467316</v>
      </c>
      <c r="AA19" s="3">
        <f t="shared" si="24"/>
        <v>0.59913745354015224</v>
      </c>
      <c r="AB19" s="4">
        <v>16</v>
      </c>
      <c r="AC19" s="3">
        <v>100</v>
      </c>
      <c r="AD19" s="3">
        <v>100</v>
      </c>
      <c r="AE19" s="6">
        <v>130</v>
      </c>
      <c r="AF19" s="3">
        <v>200</v>
      </c>
      <c r="AG19" s="3">
        <v>200</v>
      </c>
      <c r="AH19" s="3">
        <v>200</v>
      </c>
      <c r="AI19" s="3">
        <f t="shared" si="25"/>
        <v>7995.9999999999991</v>
      </c>
      <c r="AJ19" s="3">
        <f t="shared" si="14"/>
        <v>7995.9999999999991</v>
      </c>
      <c r="AK19" s="3">
        <f t="shared" si="15"/>
        <v>10394.799999999999</v>
      </c>
      <c r="AL19" s="3">
        <f t="shared" si="16"/>
        <v>15991.999999999998</v>
      </c>
      <c r="AM19" s="3">
        <f t="shared" si="17"/>
        <v>15991.999999999998</v>
      </c>
      <c r="AN19" s="3">
        <f t="shared" si="26"/>
        <v>15991.999999999998</v>
      </c>
      <c r="AP19">
        <v>0.5</v>
      </c>
      <c r="AQ19">
        <f>SUM(AP$2:AP19)</f>
        <v>81.559999999999988</v>
      </c>
      <c r="AR19">
        <v>20</v>
      </c>
      <c r="AW19" s="5">
        <v>5605620</v>
      </c>
      <c r="AX19">
        <f t="shared" si="6"/>
        <v>1401405</v>
      </c>
    </row>
    <row r="20" spans="3:50" x14ac:dyDescent="0.2">
      <c r="C20" s="2">
        <v>20</v>
      </c>
      <c r="D20" s="2">
        <v>120</v>
      </c>
      <c r="E20" s="2">
        <v>0.7</v>
      </c>
      <c r="F20" s="3">
        <f t="shared" si="18"/>
        <v>49.202913831747971</v>
      </c>
      <c r="G20" s="3">
        <f t="shared" si="7"/>
        <v>55.333877344722815</v>
      </c>
      <c r="H20" s="2">
        <v>5000</v>
      </c>
      <c r="I20" s="2">
        <v>50000</v>
      </c>
      <c r="J20" s="3">
        <f t="shared" si="8"/>
        <v>0.32801942554498648</v>
      </c>
      <c r="K20" s="3">
        <f t="shared" si="9"/>
        <v>1.6600163203416844</v>
      </c>
      <c r="L20" s="4">
        <f t="shared" si="19"/>
        <v>9025</v>
      </c>
      <c r="M20" s="4">
        <f t="shared" si="10"/>
        <v>248000</v>
      </c>
      <c r="N20" s="5">
        <v>1429433</v>
      </c>
      <c r="O20" s="5">
        <f>INT(Z20&gt;T20)*MIN(N20,W20)</f>
        <v>1429433</v>
      </c>
      <c r="P20" s="5">
        <f t="shared" si="27"/>
        <v>42297.135269251972</v>
      </c>
      <c r="Q20" s="5">
        <f t="shared" si="28"/>
        <v>1387135.8647307481</v>
      </c>
      <c r="R20" s="2">
        <f t="shared" si="12"/>
        <v>603750</v>
      </c>
      <c r="S20" s="2">
        <f t="shared" si="13"/>
        <v>19800000</v>
      </c>
      <c r="T20" s="2">
        <v>0.3</v>
      </c>
      <c r="U20" s="9">
        <f t="shared" si="3"/>
        <v>5336.8864906011868</v>
      </c>
      <c r="V20" s="9">
        <f t="shared" si="4"/>
        <v>0</v>
      </c>
      <c r="W20" s="2">
        <f t="shared" si="20"/>
        <v>14287961.886490602</v>
      </c>
      <c r="X20" s="2">
        <f t="shared" si="21"/>
        <v>198041.72817278557</v>
      </c>
      <c r="Y20" s="2">
        <f t="shared" si="22"/>
        <v>10956107.714255117</v>
      </c>
      <c r="Z20" s="3">
        <f t="shared" si="23"/>
        <v>0.32801942554498648</v>
      </c>
      <c r="AA20" s="3">
        <f t="shared" si="24"/>
        <v>0.55333877344722815</v>
      </c>
      <c r="AB20" s="4">
        <v>17</v>
      </c>
      <c r="AC20" s="3">
        <v>100</v>
      </c>
      <c r="AD20" s="3">
        <v>100</v>
      </c>
      <c r="AE20" s="6">
        <v>130</v>
      </c>
      <c r="AF20" s="3">
        <v>200</v>
      </c>
      <c r="AG20" s="3">
        <v>200</v>
      </c>
      <c r="AH20" s="3">
        <v>200</v>
      </c>
      <c r="AI20" s="3">
        <f t="shared" si="25"/>
        <v>8105.9999999999991</v>
      </c>
      <c r="AJ20" s="3">
        <f t="shared" si="14"/>
        <v>8105.9999999999991</v>
      </c>
      <c r="AK20" s="3">
        <f t="shared" si="15"/>
        <v>10537.8</v>
      </c>
      <c r="AL20" s="3">
        <f t="shared" si="16"/>
        <v>16211.999999999998</v>
      </c>
      <c r="AM20" s="3">
        <f t="shared" si="17"/>
        <v>16211.999999999998</v>
      </c>
      <c r="AN20" s="3">
        <f t="shared" si="26"/>
        <v>16211.999999999998</v>
      </c>
      <c r="AP20">
        <v>0.3</v>
      </c>
      <c r="AQ20">
        <f>SUM(AP$2:AP20)</f>
        <v>81.859999999999985</v>
      </c>
      <c r="AR20">
        <v>20</v>
      </c>
      <c r="AW20" s="5">
        <v>5717730</v>
      </c>
      <c r="AX20">
        <f t="shared" si="6"/>
        <v>1429433</v>
      </c>
    </row>
    <row r="21" spans="3:50" x14ac:dyDescent="0.2">
      <c r="C21" s="2">
        <v>20</v>
      </c>
      <c r="D21" s="2">
        <v>120</v>
      </c>
      <c r="E21" s="2">
        <v>0.7</v>
      </c>
      <c r="F21" s="3">
        <f t="shared" si="18"/>
        <v>39.625070619367335</v>
      </c>
      <c r="G21" s="3">
        <f t="shared" si="7"/>
        <v>50.436914771632637</v>
      </c>
      <c r="H21" s="2">
        <v>5000</v>
      </c>
      <c r="I21" s="2">
        <v>50000</v>
      </c>
      <c r="J21" s="3">
        <f t="shared" si="8"/>
        <v>0.26416713746244891</v>
      </c>
      <c r="K21" s="3">
        <f t="shared" si="9"/>
        <v>1.513107443148979</v>
      </c>
      <c r="L21" s="4">
        <f t="shared" si="19"/>
        <v>9005</v>
      </c>
      <c r="M21" s="4">
        <f t="shared" si="10"/>
        <v>247880</v>
      </c>
      <c r="N21" s="5">
        <v>1458020</v>
      </c>
      <c r="O21" s="5">
        <f t="shared" si="11"/>
        <v>0</v>
      </c>
      <c r="P21" s="5">
        <f t="shared" si="27"/>
        <v>0</v>
      </c>
      <c r="Q21" s="5">
        <f t="shared" si="28"/>
        <v>0</v>
      </c>
      <c r="R21" s="2">
        <f t="shared" si="12"/>
        <v>600750</v>
      </c>
      <c r="S21" s="2">
        <f t="shared" si="13"/>
        <v>19788000</v>
      </c>
      <c r="T21" s="2">
        <v>0.3</v>
      </c>
      <c r="U21" s="9">
        <f t="shared" si="3"/>
        <v>4791.4518294882846</v>
      </c>
      <c r="V21" s="9">
        <f t="shared" si="4"/>
        <v>0</v>
      </c>
      <c r="W21" s="2">
        <f t="shared" si="20"/>
        <v>14276916.451829487</v>
      </c>
      <c r="X21" s="2">
        <f t="shared" si="21"/>
        <v>158698.4078305662</v>
      </c>
      <c r="Y21" s="2">
        <f t="shared" si="22"/>
        <v>9980456.6950106658</v>
      </c>
      <c r="Z21" s="3">
        <f t="shared" si="23"/>
        <v>0.26416713746244891</v>
      </c>
      <c r="AA21" s="3">
        <f t="shared" si="24"/>
        <v>0.50436914771632635</v>
      </c>
      <c r="AB21" s="2">
        <v>18</v>
      </c>
      <c r="AC21" s="3">
        <v>100</v>
      </c>
      <c r="AD21" s="3">
        <v>100</v>
      </c>
      <c r="AE21" s="6">
        <v>130</v>
      </c>
      <c r="AF21" s="3">
        <v>200</v>
      </c>
      <c r="AG21" s="3">
        <v>200</v>
      </c>
      <c r="AH21" s="3">
        <v>200</v>
      </c>
      <c r="AI21" s="3">
        <f t="shared" si="25"/>
        <v>8155.9999999999991</v>
      </c>
      <c r="AJ21" s="3">
        <f t="shared" si="14"/>
        <v>8155.9999999999991</v>
      </c>
      <c r="AK21" s="3">
        <f t="shared" si="15"/>
        <v>10602.8</v>
      </c>
      <c r="AL21" s="3">
        <f t="shared" si="16"/>
        <v>16311.999999999998</v>
      </c>
      <c r="AM21" s="3">
        <f t="shared" si="17"/>
        <v>16311.999999999998</v>
      </c>
      <c r="AN21" s="3">
        <f t="shared" si="26"/>
        <v>16311.999999999998</v>
      </c>
      <c r="AP21">
        <v>0.2</v>
      </c>
      <c r="AQ21">
        <f>SUM(AP$2:AP21)</f>
        <v>82.059999999999988</v>
      </c>
      <c r="AR21">
        <v>20</v>
      </c>
      <c r="AW21" s="5">
        <v>5832080</v>
      </c>
      <c r="AX21">
        <f t="shared" si="6"/>
        <v>1458020</v>
      </c>
    </row>
    <row r="22" spans="3:50" x14ac:dyDescent="0.2">
      <c r="C22" s="2">
        <v>20</v>
      </c>
      <c r="D22" s="2">
        <v>120</v>
      </c>
      <c r="E22" s="2">
        <v>0.7</v>
      </c>
      <c r="F22" s="3">
        <f t="shared" si="18"/>
        <v>40.419560742952648</v>
      </c>
      <c r="G22" s="3">
        <f t="shared" si="7"/>
        <v>52.363188688942444</v>
      </c>
      <c r="H22" s="2">
        <v>5000</v>
      </c>
      <c r="I22" s="2">
        <v>50000</v>
      </c>
      <c r="J22" s="3">
        <f t="shared" si="8"/>
        <v>0.26946373828635101</v>
      </c>
      <c r="K22" s="3">
        <f t="shared" si="9"/>
        <v>1.5708956606682731</v>
      </c>
      <c r="L22" s="4">
        <f t="shared" si="19"/>
        <v>8985</v>
      </c>
      <c r="M22" s="4">
        <f t="shared" si="10"/>
        <v>247760</v>
      </c>
      <c r="N22" s="5">
        <v>1487180</v>
      </c>
      <c r="O22" s="5">
        <f t="shared" si="11"/>
        <v>0</v>
      </c>
      <c r="P22" s="5">
        <f t="shared" si="27"/>
        <v>0</v>
      </c>
      <c r="Q22" s="5">
        <f t="shared" si="28"/>
        <v>0</v>
      </c>
      <c r="R22" s="2">
        <f t="shared" si="12"/>
        <v>597750</v>
      </c>
      <c r="S22" s="2">
        <f t="shared" si="13"/>
        <v>19776000</v>
      </c>
      <c r="T22" s="2">
        <v>0.3</v>
      </c>
      <c r="U22" s="9">
        <f t="shared" si="3"/>
        <v>4964.3817002725018</v>
      </c>
      <c r="V22" s="9">
        <f t="shared" si="4"/>
        <v>0</v>
      </c>
      <c r="W22" s="2">
        <f t="shared" si="20"/>
        <v>14266589.381700272</v>
      </c>
      <c r="X22" s="2">
        <f t="shared" si="21"/>
        <v>161071.94956066631</v>
      </c>
      <c r="Y22" s="2">
        <f t="shared" si="22"/>
        <v>10355344.195125258</v>
      </c>
      <c r="Z22" s="3">
        <f t="shared" si="23"/>
        <v>0.26946373828635101</v>
      </c>
      <c r="AA22" s="3">
        <f t="shared" si="24"/>
        <v>0.52363188688942441</v>
      </c>
      <c r="AB22" s="4">
        <v>19</v>
      </c>
      <c r="AC22" s="3">
        <v>100</v>
      </c>
      <c r="AD22" s="3">
        <v>100</v>
      </c>
      <c r="AE22" s="6">
        <v>130</v>
      </c>
      <c r="AF22" s="3">
        <v>200</v>
      </c>
      <c r="AG22" s="3">
        <v>200</v>
      </c>
      <c r="AH22" s="3">
        <v>200</v>
      </c>
      <c r="AI22" s="3">
        <f t="shared" si="25"/>
        <v>8185.9999999999982</v>
      </c>
      <c r="AJ22" s="3">
        <f t="shared" si="14"/>
        <v>8185.9999999999982</v>
      </c>
      <c r="AK22" s="3">
        <f t="shared" si="15"/>
        <v>10641.799999999997</v>
      </c>
      <c r="AL22" s="3">
        <f t="shared" si="16"/>
        <v>16371.999999999996</v>
      </c>
      <c r="AM22" s="3">
        <f t="shared" si="17"/>
        <v>16371.999999999996</v>
      </c>
      <c r="AN22" s="3">
        <f t="shared" si="26"/>
        <v>16371.999999999996</v>
      </c>
      <c r="AP22">
        <v>0.18</v>
      </c>
      <c r="AQ22">
        <f>SUM(AP$2:AP22)</f>
        <v>82.24</v>
      </c>
      <c r="AR22">
        <v>20</v>
      </c>
      <c r="AW22" s="5">
        <v>5948720</v>
      </c>
      <c r="AX22">
        <f t="shared" si="6"/>
        <v>1487180</v>
      </c>
    </row>
    <row r="23" spans="3:50" x14ac:dyDescent="0.2">
      <c r="C23" s="2">
        <v>20</v>
      </c>
      <c r="D23" s="2">
        <v>120</v>
      </c>
      <c r="E23" s="2">
        <v>0.7</v>
      </c>
      <c r="F23" s="3">
        <f t="shared" si="18"/>
        <v>41.23270919909293</v>
      </c>
      <c r="G23" s="3">
        <f t="shared" si="7"/>
        <v>54.36329081427418</v>
      </c>
      <c r="H23" s="2">
        <v>5000</v>
      </c>
      <c r="I23" s="2">
        <v>50000</v>
      </c>
      <c r="J23" s="3">
        <f t="shared" si="8"/>
        <v>0.27488472799395286</v>
      </c>
      <c r="K23" s="3">
        <f t="shared" si="9"/>
        <v>1.6308987244282254</v>
      </c>
      <c r="L23" s="4">
        <f t="shared" si="19"/>
        <v>8965</v>
      </c>
      <c r="M23" s="4">
        <f t="shared" si="10"/>
        <v>247640</v>
      </c>
      <c r="N23" s="5">
        <v>1516923</v>
      </c>
      <c r="O23" s="5">
        <f t="shared" si="11"/>
        <v>0</v>
      </c>
      <c r="P23" s="5">
        <f t="shared" si="27"/>
        <v>0</v>
      </c>
      <c r="Q23" s="5">
        <f t="shared" si="28"/>
        <v>0</v>
      </c>
      <c r="R23" s="2">
        <f t="shared" si="12"/>
        <v>594750</v>
      </c>
      <c r="S23" s="2">
        <f t="shared" si="13"/>
        <v>19764000</v>
      </c>
      <c r="T23" s="2">
        <v>0.3</v>
      </c>
      <c r="U23" s="9">
        <f t="shared" si="3"/>
        <v>5143.7743571863321</v>
      </c>
      <c r="V23" s="9">
        <f t="shared" si="4"/>
        <v>0</v>
      </c>
      <c r="W23" s="2">
        <f t="shared" si="20"/>
        <v>14256268.774357187</v>
      </c>
      <c r="X23" s="2">
        <f t="shared" si="21"/>
        <v>163487.69197440345</v>
      </c>
      <c r="Y23" s="2">
        <f t="shared" si="22"/>
        <v>10744360.796533149</v>
      </c>
      <c r="Z23" s="3">
        <f t="shared" si="23"/>
        <v>0.27488472799395286</v>
      </c>
      <c r="AA23" s="3">
        <f t="shared" si="24"/>
        <v>0.54363290814274179</v>
      </c>
      <c r="AB23" s="4">
        <v>20</v>
      </c>
      <c r="AC23" s="3">
        <v>100</v>
      </c>
      <c r="AD23" s="3">
        <v>100</v>
      </c>
      <c r="AE23" s="6">
        <v>130</v>
      </c>
      <c r="AF23" s="3">
        <v>200</v>
      </c>
      <c r="AG23" s="3">
        <v>200</v>
      </c>
      <c r="AH23" s="3">
        <v>200</v>
      </c>
      <c r="AI23" s="3">
        <f t="shared" si="25"/>
        <v>8205.9999999999982</v>
      </c>
      <c r="AJ23" s="3">
        <f t="shared" si="14"/>
        <v>8205.9999999999982</v>
      </c>
      <c r="AK23" s="3">
        <f t="shared" si="15"/>
        <v>10667.8</v>
      </c>
      <c r="AL23" s="3">
        <f t="shared" si="16"/>
        <v>16411.999999999996</v>
      </c>
      <c r="AM23" s="3">
        <f t="shared" si="17"/>
        <v>16411.999999999996</v>
      </c>
      <c r="AN23" s="3">
        <f t="shared" si="26"/>
        <v>16411.999999999996</v>
      </c>
      <c r="AP23">
        <v>0.17</v>
      </c>
      <c r="AQ23">
        <f>SUM(AP$2:AP23)</f>
        <v>82.41</v>
      </c>
      <c r="AR23">
        <v>20</v>
      </c>
      <c r="AW23" s="5">
        <v>6067690</v>
      </c>
      <c r="AX23">
        <f t="shared" si="6"/>
        <v>1516923</v>
      </c>
    </row>
    <row r="24" spans="3:50" x14ac:dyDescent="0.2">
      <c r="C24" s="2">
        <v>20</v>
      </c>
      <c r="D24" s="2">
        <v>120</v>
      </c>
      <c r="E24" s="2">
        <v>0.7</v>
      </c>
      <c r="F24" s="3">
        <f t="shared" si="18"/>
        <v>42.065028102993502</v>
      </c>
      <c r="G24" s="3">
        <f t="shared" si="7"/>
        <v>56.440061000423356</v>
      </c>
      <c r="H24" s="2">
        <v>5000</v>
      </c>
      <c r="I24" s="2">
        <v>50000</v>
      </c>
      <c r="J24" s="3">
        <f t="shared" si="8"/>
        <v>0.28043352068662336</v>
      </c>
      <c r="K24" s="3">
        <f t="shared" si="9"/>
        <v>1.6932018300127007</v>
      </c>
      <c r="L24" s="4">
        <f t="shared" si="19"/>
        <v>8945</v>
      </c>
      <c r="M24" s="4">
        <f t="shared" si="10"/>
        <v>247520</v>
      </c>
      <c r="N24" s="5">
        <v>1547260</v>
      </c>
      <c r="O24" s="5">
        <f t="shared" si="11"/>
        <v>0</v>
      </c>
      <c r="P24" s="5">
        <f t="shared" si="27"/>
        <v>0</v>
      </c>
      <c r="Q24" s="5">
        <f t="shared" si="28"/>
        <v>0</v>
      </c>
      <c r="R24" s="2">
        <f t="shared" si="12"/>
        <v>591750</v>
      </c>
      <c r="S24" s="2">
        <f t="shared" si="13"/>
        <v>19752000</v>
      </c>
      <c r="T24" s="2">
        <v>0.3</v>
      </c>
      <c r="U24" s="9">
        <f t="shared" si="3"/>
        <v>5329.8755174774706</v>
      </c>
      <c r="V24" s="9">
        <f t="shared" si="4"/>
        <v>8224</v>
      </c>
      <c r="W24" s="2">
        <f t="shared" si="20"/>
        <v>14245954.875517478</v>
      </c>
      <c r="X24" s="2">
        <f t="shared" si="21"/>
        <v>165946.53586630936</v>
      </c>
      <c r="Y24" s="2">
        <f t="shared" si="22"/>
        <v>11148040.848803623</v>
      </c>
      <c r="Z24" s="3">
        <f t="shared" si="23"/>
        <v>0.28043352068662336</v>
      </c>
      <c r="AA24" s="3">
        <f t="shared" si="24"/>
        <v>0.56440061000423358</v>
      </c>
      <c r="AB24" s="2">
        <v>21</v>
      </c>
      <c r="AC24" s="3">
        <v>100</v>
      </c>
      <c r="AD24" s="3">
        <v>100</v>
      </c>
      <c r="AE24" s="6">
        <v>130</v>
      </c>
      <c r="AF24" s="3">
        <v>200</v>
      </c>
      <c r="AG24" s="3">
        <v>200</v>
      </c>
      <c r="AH24" s="3">
        <v>200</v>
      </c>
      <c r="AI24" s="3">
        <f t="shared" si="25"/>
        <v>8224</v>
      </c>
      <c r="AJ24" s="3">
        <f t="shared" si="14"/>
        <v>8224</v>
      </c>
      <c r="AK24" s="3">
        <f t="shared" si="15"/>
        <v>10691.199999999999</v>
      </c>
      <c r="AL24" s="3">
        <f t="shared" si="16"/>
        <v>16448</v>
      </c>
      <c r="AM24" s="3">
        <f t="shared" si="17"/>
        <v>16448</v>
      </c>
      <c r="AN24" s="3">
        <f t="shared" si="26"/>
        <v>16448</v>
      </c>
      <c r="AP24">
        <v>0.16</v>
      </c>
      <c r="AQ24">
        <f>SUM(AP$2:AP24)</f>
        <v>82.57</v>
      </c>
      <c r="AR24">
        <v>20</v>
      </c>
      <c r="AW24" s="5">
        <v>6189040</v>
      </c>
      <c r="AX24">
        <f t="shared" si="6"/>
        <v>1547260</v>
      </c>
    </row>
    <row r="25" spans="3:50" x14ac:dyDescent="0.2">
      <c r="C25" s="2">
        <v>20</v>
      </c>
      <c r="D25" s="2">
        <v>120</v>
      </c>
      <c r="E25" s="2">
        <v>0.7</v>
      </c>
      <c r="F25" s="3">
        <f t="shared" si="18"/>
        <v>42.9170458696656</v>
      </c>
      <c r="G25" s="3">
        <f t="shared" si="7"/>
        <v>58.596448741381792</v>
      </c>
      <c r="H25" s="2">
        <v>5000</v>
      </c>
      <c r="I25" s="2">
        <v>50000</v>
      </c>
      <c r="J25" s="3">
        <f t="shared" si="8"/>
        <v>0.28611363913110399</v>
      </c>
      <c r="K25" s="3">
        <f t="shared" si="9"/>
        <v>1.7578934622414537</v>
      </c>
      <c r="L25" s="4">
        <f t="shared" si="19"/>
        <v>8925</v>
      </c>
      <c r="M25" s="4">
        <f t="shared" si="10"/>
        <v>247400</v>
      </c>
      <c r="N25" s="5">
        <v>1578205</v>
      </c>
      <c r="O25" s="5">
        <f t="shared" si="11"/>
        <v>0</v>
      </c>
      <c r="P25" s="5">
        <f t="shared" si="27"/>
        <v>0</v>
      </c>
      <c r="Q25" s="5">
        <f t="shared" si="28"/>
        <v>0</v>
      </c>
      <c r="R25" s="2">
        <f t="shared" si="12"/>
        <v>588750</v>
      </c>
      <c r="S25" s="2">
        <f t="shared" si="13"/>
        <v>19740000</v>
      </c>
      <c r="T25" s="2">
        <v>0.3</v>
      </c>
      <c r="U25" s="9">
        <f t="shared" si="3"/>
        <v>5522.9403364513892</v>
      </c>
      <c r="V25" s="9">
        <f t="shared" si="4"/>
        <v>16482</v>
      </c>
      <c r="W25" s="2">
        <f t="shared" si="20"/>
        <v>14235647.940336451</v>
      </c>
      <c r="X25" s="2">
        <f t="shared" si="21"/>
        <v>168449.40503843749</v>
      </c>
      <c r="Y25" s="2">
        <f t="shared" si="22"/>
        <v>11566938.981548766</v>
      </c>
      <c r="Z25" s="3">
        <f t="shared" si="23"/>
        <v>0.28611363913110399</v>
      </c>
      <c r="AA25" s="3">
        <f t="shared" si="24"/>
        <v>0.5859644874138179</v>
      </c>
      <c r="AB25" s="4">
        <v>22</v>
      </c>
      <c r="AC25" s="3">
        <v>100</v>
      </c>
      <c r="AD25" s="3">
        <v>100</v>
      </c>
      <c r="AE25" s="6">
        <v>130</v>
      </c>
      <c r="AF25" s="3">
        <v>200</v>
      </c>
      <c r="AG25" s="3">
        <v>200</v>
      </c>
      <c r="AH25" s="3">
        <v>200</v>
      </c>
      <c r="AI25" s="3">
        <f t="shared" si="25"/>
        <v>8241</v>
      </c>
      <c r="AJ25" s="3">
        <f t="shared" si="14"/>
        <v>8241</v>
      </c>
      <c r="AK25" s="3">
        <f t="shared" si="15"/>
        <v>10713.3</v>
      </c>
      <c r="AL25" s="3">
        <f t="shared" si="16"/>
        <v>16482</v>
      </c>
      <c r="AM25" s="3">
        <f t="shared" si="17"/>
        <v>16482</v>
      </c>
      <c r="AN25" s="3">
        <f t="shared" si="26"/>
        <v>16482</v>
      </c>
      <c r="AP25">
        <v>0.15</v>
      </c>
      <c r="AQ25">
        <f>SUM(AP$2:AP25)</f>
        <v>82.72</v>
      </c>
      <c r="AR25">
        <v>20</v>
      </c>
      <c r="AW25" s="5">
        <v>6312820</v>
      </c>
      <c r="AX25">
        <f t="shared" si="6"/>
        <v>1578205</v>
      </c>
    </row>
    <row r="26" spans="3:50" x14ac:dyDescent="0.2">
      <c r="C26" s="2">
        <v>20</v>
      </c>
      <c r="D26" s="2">
        <v>120</v>
      </c>
      <c r="E26" s="2">
        <v>0.7</v>
      </c>
      <c r="F26" s="3">
        <f t="shared" si="18"/>
        <v>43.789307809193332</v>
      </c>
      <c r="G26" s="3">
        <f t="shared" si="7"/>
        <v>60.835517421390072</v>
      </c>
      <c r="H26" s="2">
        <v>5000</v>
      </c>
      <c r="I26" s="2">
        <v>50000</v>
      </c>
      <c r="J26" s="3">
        <f t="shared" si="8"/>
        <v>0.29192871872795556</v>
      </c>
      <c r="K26" s="3">
        <f t="shared" si="9"/>
        <v>1.8250655226417023</v>
      </c>
      <c r="L26" s="4">
        <f t="shared" si="19"/>
        <v>8905</v>
      </c>
      <c r="M26" s="4">
        <f t="shared" si="10"/>
        <v>247280</v>
      </c>
      <c r="N26" s="5">
        <v>1609770</v>
      </c>
      <c r="O26" s="5">
        <f t="shared" si="11"/>
        <v>0</v>
      </c>
      <c r="P26" s="5">
        <f t="shared" si="27"/>
        <v>0</v>
      </c>
      <c r="Q26" s="5">
        <f t="shared" si="28"/>
        <v>0</v>
      </c>
      <c r="R26" s="2">
        <f t="shared" si="12"/>
        <v>585750</v>
      </c>
      <c r="S26" s="2">
        <f t="shared" si="13"/>
        <v>19728000</v>
      </c>
      <c r="T26" s="2">
        <v>0.3</v>
      </c>
      <c r="U26" s="9">
        <f t="shared" si="3"/>
        <v>5723.2337727254726</v>
      </c>
      <c r="V26" s="9">
        <f t="shared" si="4"/>
        <v>27248.1</v>
      </c>
      <c r="W26" s="2">
        <f t="shared" si="20"/>
        <v>14225348.233772725</v>
      </c>
      <c r="X26" s="2">
        <f t="shared" si="21"/>
        <v>170997.24699489996</v>
      </c>
      <c r="Y26" s="2">
        <f t="shared" si="22"/>
        <v>12001630.876891833</v>
      </c>
      <c r="Z26" s="3">
        <f t="shared" si="23"/>
        <v>0.29192871872795556</v>
      </c>
      <c r="AA26" s="3">
        <f t="shared" si="24"/>
        <v>0.60835517421390073</v>
      </c>
      <c r="AB26" s="4">
        <v>23</v>
      </c>
      <c r="AC26" s="3">
        <v>100</v>
      </c>
      <c r="AD26" s="3">
        <v>100</v>
      </c>
      <c r="AE26" s="6">
        <v>130</v>
      </c>
      <c r="AF26" s="3">
        <v>200</v>
      </c>
      <c r="AG26" s="3">
        <v>200</v>
      </c>
      <c r="AH26" s="3">
        <v>200</v>
      </c>
      <c r="AI26" s="3">
        <f t="shared" si="25"/>
        <v>8257</v>
      </c>
      <c r="AJ26" s="3">
        <f t="shared" si="14"/>
        <v>8257</v>
      </c>
      <c r="AK26" s="3">
        <f t="shared" si="15"/>
        <v>10734.099999999999</v>
      </c>
      <c r="AL26" s="3">
        <f t="shared" si="16"/>
        <v>16514</v>
      </c>
      <c r="AM26" s="3">
        <f t="shared" si="17"/>
        <v>16514</v>
      </c>
      <c r="AN26" s="3">
        <f t="shared" si="26"/>
        <v>16514</v>
      </c>
      <c r="AP26">
        <v>0.14000000000000001</v>
      </c>
      <c r="AQ26">
        <f>SUM(AP$2:AP26)</f>
        <v>82.86</v>
      </c>
      <c r="AR26">
        <v>20</v>
      </c>
      <c r="AW26" s="5">
        <v>6439080</v>
      </c>
      <c r="AX26">
        <f t="shared" si="6"/>
        <v>1609770</v>
      </c>
    </row>
    <row r="27" spans="3:50" x14ac:dyDescent="0.2">
      <c r="C27" s="2">
        <v>10</v>
      </c>
      <c r="D27" s="2">
        <v>120</v>
      </c>
      <c r="E27" s="2">
        <v>0.7</v>
      </c>
      <c r="F27" s="3">
        <f t="shared" si="18"/>
        <v>44.682376746666108</v>
      </c>
      <c r="G27" s="3">
        <f t="shared" si="7"/>
        <v>63.16044872929578</v>
      </c>
      <c r="H27" s="2">
        <v>5000</v>
      </c>
      <c r="I27" s="2">
        <v>50000</v>
      </c>
      <c r="J27" s="3">
        <f t="shared" si="8"/>
        <v>0.29788251164444074</v>
      </c>
      <c r="K27" s="3">
        <f t="shared" si="9"/>
        <v>1.8948134618788735</v>
      </c>
      <c r="L27" s="4">
        <f t="shared" si="19"/>
        <v>8885</v>
      </c>
      <c r="M27" s="4">
        <f t="shared" si="10"/>
        <v>247160</v>
      </c>
      <c r="N27" s="5">
        <v>1641965</v>
      </c>
      <c r="O27" s="5">
        <f t="shared" si="11"/>
        <v>0</v>
      </c>
      <c r="P27" s="5">
        <f t="shared" si="27"/>
        <v>0</v>
      </c>
      <c r="Q27" s="5">
        <f t="shared" si="28"/>
        <v>0</v>
      </c>
      <c r="R27" s="2">
        <f t="shared" si="12"/>
        <v>582750</v>
      </c>
      <c r="S27" s="2">
        <f t="shared" si="13"/>
        <v>19716000</v>
      </c>
      <c r="T27" s="2">
        <v>0.3</v>
      </c>
      <c r="U27" s="9">
        <f t="shared" si="3"/>
        <v>5618.2543304875071</v>
      </c>
      <c r="V27" s="9">
        <f t="shared" si="4"/>
        <v>43841.599999999999</v>
      </c>
      <c r="W27" s="2">
        <f t="shared" si="20"/>
        <v>14214743.254330488</v>
      </c>
      <c r="X27" s="2">
        <f t="shared" si="21"/>
        <v>173591.03366079784</v>
      </c>
      <c r="Y27" s="2">
        <f t="shared" si="22"/>
        <v>12452714.071467957</v>
      </c>
      <c r="Z27" s="3">
        <f t="shared" si="23"/>
        <v>0.29788251164444074</v>
      </c>
      <c r="AA27" s="3">
        <f t="shared" si="24"/>
        <v>0.63160448729295782</v>
      </c>
      <c r="AB27" s="2">
        <v>24</v>
      </c>
      <c r="AC27" s="3">
        <v>100</v>
      </c>
      <c r="AD27" s="3">
        <v>100</v>
      </c>
      <c r="AE27" s="6">
        <v>130</v>
      </c>
      <c r="AF27" s="3">
        <v>200</v>
      </c>
      <c r="AG27" s="3">
        <v>200</v>
      </c>
      <c r="AH27" s="3">
        <v>200</v>
      </c>
      <c r="AI27" s="3">
        <f t="shared" si="25"/>
        <v>8272</v>
      </c>
      <c r="AJ27" s="3">
        <f t="shared" si="14"/>
        <v>8272</v>
      </c>
      <c r="AK27" s="3">
        <f t="shared" si="15"/>
        <v>10753.6</v>
      </c>
      <c r="AL27" s="3">
        <f t="shared" si="16"/>
        <v>16544</v>
      </c>
      <c r="AM27" s="3">
        <f t="shared" si="17"/>
        <v>16544</v>
      </c>
      <c r="AN27" s="3">
        <f t="shared" si="26"/>
        <v>16544</v>
      </c>
      <c r="AP27">
        <v>0.13</v>
      </c>
      <c r="AQ27">
        <f>SUM(AP$2:AP27)</f>
        <v>82.99</v>
      </c>
      <c r="AR27">
        <v>20</v>
      </c>
      <c r="AW27" s="5">
        <v>6567860</v>
      </c>
      <c r="AX27">
        <f t="shared" si="6"/>
        <v>1641965</v>
      </c>
    </row>
    <row r="28" spans="3:50" x14ac:dyDescent="0.2">
      <c r="C28" s="2">
        <v>10</v>
      </c>
      <c r="D28" s="2">
        <v>120</v>
      </c>
      <c r="E28" s="2">
        <v>0.7</v>
      </c>
      <c r="F28" s="3">
        <f t="shared" si="18"/>
        <v>45.4799331488109</v>
      </c>
      <c r="G28" s="3">
        <f t="shared" si="7"/>
        <v>65.574547244673738</v>
      </c>
      <c r="H28" s="2">
        <v>5000</v>
      </c>
      <c r="I28" s="2">
        <v>50000</v>
      </c>
      <c r="J28" s="3">
        <f t="shared" si="8"/>
        <v>0.30319955432540602</v>
      </c>
      <c r="K28" s="3">
        <f t="shared" si="9"/>
        <v>1.9672364173402124</v>
      </c>
      <c r="L28" s="4">
        <f t="shared" si="19"/>
        <v>8875</v>
      </c>
      <c r="M28" s="4">
        <f t="shared" si="10"/>
        <v>247040</v>
      </c>
      <c r="N28" s="5">
        <v>1674805</v>
      </c>
      <c r="O28" s="5">
        <f t="shared" si="11"/>
        <v>1674805</v>
      </c>
      <c r="P28" s="5">
        <f t="shared" si="27"/>
        <v>47989.569083447335</v>
      </c>
      <c r="Q28" s="5">
        <f t="shared" si="28"/>
        <v>1626815.4309165527</v>
      </c>
      <c r="R28" s="2">
        <f t="shared" si="12"/>
        <v>581250</v>
      </c>
      <c r="S28" s="2">
        <f t="shared" si="13"/>
        <v>19704000</v>
      </c>
      <c r="T28" s="2">
        <v>0.3</v>
      </c>
      <c r="U28" s="9">
        <f t="shared" si="3"/>
        <v>5826.6215005942704</v>
      </c>
      <c r="V28" s="9">
        <f t="shared" si="4"/>
        <v>60487.8</v>
      </c>
      <c r="W28" s="2">
        <f t="shared" si="20"/>
        <v>14205501.621500595</v>
      </c>
      <c r="X28" s="2">
        <f t="shared" si="21"/>
        <v>176234.74095164225</v>
      </c>
      <c r="Y28" s="2">
        <f t="shared" si="22"/>
        <v>12920808.789090514</v>
      </c>
      <c r="Z28" s="3">
        <f t="shared" si="23"/>
        <v>0.30319955432540602</v>
      </c>
      <c r="AA28" s="3">
        <f t="shared" si="24"/>
        <v>0.65574547244673742</v>
      </c>
      <c r="AB28" s="4">
        <v>25</v>
      </c>
      <c r="AC28" s="3">
        <v>100</v>
      </c>
      <c r="AD28" s="3">
        <v>100</v>
      </c>
      <c r="AE28" s="6">
        <v>130</v>
      </c>
      <c r="AF28" s="3">
        <v>200</v>
      </c>
      <c r="AG28" s="3">
        <v>200</v>
      </c>
      <c r="AH28" s="3">
        <v>200</v>
      </c>
      <c r="AI28" s="3">
        <f t="shared" si="25"/>
        <v>8286</v>
      </c>
      <c r="AJ28" s="3">
        <f t="shared" si="14"/>
        <v>8286</v>
      </c>
      <c r="AK28" s="3">
        <f t="shared" si="15"/>
        <v>10771.8</v>
      </c>
      <c r="AL28" s="3">
        <f t="shared" si="16"/>
        <v>16572</v>
      </c>
      <c r="AM28" s="3">
        <f t="shared" si="17"/>
        <v>16572</v>
      </c>
      <c r="AN28" s="3">
        <f t="shared" si="26"/>
        <v>16572</v>
      </c>
      <c r="AP28">
        <v>0.125</v>
      </c>
      <c r="AQ28">
        <f>SUM(AP$2:AP28)</f>
        <v>83.114999999999995</v>
      </c>
      <c r="AR28">
        <v>20</v>
      </c>
      <c r="AW28" s="5">
        <v>6699220</v>
      </c>
      <c r="AX28">
        <f t="shared" si="6"/>
        <v>1674805</v>
      </c>
    </row>
    <row r="29" spans="3:50" x14ac:dyDescent="0.2">
      <c r="C29" s="2">
        <v>5</v>
      </c>
      <c r="D29" s="2">
        <v>120</v>
      </c>
      <c r="E29" s="2">
        <v>0.7</v>
      </c>
      <c r="F29" s="3">
        <f t="shared" si="18"/>
        <v>33.876594027759289</v>
      </c>
      <c r="G29" s="3">
        <f t="shared" si="7"/>
        <v>59.819944009463768</v>
      </c>
      <c r="H29" s="2">
        <v>5000</v>
      </c>
      <c r="I29" s="2">
        <v>50000</v>
      </c>
      <c r="J29" s="3">
        <f t="shared" si="8"/>
        <v>0.22584396018506192</v>
      </c>
      <c r="K29" s="3">
        <f t="shared" si="9"/>
        <v>1.7945983202839129</v>
      </c>
      <c r="L29" s="4">
        <f t="shared" si="19"/>
        <v>8865</v>
      </c>
      <c r="M29" s="4">
        <f t="shared" si="10"/>
        <v>246920</v>
      </c>
      <c r="N29" s="5">
        <v>1708300</v>
      </c>
      <c r="O29" s="5">
        <f t="shared" si="11"/>
        <v>0</v>
      </c>
      <c r="P29" s="5">
        <f t="shared" si="27"/>
        <v>0</v>
      </c>
      <c r="Q29" s="5">
        <f t="shared" si="28"/>
        <v>0</v>
      </c>
      <c r="R29" s="2">
        <f t="shared" si="12"/>
        <v>579750</v>
      </c>
      <c r="S29" s="2">
        <f t="shared" si="13"/>
        <v>19692000</v>
      </c>
      <c r="T29" s="2">
        <v>0.3</v>
      </c>
      <c r="U29" s="9">
        <f t="shared" si="3"/>
        <v>5143.4433758921132</v>
      </c>
      <c r="V29" s="9">
        <f t="shared" si="4"/>
        <v>60582.7</v>
      </c>
      <c r="W29" s="2">
        <f t="shared" si="20"/>
        <v>14195368.443375893</v>
      </c>
      <c r="X29" s="2">
        <f t="shared" si="21"/>
        <v>130933.03591728964</v>
      </c>
      <c r="Y29" s="2">
        <f t="shared" si="22"/>
        <v>11779743.374343606</v>
      </c>
      <c r="Z29" s="3">
        <f t="shared" si="23"/>
        <v>0.22584396018506192</v>
      </c>
      <c r="AA29" s="3">
        <f t="shared" si="24"/>
        <v>0.59819944009463766</v>
      </c>
      <c r="AB29" s="4">
        <v>26</v>
      </c>
      <c r="AC29" s="3">
        <v>100</v>
      </c>
      <c r="AD29" s="3">
        <v>100</v>
      </c>
      <c r="AE29" s="6">
        <v>130</v>
      </c>
      <c r="AF29" s="3">
        <v>200</v>
      </c>
      <c r="AG29" s="3">
        <v>200</v>
      </c>
      <c r="AH29" s="3">
        <v>200</v>
      </c>
      <c r="AI29" s="3">
        <f t="shared" si="25"/>
        <v>8299</v>
      </c>
      <c r="AJ29" s="3">
        <f t="shared" si="14"/>
        <v>8299</v>
      </c>
      <c r="AK29" s="3">
        <f t="shared" si="15"/>
        <v>10788.699999999999</v>
      </c>
      <c r="AL29" s="3">
        <f t="shared" si="16"/>
        <v>16598</v>
      </c>
      <c r="AM29" s="3">
        <f t="shared" si="17"/>
        <v>16598</v>
      </c>
      <c r="AN29" s="3">
        <f t="shared" si="26"/>
        <v>16598</v>
      </c>
      <c r="AP29">
        <v>0.1225</v>
      </c>
      <c r="AQ29">
        <f>SUM(AP$2:AP29)</f>
        <v>83.237499999999997</v>
      </c>
      <c r="AR29">
        <v>20</v>
      </c>
      <c r="AW29" s="5">
        <v>6833200</v>
      </c>
      <c r="AX29">
        <f t="shared" si="6"/>
        <v>1708300</v>
      </c>
    </row>
    <row r="30" spans="3:50" x14ac:dyDescent="0.2">
      <c r="C30" s="2">
        <v>5</v>
      </c>
      <c r="D30" s="2">
        <v>120</v>
      </c>
      <c r="E30" s="2">
        <v>0.7</v>
      </c>
      <c r="F30" s="3">
        <f t="shared" si="18"/>
        <v>34.438863576302921</v>
      </c>
      <c r="G30" s="3">
        <f t="shared" si="7"/>
        <v>62.106962600557289</v>
      </c>
      <c r="H30" s="2">
        <v>5000</v>
      </c>
      <c r="I30" s="2">
        <v>50000</v>
      </c>
      <c r="J30" s="3">
        <f t="shared" si="8"/>
        <v>0.22959242384201947</v>
      </c>
      <c r="K30" s="3">
        <f t="shared" si="9"/>
        <v>1.8632088780167186</v>
      </c>
      <c r="L30" s="4">
        <f t="shared" si="19"/>
        <v>8860</v>
      </c>
      <c r="M30" s="4">
        <f t="shared" si="10"/>
        <v>246800</v>
      </c>
      <c r="N30" s="5">
        <v>1742465</v>
      </c>
      <c r="O30" s="5">
        <f t="shared" si="11"/>
        <v>0</v>
      </c>
      <c r="P30" s="5">
        <f t="shared" si="27"/>
        <v>0</v>
      </c>
      <c r="Q30" s="5">
        <f t="shared" si="28"/>
        <v>0</v>
      </c>
      <c r="R30" s="2">
        <f t="shared" si="12"/>
        <v>579000</v>
      </c>
      <c r="S30" s="2">
        <f t="shared" si="13"/>
        <v>19680000</v>
      </c>
      <c r="T30" s="2">
        <v>0.3</v>
      </c>
      <c r="U30" s="9">
        <f t="shared" si="3"/>
        <v>5337.5208809638725</v>
      </c>
      <c r="V30" s="9">
        <f t="shared" si="4"/>
        <v>60673.95</v>
      </c>
      <c r="W30" s="2">
        <f t="shared" si="20"/>
        <v>14186637.520880964</v>
      </c>
      <c r="X30" s="2">
        <f t="shared" si="21"/>
        <v>132934.01340452928</v>
      </c>
      <c r="Y30" s="2">
        <f t="shared" si="22"/>
        <v>12222650.239789676</v>
      </c>
      <c r="Z30" s="3">
        <f t="shared" si="23"/>
        <v>0.22959242384201947</v>
      </c>
      <c r="AA30" s="3">
        <f t="shared" si="24"/>
        <v>0.62106962600557292</v>
      </c>
      <c r="AB30" s="2">
        <v>27</v>
      </c>
      <c r="AC30" s="3">
        <v>100</v>
      </c>
      <c r="AD30" s="3">
        <v>100</v>
      </c>
      <c r="AE30" s="6">
        <v>130</v>
      </c>
      <c r="AF30" s="3">
        <v>200</v>
      </c>
      <c r="AG30" s="3">
        <v>200</v>
      </c>
      <c r="AH30" s="3">
        <v>200</v>
      </c>
      <c r="AI30" s="3">
        <f t="shared" si="25"/>
        <v>8311.5</v>
      </c>
      <c r="AJ30" s="3">
        <f t="shared" si="14"/>
        <v>8311.5</v>
      </c>
      <c r="AK30" s="3">
        <f t="shared" si="15"/>
        <v>10804.949999999999</v>
      </c>
      <c r="AL30" s="3">
        <f t="shared" si="16"/>
        <v>16623</v>
      </c>
      <c r="AM30" s="3">
        <f t="shared" si="17"/>
        <v>16623</v>
      </c>
      <c r="AN30" s="3">
        <f t="shared" si="26"/>
        <v>16623</v>
      </c>
      <c r="AP30">
        <v>0.12239999999999999</v>
      </c>
      <c r="AQ30">
        <f>SUM(AP$2:AP30)</f>
        <v>83.359899999999996</v>
      </c>
      <c r="AR30">
        <v>20</v>
      </c>
      <c r="AW30" s="5">
        <v>6969860</v>
      </c>
      <c r="AX30">
        <f t="shared" si="6"/>
        <v>1742465</v>
      </c>
    </row>
    <row r="31" spans="3:50" x14ac:dyDescent="0.2">
      <c r="AP31">
        <v>0.12230000000000001</v>
      </c>
      <c r="AQ31">
        <f>SUM(AP$2:AP31)</f>
        <v>83.482199999999992</v>
      </c>
      <c r="AR31">
        <v>20</v>
      </c>
    </row>
  </sheetData>
  <mergeCells count="10">
    <mergeCell ref="AC1:AH1"/>
    <mergeCell ref="C1:E1"/>
    <mergeCell ref="L1:M1"/>
    <mergeCell ref="U1:V1"/>
    <mergeCell ref="R1:T1"/>
    <mergeCell ref="A1:B1"/>
    <mergeCell ref="F1:G1"/>
    <mergeCell ref="H1:I1"/>
    <mergeCell ref="J1:K1"/>
    <mergeCell ref="N1:Q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F0562-A765-A442-B9DB-CF71D123E451}">
  <dimension ref="A1:AO174"/>
  <sheetViews>
    <sheetView tabSelected="1" topLeftCell="A10" zoomScaleNormal="93" workbookViewId="0">
      <selection activeCell="AB24" sqref="AB24"/>
    </sheetView>
  </sheetViews>
  <sheetFormatPr baseColWidth="10" defaultRowHeight="16" x14ac:dyDescent="0.2"/>
  <cols>
    <col min="1" max="1" width="10.83203125" style="48" customWidth="1"/>
    <col min="2" max="2" width="60.83203125" style="24" customWidth="1"/>
    <col min="3" max="3" width="7.1640625" style="27" customWidth="1"/>
    <col min="4" max="4" width="4.1640625" style="23" hidden="1" customWidth="1"/>
    <col min="5" max="5" width="27" style="22" hidden="1" customWidth="1"/>
    <col min="6" max="6" width="2.6640625" style="10" hidden="1" customWidth="1"/>
    <col min="7" max="7" width="11" style="4" customWidth="1"/>
    <col min="8" max="8" width="15.1640625" style="4" customWidth="1"/>
    <col min="9" max="9" width="11.5" style="5" customWidth="1"/>
    <col min="10" max="10" width="13.33203125" style="4" customWidth="1"/>
    <col min="11" max="11" width="14" style="4" customWidth="1"/>
    <col min="12" max="12" width="11.83203125" style="5" customWidth="1"/>
    <col min="13" max="14" width="13.33203125" style="4" customWidth="1"/>
    <col min="15" max="15" width="21.1640625" style="5" hidden="1" customWidth="1"/>
    <col min="16" max="16" width="21.1640625" style="4" hidden="1" customWidth="1"/>
    <col min="17" max="17" width="13.33203125" style="4" hidden="1" customWidth="1"/>
    <col min="18" max="18" width="22.83203125" style="5" hidden="1" customWidth="1"/>
    <col min="19" max="20" width="13.33203125" style="4" hidden="1" customWidth="1"/>
    <col min="21" max="21" width="9.1640625" style="5" hidden="1" customWidth="1"/>
    <col min="22" max="22" width="13.33203125" style="4" hidden="1" customWidth="1"/>
    <col min="23" max="23" width="12.5" style="4" hidden="1" customWidth="1"/>
    <col min="24" max="24" width="9.1640625" style="5" hidden="1" customWidth="1"/>
    <col min="25" max="26" width="13.33203125" style="4" hidden="1" customWidth="1"/>
    <col min="27" max="27" width="26.5" style="24" customWidth="1"/>
    <col min="28" max="28" width="64.5" style="47" customWidth="1"/>
    <col min="29" max="29" width="14.6640625" style="48" customWidth="1"/>
    <col min="30" max="30" width="14.6640625" customWidth="1"/>
    <col min="31" max="33" width="14.1640625" customWidth="1"/>
    <col min="34" max="34" width="4.1640625" customWidth="1"/>
    <col min="35" max="35" width="3.33203125" customWidth="1"/>
  </cols>
  <sheetData>
    <row r="1" spans="1:41" s="7" customFormat="1" x14ac:dyDescent="0.2">
      <c r="A1" s="49"/>
      <c r="B1" s="24"/>
      <c r="C1" s="27"/>
      <c r="D1" s="23"/>
      <c r="E1" s="22"/>
      <c r="F1" s="10"/>
      <c r="G1" s="5" t="s">
        <v>59</v>
      </c>
      <c r="H1" s="5" t="s">
        <v>61</v>
      </c>
      <c r="I1" s="5">
        <v>1</v>
      </c>
      <c r="J1" s="5"/>
      <c r="K1" s="5"/>
      <c r="L1" s="5"/>
      <c r="M1" s="5"/>
      <c r="N1" s="5"/>
      <c r="O1" s="5"/>
      <c r="P1" s="5"/>
      <c r="Q1" s="5"/>
      <c r="R1" s="5"/>
      <c r="S1" s="5"/>
      <c r="T1" s="5"/>
      <c r="U1" s="5"/>
      <c r="V1" s="5"/>
      <c r="W1" s="5"/>
      <c r="X1" s="5"/>
      <c r="Y1" s="5"/>
      <c r="Z1" s="5"/>
      <c r="AA1" s="24"/>
      <c r="AB1" s="40"/>
      <c r="AC1" s="27"/>
    </row>
    <row r="2" spans="1:41" s="7" customFormat="1" x14ac:dyDescent="0.2">
      <c r="A2" s="49"/>
      <c r="B2" s="24"/>
      <c r="C2" s="27"/>
      <c r="D2" s="23"/>
      <c r="E2" s="22"/>
      <c r="F2" s="10"/>
      <c r="G2" s="5" t="s">
        <v>60</v>
      </c>
      <c r="H2" s="5" t="s">
        <v>62</v>
      </c>
      <c r="I2" s="57">
        <v>150</v>
      </c>
      <c r="J2" s="57"/>
      <c r="K2" s="5"/>
      <c r="L2" s="5"/>
      <c r="M2" s="5"/>
      <c r="N2" s="5"/>
      <c r="O2" s="5"/>
      <c r="P2" s="5"/>
      <c r="Q2" s="4">
        <v>249700</v>
      </c>
      <c r="R2" s="5"/>
      <c r="S2" s="5"/>
      <c r="T2" s="5"/>
      <c r="U2" s="5"/>
      <c r="V2" s="5"/>
      <c r="W2" s="5"/>
      <c r="X2" s="5"/>
      <c r="Y2" s="5"/>
      <c r="Z2" s="5"/>
      <c r="AA2" s="24"/>
      <c r="AB2" s="40"/>
      <c r="AC2" s="27"/>
    </row>
    <row r="3" spans="1:41" s="7" customFormat="1" x14ac:dyDescent="0.2">
      <c r="A3" s="49"/>
      <c r="B3" s="24"/>
      <c r="C3" s="27"/>
      <c r="D3" s="23"/>
      <c r="E3" s="22"/>
      <c r="F3" s="10"/>
      <c r="G3" s="5"/>
      <c r="H3" s="5" t="s">
        <v>63</v>
      </c>
      <c r="I3" s="57">
        <v>30</v>
      </c>
      <c r="J3" s="57"/>
      <c r="K3" s="5"/>
      <c r="L3" s="5"/>
      <c r="M3" s="5"/>
      <c r="N3" s="5"/>
      <c r="O3" s="5"/>
      <c r="P3" s="5"/>
      <c r="Q3" s="5"/>
      <c r="R3" s="5"/>
      <c r="S3" s="5"/>
      <c r="T3" s="5"/>
      <c r="U3" s="5"/>
      <c r="V3" s="5"/>
      <c r="W3" s="5"/>
      <c r="X3" s="5"/>
      <c r="Y3" s="5"/>
      <c r="Z3" s="5"/>
      <c r="AA3" s="24"/>
      <c r="AB3" s="40"/>
      <c r="AC3" s="27"/>
    </row>
    <row r="4" spans="1:41" ht="60" customHeight="1" x14ac:dyDescent="0.2">
      <c r="G4" s="8">
        <v>0</v>
      </c>
      <c r="H4" s="8"/>
      <c r="I4" s="16"/>
      <c r="J4" s="20">
        <v>1</v>
      </c>
      <c r="K4" s="20"/>
      <c r="L4" s="18"/>
      <c r="M4" s="20">
        <v>2</v>
      </c>
      <c r="N4" s="20"/>
      <c r="O4" s="18"/>
      <c r="P4" s="20">
        <v>3</v>
      </c>
      <c r="Q4" s="20"/>
      <c r="R4" s="18"/>
      <c r="S4" s="20">
        <v>4</v>
      </c>
      <c r="T4" s="20"/>
      <c r="U4" s="18"/>
      <c r="V4" s="20">
        <v>5</v>
      </c>
      <c r="W4" s="20"/>
      <c r="X4" s="18"/>
      <c r="Y4" s="20">
        <v>6</v>
      </c>
      <c r="Z4" s="20"/>
      <c r="AB4" s="40"/>
      <c r="AC4" s="27"/>
      <c r="AE4" s="56" t="s">
        <v>89</v>
      </c>
      <c r="AF4" s="56"/>
      <c r="AG4" s="56"/>
      <c r="AL4" t="s">
        <v>94</v>
      </c>
      <c r="AM4" t="s">
        <v>96</v>
      </c>
      <c r="AN4" t="s">
        <v>98</v>
      </c>
      <c r="AO4" t="s">
        <v>100</v>
      </c>
    </row>
    <row r="5" spans="1:41" ht="36" customHeight="1" x14ac:dyDescent="0.2">
      <c r="A5" s="50" t="s">
        <v>404</v>
      </c>
      <c r="B5" s="24" t="s">
        <v>155</v>
      </c>
      <c r="C5" s="30" t="s">
        <v>161</v>
      </c>
      <c r="E5" s="7" t="s">
        <v>153</v>
      </c>
      <c r="F5" s="7" t="s">
        <v>154</v>
      </c>
      <c r="G5" s="58" t="s">
        <v>51</v>
      </c>
      <c r="H5" s="58"/>
      <c r="I5" s="17"/>
      <c r="J5" s="58" t="s">
        <v>64</v>
      </c>
      <c r="K5" s="58"/>
      <c r="M5" s="58" t="s">
        <v>65</v>
      </c>
      <c r="N5" s="58"/>
      <c r="P5" s="58" t="s">
        <v>78</v>
      </c>
      <c r="Q5" s="58"/>
      <c r="S5" s="58" t="s">
        <v>83</v>
      </c>
      <c r="T5" s="58"/>
      <c r="V5" s="58" t="s">
        <v>84</v>
      </c>
      <c r="W5" s="58"/>
      <c r="Y5" s="58" t="s">
        <v>135</v>
      </c>
      <c r="Z5" s="58"/>
      <c r="AA5" s="24" t="s">
        <v>293</v>
      </c>
      <c r="AB5" s="40" t="s">
        <v>294</v>
      </c>
      <c r="AC5" s="27" t="s">
        <v>338</v>
      </c>
      <c r="AD5" s="36" t="s">
        <v>227</v>
      </c>
      <c r="AE5" s="21" t="s">
        <v>33</v>
      </c>
      <c r="AF5" s="21" t="s">
        <v>38</v>
      </c>
      <c r="AG5" s="21" t="s">
        <v>41</v>
      </c>
      <c r="AL5" t="s">
        <v>94</v>
      </c>
      <c r="AM5" t="s">
        <v>96</v>
      </c>
      <c r="AN5" t="s">
        <v>99</v>
      </c>
      <c r="AO5" t="s">
        <v>101</v>
      </c>
    </row>
    <row r="6" spans="1:41" x14ac:dyDescent="0.2">
      <c r="C6" s="30"/>
      <c r="G6" s="4" t="s">
        <v>24</v>
      </c>
      <c r="H6" s="4" t="s">
        <v>25</v>
      </c>
      <c r="J6" s="4" t="s">
        <v>24</v>
      </c>
      <c r="K6" s="4" t="s">
        <v>25</v>
      </c>
      <c r="M6" s="4" t="s">
        <v>24</v>
      </c>
      <c r="N6" s="4" t="s">
        <v>25</v>
      </c>
      <c r="P6" s="4" t="s">
        <v>24</v>
      </c>
      <c r="Q6" s="4" t="s">
        <v>25</v>
      </c>
      <c r="S6" s="4" t="s">
        <v>24</v>
      </c>
      <c r="T6" s="4" t="s">
        <v>25</v>
      </c>
      <c r="V6" s="4" t="s">
        <v>24</v>
      </c>
      <c r="W6" s="4" t="s">
        <v>25</v>
      </c>
      <c r="Y6" s="4" t="s">
        <v>24</v>
      </c>
      <c r="Z6" s="4" t="s">
        <v>25</v>
      </c>
      <c r="AB6" s="40"/>
      <c r="AC6" s="27"/>
      <c r="AE6" s="19">
        <v>0</v>
      </c>
      <c r="AF6" s="19">
        <f>SUM(AE$6:AE6)</f>
        <v>0</v>
      </c>
      <c r="AG6" s="19">
        <v>2</v>
      </c>
      <c r="AL6" t="s">
        <v>94</v>
      </c>
      <c r="AM6" t="s">
        <v>97</v>
      </c>
      <c r="AN6" t="s">
        <v>98</v>
      </c>
      <c r="AO6" t="s">
        <v>102</v>
      </c>
    </row>
    <row r="7" spans="1:41" ht="34" x14ac:dyDescent="0.2">
      <c r="A7" s="50" t="s">
        <v>405</v>
      </c>
      <c r="B7" s="38" t="s">
        <v>156</v>
      </c>
      <c r="C7" s="28" t="s">
        <v>174</v>
      </c>
      <c r="F7" s="10" t="s">
        <v>67</v>
      </c>
      <c r="G7" s="4">
        <v>50000</v>
      </c>
      <c r="H7" s="4">
        <v>250000</v>
      </c>
      <c r="J7" s="4">
        <f>G14</f>
        <v>49950</v>
      </c>
      <c r="K7" s="4">
        <f>H14</f>
        <v>249900</v>
      </c>
      <c r="M7" s="4">
        <f>J14</f>
        <v>49888</v>
      </c>
      <c r="N7" s="4">
        <f>K14</f>
        <v>249790</v>
      </c>
      <c r="P7" s="4">
        <f>M14</f>
        <v>49830</v>
      </c>
      <c r="Q7" s="4">
        <f>N14</f>
        <v>249696</v>
      </c>
      <c r="S7" s="4">
        <f>P14</f>
        <v>49760</v>
      </c>
      <c r="T7" s="4">
        <f>Q14</f>
        <v>249504</v>
      </c>
      <c r="V7" s="4">
        <f>S14</f>
        <v>49660</v>
      </c>
      <c r="W7" s="4">
        <f>T14</f>
        <v>249465</v>
      </c>
      <c r="Y7" s="4">
        <f>V7-V9</f>
        <v>49562</v>
      </c>
      <c r="Z7" s="4">
        <f>MAX(W7-W9,0)</f>
        <v>249360</v>
      </c>
      <c r="AA7" s="38" t="s">
        <v>427</v>
      </c>
      <c r="AB7" s="42" t="s">
        <v>353</v>
      </c>
      <c r="AC7" s="43" t="s">
        <v>328</v>
      </c>
      <c r="AE7" s="19">
        <v>0.01</v>
      </c>
      <c r="AF7" s="19">
        <f>SUM(AE$6:AE7)</f>
        <v>0.01</v>
      </c>
      <c r="AG7" s="19">
        <v>2</v>
      </c>
      <c r="AL7" t="s">
        <v>94</v>
      </c>
      <c r="AM7" t="s">
        <v>97</v>
      </c>
      <c r="AN7" t="s">
        <v>99</v>
      </c>
      <c r="AO7" t="s">
        <v>103</v>
      </c>
    </row>
    <row r="8" spans="1:41" ht="17" x14ac:dyDescent="0.2">
      <c r="A8" s="50" t="s">
        <v>405</v>
      </c>
      <c r="B8" s="38" t="s">
        <v>157</v>
      </c>
      <c r="C8" s="31" t="s">
        <v>162</v>
      </c>
      <c r="F8" s="10" t="s">
        <v>114</v>
      </c>
      <c r="G8" s="4">
        <f>G7</f>
        <v>50000</v>
      </c>
      <c r="H8" s="4">
        <f>H7</f>
        <v>250000</v>
      </c>
      <c r="J8" s="4">
        <f>J7</f>
        <v>49950</v>
      </c>
      <c r="K8" s="4">
        <f>H8-H9+H13</f>
        <v>249985</v>
      </c>
      <c r="M8" s="4">
        <f>M7</f>
        <v>49888</v>
      </c>
      <c r="N8" s="4">
        <f>K8-K9+K13</f>
        <v>249955</v>
      </c>
      <c r="P8" s="4">
        <f>P7</f>
        <v>49830</v>
      </c>
      <c r="Q8" s="4">
        <f>N8-N9+N13</f>
        <v>249953</v>
      </c>
      <c r="S8" s="4">
        <f>S7</f>
        <v>49760</v>
      </c>
      <c r="T8" s="4">
        <f>Q8-Q9+Q13</f>
        <v>249804</v>
      </c>
      <c r="V8" s="4">
        <f>V7</f>
        <v>49660</v>
      </c>
      <c r="W8" s="4">
        <f>T8-T9+T13</f>
        <v>249857</v>
      </c>
      <c r="Y8" s="4">
        <f>Y7</f>
        <v>49562</v>
      </c>
      <c r="Z8" s="4">
        <f>W8-W9+W13</f>
        <v>249801</v>
      </c>
      <c r="AA8" s="38" t="s">
        <v>428</v>
      </c>
      <c r="AB8" s="42" t="s">
        <v>354</v>
      </c>
      <c r="AC8" s="43" t="s">
        <v>328</v>
      </c>
      <c r="AE8" s="19">
        <v>0.05</v>
      </c>
      <c r="AF8" s="19">
        <f>SUM(AE$6:AE8)</f>
        <v>6.0000000000000005E-2</v>
      </c>
      <c r="AG8" s="19">
        <v>2</v>
      </c>
      <c r="AL8" t="s">
        <v>95</v>
      </c>
      <c r="AM8" t="s">
        <v>96</v>
      </c>
      <c r="AN8" t="s">
        <v>99</v>
      </c>
      <c r="AO8" t="s">
        <v>104</v>
      </c>
    </row>
    <row r="9" spans="1:41" ht="34" x14ac:dyDescent="0.2">
      <c r="A9" s="50" t="s">
        <v>405</v>
      </c>
      <c r="B9" s="38" t="s">
        <v>220</v>
      </c>
      <c r="C9" s="31" t="s">
        <v>162</v>
      </c>
      <c r="F9" s="10" t="s">
        <v>55</v>
      </c>
      <c r="G9" s="4">
        <v>50</v>
      </c>
      <c r="H9" s="4">
        <v>100</v>
      </c>
      <c r="J9" s="4">
        <v>62</v>
      </c>
      <c r="K9" s="4">
        <v>110</v>
      </c>
      <c r="M9" s="4">
        <v>58</v>
      </c>
      <c r="N9" s="4">
        <v>94</v>
      </c>
      <c r="P9" s="4">
        <v>70</v>
      </c>
      <c r="Q9" s="4">
        <v>192</v>
      </c>
      <c r="S9" s="4">
        <v>100</v>
      </c>
      <c r="T9" s="4">
        <v>39</v>
      </c>
      <c r="V9" s="4">
        <v>98</v>
      </c>
      <c r="W9" s="4">
        <v>105</v>
      </c>
      <c r="Y9" s="4">
        <v>98</v>
      </c>
      <c r="Z9" s="4">
        <v>116</v>
      </c>
      <c r="AA9" s="38" t="s">
        <v>429</v>
      </c>
      <c r="AB9" s="42" t="s">
        <v>352</v>
      </c>
      <c r="AC9" s="43" t="s">
        <v>328</v>
      </c>
      <c r="AE9" s="19">
        <v>0.12</v>
      </c>
      <c r="AF9" s="19">
        <f>SUM(AE$6:AE9)</f>
        <v>0.18</v>
      </c>
      <c r="AG9" s="19">
        <v>2</v>
      </c>
      <c r="AL9" t="s">
        <v>95</v>
      </c>
      <c r="AM9" t="s">
        <v>97</v>
      </c>
      <c r="AN9" t="s">
        <v>99</v>
      </c>
      <c r="AO9" t="s">
        <v>105</v>
      </c>
    </row>
    <row r="10" spans="1:41" ht="85" x14ac:dyDescent="0.2">
      <c r="A10" s="50" t="s">
        <v>405</v>
      </c>
      <c r="B10" s="38" t="s">
        <v>219</v>
      </c>
      <c r="C10" s="28" t="s">
        <v>174</v>
      </c>
      <c r="F10" s="10" t="s">
        <v>145</v>
      </c>
      <c r="H10" s="4">
        <f>-MIN(H7-H9,0)</f>
        <v>0</v>
      </c>
      <c r="K10" s="4">
        <f>-MIN(K7-K9,0)</f>
        <v>0</v>
      </c>
      <c r="N10" s="4">
        <f>-MIN(N7-N9,0)</f>
        <v>0</v>
      </c>
      <c r="Q10" s="4">
        <f>-MIN(Q7-Q9,0)</f>
        <v>0</v>
      </c>
      <c r="T10" s="4">
        <f>-MIN(T7-T9,0)</f>
        <v>0</v>
      </c>
      <c r="W10" s="4">
        <f>-MIN(W7-W9,0)</f>
        <v>0</v>
      </c>
      <c r="Z10" s="4">
        <f>-MIN(Z7-Z9,0)</f>
        <v>0</v>
      </c>
      <c r="AA10" s="38" t="s">
        <v>274</v>
      </c>
      <c r="AB10" s="42" t="s">
        <v>286</v>
      </c>
      <c r="AC10" s="43" t="s">
        <v>329</v>
      </c>
      <c r="AE10" s="19">
        <v>0.2</v>
      </c>
      <c r="AF10" s="19">
        <f>SUM(AE$6:AE10)</f>
        <v>0.38</v>
      </c>
      <c r="AG10" s="19">
        <v>2</v>
      </c>
    </row>
    <row r="11" spans="1:41" ht="51" x14ac:dyDescent="0.2">
      <c r="A11" s="50" t="s">
        <v>405</v>
      </c>
      <c r="B11" s="38" t="s">
        <v>217</v>
      </c>
      <c r="C11" s="28" t="s">
        <v>174</v>
      </c>
      <c r="F11" s="10" t="s">
        <v>113</v>
      </c>
      <c r="H11" s="4">
        <f>MAX(H10-H27,0)</f>
        <v>0</v>
      </c>
      <c r="K11" s="4">
        <f>MAX(K10-K27,0)</f>
        <v>0</v>
      </c>
      <c r="N11" s="4">
        <f>MAX(N10-N27,0)</f>
        <v>0</v>
      </c>
      <c r="Q11" s="4">
        <f>MAX(Q10-Q27,0)</f>
        <v>0</v>
      </c>
      <c r="T11" s="4">
        <f>MAX(T10-T27,0)</f>
        <v>0</v>
      </c>
      <c r="W11" s="4">
        <f>MAX(W10-W27,0)</f>
        <v>0</v>
      </c>
      <c r="Z11" s="4">
        <f>MAX(Z10-Z27,0)</f>
        <v>0</v>
      </c>
      <c r="AA11" s="38" t="s">
        <v>275</v>
      </c>
      <c r="AB11" s="42" t="s">
        <v>287</v>
      </c>
      <c r="AC11" s="43" t="s">
        <v>329</v>
      </c>
      <c r="AE11" s="19">
        <v>0.2</v>
      </c>
      <c r="AF11" s="19">
        <f>SUM(AE$6:AE11)</f>
        <v>0.58000000000000007</v>
      </c>
      <c r="AG11" s="19">
        <v>2</v>
      </c>
    </row>
    <row r="12" spans="1:41" x14ac:dyDescent="0.2">
      <c r="A12" s="50" t="s">
        <v>405</v>
      </c>
      <c r="B12" s="38" t="s">
        <v>454</v>
      </c>
      <c r="C12" s="28"/>
      <c r="G12" s="4">
        <f>G9</f>
        <v>50</v>
      </c>
      <c r="H12" s="4">
        <f>H9-H11</f>
        <v>100</v>
      </c>
      <c r="J12" s="4">
        <f>J9</f>
        <v>62</v>
      </c>
      <c r="K12" s="4">
        <f>K9-K11</f>
        <v>110</v>
      </c>
      <c r="M12" s="4">
        <f>M9</f>
        <v>58</v>
      </c>
      <c r="N12" s="4">
        <f>N9-N11</f>
        <v>94</v>
      </c>
      <c r="P12" s="4">
        <f>P9</f>
        <v>70</v>
      </c>
      <c r="Q12" s="4">
        <f>Q9-Q11</f>
        <v>192</v>
      </c>
      <c r="S12" s="4">
        <f>S9</f>
        <v>100</v>
      </c>
      <c r="T12" s="4">
        <f>T9-T11</f>
        <v>39</v>
      </c>
      <c r="V12" s="4">
        <f>V9</f>
        <v>98</v>
      </c>
      <c r="W12" s="4">
        <f>W9-W11</f>
        <v>105</v>
      </c>
      <c r="Y12" s="4">
        <f>Y9</f>
        <v>98</v>
      </c>
      <c r="Z12" s="4">
        <f>Z9-Z11</f>
        <v>116</v>
      </c>
      <c r="AA12" s="38" t="s">
        <v>452</v>
      </c>
      <c r="AB12" s="42" t="s">
        <v>453</v>
      </c>
      <c r="AC12" s="43"/>
      <c r="AE12" s="19"/>
      <c r="AF12" s="19"/>
      <c r="AG12" s="19"/>
    </row>
    <row r="13" spans="1:41" ht="34" x14ac:dyDescent="0.2">
      <c r="A13" s="50" t="s">
        <v>405</v>
      </c>
      <c r="B13" s="38" t="s">
        <v>218</v>
      </c>
      <c r="C13" s="31" t="s">
        <v>162</v>
      </c>
      <c r="F13" s="10" t="s">
        <v>66</v>
      </c>
      <c r="H13" s="4">
        <v>85</v>
      </c>
      <c r="K13" s="4">
        <v>80</v>
      </c>
      <c r="N13" s="4">
        <v>92</v>
      </c>
      <c r="Q13" s="4">
        <v>43</v>
      </c>
      <c r="T13" s="4">
        <v>92</v>
      </c>
      <c r="W13" s="4">
        <v>49</v>
      </c>
      <c r="Z13" s="4">
        <v>110</v>
      </c>
      <c r="AA13" s="38" t="s">
        <v>273</v>
      </c>
      <c r="AB13" s="42" t="s">
        <v>288</v>
      </c>
      <c r="AC13" s="43" t="s">
        <v>328</v>
      </c>
      <c r="AE13" s="19">
        <v>0.36</v>
      </c>
      <c r="AF13" s="19">
        <f>SUM(AE$6:AE13)</f>
        <v>0.94000000000000006</v>
      </c>
      <c r="AG13" s="19">
        <v>20</v>
      </c>
    </row>
    <row r="14" spans="1:41" ht="17" customHeight="1" x14ac:dyDescent="0.2">
      <c r="A14" s="50" t="s">
        <v>405</v>
      </c>
      <c r="B14" s="38" t="s">
        <v>158</v>
      </c>
      <c r="C14" s="28" t="s">
        <v>174</v>
      </c>
      <c r="F14" s="10" t="s">
        <v>143</v>
      </c>
      <c r="G14" s="4">
        <f>MAX(G7-G9,0)</f>
        <v>49950</v>
      </c>
      <c r="H14" s="4">
        <f>MAX(H7-H9,0)</f>
        <v>249900</v>
      </c>
      <c r="J14" s="4">
        <f>MAX(J7-J9,0)</f>
        <v>49888</v>
      </c>
      <c r="K14" s="4">
        <f>MAX(K7-K9,0)</f>
        <v>249790</v>
      </c>
      <c r="M14" s="4">
        <f>MAX(M7-M9,0)</f>
        <v>49830</v>
      </c>
      <c r="N14" s="4">
        <f>MAX(N7-N9,0)</f>
        <v>249696</v>
      </c>
      <c r="P14" s="4">
        <f>MAX(P7-P9,0)</f>
        <v>49760</v>
      </c>
      <c r="Q14" s="4">
        <f>MAX(Q7-Q9,0)</f>
        <v>249504</v>
      </c>
      <c r="S14" s="4">
        <f>MAX(S7-S9,0)</f>
        <v>49660</v>
      </c>
      <c r="T14" s="4">
        <f>MAX(T7-T9,0)</f>
        <v>249465</v>
      </c>
      <c r="V14" s="4">
        <f>MAX(V7-V9,0)</f>
        <v>49562</v>
      </c>
      <c r="W14" s="4">
        <f>MAX(W7-W9,0)</f>
        <v>249360</v>
      </c>
      <c r="Y14" s="4">
        <f>MAX(Y7-Y9,0)</f>
        <v>49464</v>
      </c>
      <c r="Z14" s="4">
        <f>MAX(Z7-Z9,0)</f>
        <v>249244</v>
      </c>
      <c r="AA14" s="38"/>
      <c r="AB14" s="51" t="s">
        <v>475</v>
      </c>
      <c r="AC14" s="43" t="s">
        <v>328</v>
      </c>
      <c r="AE14" s="19"/>
      <c r="AF14" s="19"/>
      <c r="AG14" s="19"/>
    </row>
    <row r="15" spans="1:41" ht="32" customHeight="1" x14ac:dyDescent="0.2">
      <c r="A15" s="50" t="s">
        <v>405</v>
      </c>
      <c r="B15" s="38" t="s">
        <v>221</v>
      </c>
      <c r="C15" s="31" t="s">
        <v>162</v>
      </c>
      <c r="F15" s="10" t="s">
        <v>54</v>
      </c>
      <c r="G15" s="4">
        <v>0.7</v>
      </c>
      <c r="J15" s="4">
        <v>0.7</v>
      </c>
      <c r="M15" s="4">
        <v>0.7</v>
      </c>
      <c r="P15" s="4">
        <v>0.7</v>
      </c>
      <c r="S15" s="4">
        <v>0.7</v>
      </c>
      <c r="V15" s="4">
        <v>0.7</v>
      </c>
      <c r="Y15" s="4">
        <v>0.7</v>
      </c>
      <c r="AA15" s="38" t="s">
        <v>307</v>
      </c>
      <c r="AB15" s="42" t="s">
        <v>289</v>
      </c>
      <c r="AC15" s="43" t="s">
        <v>339</v>
      </c>
      <c r="AE15" s="19">
        <v>0.6</v>
      </c>
      <c r="AF15" s="19">
        <f>SUM(AE$6:AE15)</f>
        <v>1.54</v>
      </c>
      <c r="AG15" s="19">
        <v>20</v>
      </c>
    </row>
    <row r="16" spans="1:41" ht="32" customHeight="1" x14ac:dyDescent="0.2">
      <c r="A16" s="50" t="s">
        <v>405</v>
      </c>
      <c r="B16" s="38" t="s">
        <v>241</v>
      </c>
      <c r="C16" s="31" t="s">
        <v>162</v>
      </c>
      <c r="E16" s="22" t="s">
        <v>240</v>
      </c>
      <c r="F16" s="10" t="s">
        <v>239</v>
      </c>
      <c r="G16" s="4">
        <v>5</v>
      </c>
      <c r="H16" s="4">
        <v>10</v>
      </c>
      <c r="J16" s="4">
        <v>5.0999999999999996</v>
      </c>
      <c r="K16" s="4">
        <v>9.8000000000000007</v>
      </c>
      <c r="M16" s="4">
        <v>5.2</v>
      </c>
      <c r="N16" s="4">
        <v>9.8000000000000007</v>
      </c>
      <c r="P16" s="4">
        <v>4.7</v>
      </c>
      <c r="Q16" s="4">
        <v>9.9</v>
      </c>
      <c r="S16" s="4">
        <v>5.2</v>
      </c>
      <c r="T16" s="4">
        <v>10.1</v>
      </c>
      <c r="V16" s="4">
        <v>4.0999999999999996</v>
      </c>
      <c r="W16" s="4">
        <v>11</v>
      </c>
      <c r="Y16" s="4">
        <v>5.0999999999999996</v>
      </c>
      <c r="Z16" s="4">
        <v>9</v>
      </c>
      <c r="AA16" s="38" t="s">
        <v>430</v>
      </c>
      <c r="AB16" s="42" t="s">
        <v>355</v>
      </c>
      <c r="AC16" s="43" t="s">
        <v>340</v>
      </c>
      <c r="AE16" s="19"/>
      <c r="AF16" s="19"/>
      <c r="AG16" s="19"/>
    </row>
    <row r="17" spans="1:33" ht="32" customHeight="1" x14ac:dyDescent="0.2">
      <c r="A17" s="50" t="s">
        <v>405</v>
      </c>
      <c r="B17" s="38" t="s">
        <v>277</v>
      </c>
      <c r="C17" s="31" t="s">
        <v>162</v>
      </c>
      <c r="G17" s="4">
        <f>G16*0.187</f>
        <v>0.93500000000000005</v>
      </c>
      <c r="H17" s="4">
        <f>H16*0.192</f>
        <v>1.92</v>
      </c>
      <c r="J17" s="4">
        <f>J16*0.187</f>
        <v>0.95369999999999988</v>
      </c>
      <c r="K17" s="4">
        <f>K16*0.192</f>
        <v>1.8816000000000002</v>
      </c>
      <c r="M17" s="4">
        <f>M16*0.187</f>
        <v>0.97240000000000004</v>
      </c>
      <c r="N17" s="4">
        <f>N16*0.192</f>
        <v>1.8816000000000002</v>
      </c>
      <c r="P17" s="4">
        <f>P16*0.187</f>
        <v>0.87890000000000001</v>
      </c>
      <c r="Q17" s="4">
        <f>Q16*0.192</f>
        <v>1.9008</v>
      </c>
      <c r="S17" s="4">
        <f>S16*0.187</f>
        <v>0.97240000000000004</v>
      </c>
      <c r="T17" s="4">
        <f>T16*0.192</f>
        <v>1.9392</v>
      </c>
      <c r="V17" s="4">
        <f>V16*0.187</f>
        <v>0.76669999999999994</v>
      </c>
      <c r="W17" s="4">
        <f>W16*0.192</f>
        <v>2.1120000000000001</v>
      </c>
      <c r="Y17" s="4">
        <f>Y16*0.187</f>
        <v>0.95369999999999988</v>
      </c>
      <c r="Z17" s="4">
        <f>Z16*0.192</f>
        <v>1.728</v>
      </c>
      <c r="AA17" s="38" t="s">
        <v>431</v>
      </c>
      <c r="AB17" s="42" t="s">
        <v>356</v>
      </c>
      <c r="AC17" s="43" t="s">
        <v>340</v>
      </c>
      <c r="AE17" s="19"/>
      <c r="AF17" s="19"/>
      <c r="AG17" s="19"/>
    </row>
    <row r="18" spans="1:33" ht="22" customHeight="1" x14ac:dyDescent="0.2">
      <c r="A18" s="50" t="s">
        <v>405</v>
      </c>
      <c r="B18" s="38" t="s">
        <v>398</v>
      </c>
      <c r="C18" s="31" t="s">
        <v>162</v>
      </c>
      <c r="F18" s="10" t="s">
        <v>223</v>
      </c>
      <c r="G18" s="4">
        <v>0.33057704999999998</v>
      </c>
      <c r="H18" s="4">
        <v>0.37800893000000002</v>
      </c>
      <c r="AA18" s="38" t="s">
        <v>400</v>
      </c>
      <c r="AB18" s="42" t="s">
        <v>402</v>
      </c>
      <c r="AC18" s="43" t="s">
        <v>341</v>
      </c>
      <c r="AE18" s="19">
        <v>1.8</v>
      </c>
      <c r="AF18" s="19">
        <f>SUM(AE$6:AE18)</f>
        <v>3.34</v>
      </c>
      <c r="AG18" s="19">
        <v>20</v>
      </c>
    </row>
    <row r="19" spans="1:33" ht="22" customHeight="1" x14ac:dyDescent="0.2">
      <c r="A19" s="50" t="s">
        <v>405</v>
      </c>
      <c r="B19" s="38" t="s">
        <v>399</v>
      </c>
      <c r="C19" s="31" t="s">
        <v>162</v>
      </c>
      <c r="E19" s="55" t="s">
        <v>118</v>
      </c>
      <c r="F19" s="10" t="s">
        <v>117</v>
      </c>
      <c r="G19" s="4">
        <v>0.43057705000000002</v>
      </c>
      <c r="H19" s="4">
        <v>0.47800893</v>
      </c>
      <c r="AA19" s="38" t="s">
        <v>401</v>
      </c>
      <c r="AB19" s="42" t="s">
        <v>403</v>
      </c>
      <c r="AC19" s="43" t="s">
        <v>341</v>
      </c>
      <c r="AE19" s="19">
        <v>3</v>
      </c>
      <c r="AF19" s="19">
        <f>SUM(AE$6:AE19)</f>
        <v>6.34</v>
      </c>
      <c r="AG19" s="19">
        <v>20</v>
      </c>
    </row>
    <row r="20" spans="1:33" ht="22" customHeight="1" x14ac:dyDescent="0.2">
      <c r="A20" s="50" t="s">
        <v>405</v>
      </c>
      <c r="B20" s="38" t="s">
        <v>222</v>
      </c>
      <c r="C20" s="31" t="s">
        <v>162</v>
      </c>
      <c r="E20" s="55"/>
      <c r="F20" s="10" t="s">
        <v>138</v>
      </c>
      <c r="G20" s="4">
        <v>0.67</v>
      </c>
      <c r="AA20" s="39" t="s">
        <v>276</v>
      </c>
      <c r="AB20" s="42" t="s">
        <v>285</v>
      </c>
      <c r="AC20" s="43" t="s">
        <v>341</v>
      </c>
      <c r="AE20" s="19">
        <v>6</v>
      </c>
      <c r="AF20" s="19">
        <f>SUM(AE$6:AE20)</f>
        <v>12.34</v>
      </c>
      <c r="AG20" s="19">
        <v>20</v>
      </c>
    </row>
    <row r="21" spans="1:33" ht="22" customHeight="1" x14ac:dyDescent="0.2">
      <c r="A21" s="50" t="s">
        <v>405</v>
      </c>
      <c r="B21" s="38" t="s">
        <v>224</v>
      </c>
      <c r="C21" s="31" t="s">
        <v>162</v>
      </c>
      <c r="F21" s="10" t="s">
        <v>116</v>
      </c>
      <c r="G21" s="4">
        <v>150</v>
      </c>
      <c r="H21" s="4">
        <v>100</v>
      </c>
      <c r="AA21" s="38" t="s">
        <v>432</v>
      </c>
      <c r="AB21" s="42" t="s">
        <v>450</v>
      </c>
      <c r="AC21" s="43" t="s">
        <v>332</v>
      </c>
      <c r="AE21" s="19">
        <v>10</v>
      </c>
      <c r="AF21" s="19">
        <f>SUM(AE$6:AE21)</f>
        <v>22.34</v>
      </c>
      <c r="AG21" s="19">
        <v>20</v>
      </c>
    </row>
    <row r="22" spans="1:33" ht="22" customHeight="1" x14ac:dyDescent="0.2">
      <c r="A22" s="50" t="s">
        <v>405</v>
      </c>
      <c r="B22" s="38" t="s">
        <v>226</v>
      </c>
      <c r="C22" s="31" t="s">
        <v>162</v>
      </c>
      <c r="F22" s="10" t="s">
        <v>173</v>
      </c>
      <c r="G22" s="4">
        <v>0.3</v>
      </c>
      <c r="H22" s="4">
        <v>0.25</v>
      </c>
      <c r="AA22" s="38" t="s">
        <v>449</v>
      </c>
      <c r="AB22" s="42" t="s">
        <v>451</v>
      </c>
      <c r="AC22" s="44" t="s">
        <v>342</v>
      </c>
      <c r="AE22" s="19"/>
      <c r="AF22" s="19"/>
      <c r="AG22" s="19"/>
    </row>
    <row r="23" spans="1:33" ht="22" customHeight="1" x14ac:dyDescent="0.2">
      <c r="A23" s="50" t="s">
        <v>405</v>
      </c>
      <c r="B23" s="38" t="s">
        <v>269</v>
      </c>
      <c r="C23" s="32" t="s">
        <v>174</v>
      </c>
      <c r="F23" s="10" t="s">
        <v>115</v>
      </c>
      <c r="G23" s="4">
        <f>G$21*$G$18</f>
        <v>49.586557499999998</v>
      </c>
      <c r="H23" s="4">
        <f>H$21*$H$18</f>
        <v>37.800893000000002</v>
      </c>
      <c r="AA23" s="38" t="s">
        <v>447</v>
      </c>
      <c r="AB23" s="42" t="s">
        <v>448</v>
      </c>
      <c r="AC23" s="43" t="s">
        <v>412</v>
      </c>
      <c r="AE23" s="19">
        <v>12</v>
      </c>
      <c r="AF23" s="19">
        <f>SUM(AE$6:AE23)</f>
        <v>34.340000000000003</v>
      </c>
      <c r="AG23" s="19">
        <v>20</v>
      </c>
    </row>
    <row r="24" spans="1:33" ht="22" customHeight="1" x14ac:dyDescent="0.2">
      <c r="A24" s="50" t="s">
        <v>405</v>
      </c>
      <c r="B24" s="38" t="s">
        <v>225</v>
      </c>
      <c r="C24" s="32" t="s">
        <v>174</v>
      </c>
      <c r="F24" s="10" t="s">
        <v>175</v>
      </c>
      <c r="G24" s="4">
        <f>G21-G23</f>
        <v>100.4134425</v>
      </c>
      <c r="H24" s="4">
        <f>H21-H23</f>
        <v>62.199106999999998</v>
      </c>
      <c r="AA24" s="38" t="s">
        <v>463</v>
      </c>
      <c r="AB24" s="42" t="s">
        <v>520</v>
      </c>
      <c r="AC24" s="43" t="s">
        <v>331</v>
      </c>
      <c r="AE24" s="19">
        <v>13.5</v>
      </c>
      <c r="AF24" s="19">
        <f>SUM(AE$6:AE24)</f>
        <v>47.84</v>
      </c>
      <c r="AG24" s="19">
        <v>20</v>
      </c>
    </row>
    <row r="25" spans="1:33" ht="22" customHeight="1" x14ac:dyDescent="0.2">
      <c r="AB25" s="40"/>
      <c r="AC25" s="43"/>
      <c r="AE25" s="19">
        <v>12</v>
      </c>
      <c r="AF25" s="19">
        <f>SUM(AE$6:AE25)</f>
        <v>59.84</v>
      </c>
      <c r="AG25" s="19">
        <v>20</v>
      </c>
    </row>
    <row r="26" spans="1:33" ht="22" customHeight="1" x14ac:dyDescent="0.2">
      <c r="A26" s="50" t="s">
        <v>405</v>
      </c>
      <c r="B26" s="38" t="s">
        <v>159</v>
      </c>
      <c r="C26" s="31" t="s">
        <v>162</v>
      </c>
      <c r="F26" s="10" t="s">
        <v>52</v>
      </c>
      <c r="G26" s="4">
        <v>5000</v>
      </c>
      <c r="H26" s="4">
        <v>50000</v>
      </c>
      <c r="J26" s="4">
        <v>5000</v>
      </c>
      <c r="K26" s="4">
        <v>50000</v>
      </c>
      <c r="M26" s="4">
        <v>5500</v>
      </c>
      <c r="N26" s="4">
        <v>50000</v>
      </c>
      <c r="P26" s="4">
        <v>6000</v>
      </c>
      <c r="Q26" s="4">
        <v>50000</v>
      </c>
      <c r="S26" s="4">
        <v>6500</v>
      </c>
      <c r="T26" s="4">
        <v>49000</v>
      </c>
      <c r="V26" s="4">
        <v>7200</v>
      </c>
      <c r="W26" s="4">
        <v>49500</v>
      </c>
      <c r="Y26" s="4">
        <v>7200</v>
      </c>
      <c r="Z26" s="4">
        <v>49500</v>
      </c>
      <c r="AA26" s="38" t="s">
        <v>407</v>
      </c>
      <c r="AB26" s="42" t="s">
        <v>290</v>
      </c>
      <c r="AC26" s="43" t="s">
        <v>328</v>
      </c>
      <c r="AE26" s="19">
        <v>10</v>
      </c>
      <c r="AF26" s="19">
        <f>SUM(AE$6:AE26)</f>
        <v>69.84</v>
      </c>
      <c r="AG26" s="19">
        <v>20</v>
      </c>
    </row>
    <row r="27" spans="1:33" ht="22" customHeight="1" x14ac:dyDescent="0.2">
      <c r="A27" s="50" t="s">
        <v>405</v>
      </c>
      <c r="B27" s="38" t="s">
        <v>268</v>
      </c>
      <c r="C27" s="33" t="s">
        <v>163</v>
      </c>
      <c r="F27" s="14" t="s">
        <v>108</v>
      </c>
      <c r="H27" s="4">
        <f>MAX(H$26-H$14, 0)</f>
        <v>0</v>
      </c>
      <c r="K27" s="4">
        <f>MAX(K$26-K$14, 0)</f>
        <v>0</v>
      </c>
      <c r="N27" s="4">
        <f>MAX(N$26-N$14, 0)</f>
        <v>0</v>
      </c>
      <c r="Q27" s="4">
        <f>MAX(Q$26-Q$14, 0)</f>
        <v>0</v>
      </c>
      <c r="T27" s="4">
        <f>MAX(T$26-T$14, 0)</f>
        <v>0</v>
      </c>
      <c r="W27" s="4">
        <f>MAX(W$26-W$14, 0)</f>
        <v>0</v>
      </c>
      <c r="Z27" s="4">
        <f>MAX(Z$26-Z$14, 0)</f>
        <v>0</v>
      </c>
      <c r="AA27" s="38" t="s">
        <v>406</v>
      </c>
      <c r="AB27" s="42" t="s">
        <v>291</v>
      </c>
      <c r="AC27" s="43" t="s">
        <v>329</v>
      </c>
      <c r="AE27" s="19">
        <v>6</v>
      </c>
      <c r="AF27" s="19">
        <f>SUM(AE$6:AE27)</f>
        <v>75.84</v>
      </c>
      <c r="AG27" s="19">
        <v>20</v>
      </c>
    </row>
    <row r="28" spans="1:33" ht="22" customHeight="1" x14ac:dyDescent="0.2">
      <c r="A28" s="50" t="s">
        <v>405</v>
      </c>
      <c r="B28" s="38" t="s">
        <v>160</v>
      </c>
      <c r="C28" s="33" t="s">
        <v>163</v>
      </c>
      <c r="F28" s="14" t="s">
        <v>144</v>
      </c>
      <c r="G28" s="4">
        <f>MIN(G14,G26)</f>
        <v>5000</v>
      </c>
      <c r="H28" s="4">
        <f>MIN(H14,H26)</f>
        <v>50000</v>
      </c>
      <c r="J28" s="4">
        <f>MIN(J14,J26)</f>
        <v>5000</v>
      </c>
      <c r="K28" s="4">
        <f>MIN(K14,K26)</f>
        <v>50000</v>
      </c>
      <c r="M28" s="4">
        <f>MIN(M14,M26)</f>
        <v>5500</v>
      </c>
      <c r="N28" s="4">
        <f>MIN(N14,N26)</f>
        <v>50000</v>
      </c>
      <c r="P28" s="4">
        <f>MIN(P14,P26)</f>
        <v>6000</v>
      </c>
      <c r="Q28" s="4">
        <f>MIN(Q14,Q26)</f>
        <v>50000</v>
      </c>
      <c r="S28" s="4">
        <f>MIN(S14,S26)</f>
        <v>6500</v>
      </c>
      <c r="T28" s="4">
        <f>MIN(T14,T26)</f>
        <v>49000</v>
      </c>
      <c r="V28" s="4">
        <f>MIN(V14,V26)</f>
        <v>7200</v>
      </c>
      <c r="W28" s="4">
        <f>MIN(W14,W26)</f>
        <v>49500</v>
      </c>
      <c r="Y28" s="4">
        <f>MIN(Y14,Y26)</f>
        <v>7200</v>
      </c>
      <c r="Z28" s="4">
        <f>MIN(Z14,Z26)</f>
        <v>49500</v>
      </c>
      <c r="AA28" s="38" t="s">
        <v>408</v>
      </c>
      <c r="AB28" s="42" t="s">
        <v>292</v>
      </c>
      <c r="AC28" s="43" t="s">
        <v>328</v>
      </c>
      <c r="AE28" s="19">
        <v>3</v>
      </c>
      <c r="AF28" s="19">
        <f>SUM(AE$6:AE28)</f>
        <v>78.84</v>
      </c>
      <c r="AG28" s="19">
        <v>20</v>
      </c>
    </row>
    <row r="29" spans="1:33" ht="22" customHeight="1" x14ac:dyDescent="0.2">
      <c r="F29" s="15" t="s">
        <v>169</v>
      </c>
      <c r="G29" s="8"/>
      <c r="H29" s="8"/>
      <c r="J29" s="8"/>
      <c r="K29" s="8"/>
      <c r="M29" s="8"/>
      <c r="N29" s="8"/>
      <c r="P29" s="8"/>
      <c r="Q29" s="8"/>
      <c r="S29" s="8"/>
      <c r="T29" s="8"/>
      <c r="V29" s="8"/>
      <c r="W29" s="8"/>
      <c r="Y29" s="8"/>
      <c r="Z29" s="8"/>
      <c r="AB29" s="40"/>
      <c r="AC29" s="43"/>
      <c r="AE29" s="19">
        <v>1.8</v>
      </c>
      <c r="AF29" s="19">
        <f>SUM(AE$6:AE29)</f>
        <v>80.64</v>
      </c>
      <c r="AG29" s="19">
        <v>20</v>
      </c>
    </row>
    <row r="30" spans="1:33" ht="22" customHeight="1" x14ac:dyDescent="0.2">
      <c r="A30" s="50" t="s">
        <v>405</v>
      </c>
      <c r="B30" s="38" t="s">
        <v>267</v>
      </c>
      <c r="C30" s="31" t="s">
        <v>162</v>
      </c>
      <c r="E30" s="55" t="s">
        <v>170</v>
      </c>
      <c r="F30" s="25" t="s">
        <v>68</v>
      </c>
      <c r="G30" s="4">
        <v>0.3</v>
      </c>
      <c r="H30" s="4">
        <v>0.92</v>
      </c>
      <c r="AA30" s="38" t="s">
        <v>310</v>
      </c>
      <c r="AB30" s="42" t="s">
        <v>311</v>
      </c>
      <c r="AC30" s="43" t="s">
        <v>332</v>
      </c>
    </row>
    <row r="31" spans="1:33" ht="22" customHeight="1" x14ac:dyDescent="0.2">
      <c r="A31" s="50" t="s">
        <v>405</v>
      </c>
      <c r="B31" s="38" t="s">
        <v>478</v>
      </c>
      <c r="C31" s="31" t="s">
        <v>162</v>
      </c>
      <c r="E31" s="55"/>
      <c r="F31" s="25" t="s">
        <v>171</v>
      </c>
      <c r="G31" s="4">
        <f>0.00157</f>
        <v>1.57E-3</v>
      </c>
      <c r="H31" s="4">
        <f>G31</f>
        <v>1.57E-3</v>
      </c>
      <c r="J31" s="4">
        <f>G30/G21</f>
        <v>2E-3</v>
      </c>
      <c r="AA31" s="38" t="s">
        <v>413</v>
      </c>
      <c r="AB31" s="42" t="s">
        <v>477</v>
      </c>
      <c r="AC31" s="43" t="s">
        <v>343</v>
      </c>
    </row>
    <row r="32" spans="1:33" ht="22" customHeight="1" x14ac:dyDescent="0.2">
      <c r="A32" s="50" t="s">
        <v>405</v>
      </c>
      <c r="B32" s="38" t="s">
        <v>476</v>
      </c>
      <c r="C32" s="31" t="s">
        <v>162</v>
      </c>
      <c r="E32" s="26"/>
      <c r="G32" s="4">
        <f>8/13</f>
        <v>0.61538461538461542</v>
      </c>
      <c r="AA32" s="38" t="s">
        <v>488</v>
      </c>
      <c r="AB32" s="42" t="s">
        <v>487</v>
      </c>
      <c r="AC32" s="43" t="s">
        <v>343</v>
      </c>
    </row>
    <row r="33" spans="1:30" ht="22" customHeight="1" x14ac:dyDescent="0.2">
      <c r="A33" s="50" t="s">
        <v>405</v>
      </c>
      <c r="B33" s="38" t="s">
        <v>489</v>
      </c>
      <c r="C33" s="31" t="s">
        <v>490</v>
      </c>
      <c r="E33" s="26"/>
      <c r="G33" s="4">
        <v>0.5</v>
      </c>
      <c r="AA33" s="38" t="s">
        <v>491</v>
      </c>
      <c r="AB33" s="42" t="s">
        <v>492</v>
      </c>
      <c r="AC33" s="43" t="s">
        <v>339</v>
      </c>
    </row>
    <row r="34" spans="1:30" ht="22" customHeight="1" x14ac:dyDescent="0.2">
      <c r="F34" s="15" t="s">
        <v>56</v>
      </c>
      <c r="G34" s="8"/>
      <c r="H34" s="8"/>
      <c r="J34" s="8"/>
      <c r="K34" s="8"/>
      <c r="M34" s="8"/>
      <c r="N34" s="8"/>
      <c r="P34" s="8"/>
      <c r="Q34" s="8"/>
      <c r="S34" s="8"/>
      <c r="T34" s="8"/>
      <c r="V34" s="8"/>
      <c r="W34" s="8"/>
      <c r="Y34" s="8"/>
      <c r="Z34" s="8"/>
      <c r="AB34" s="40"/>
      <c r="AC34" s="43"/>
    </row>
    <row r="35" spans="1:30" ht="22" customHeight="1" x14ac:dyDescent="0.2">
      <c r="A35" s="50" t="s">
        <v>405</v>
      </c>
      <c r="B35" s="38" t="s">
        <v>168</v>
      </c>
      <c r="C35" s="31" t="s">
        <v>162</v>
      </c>
      <c r="F35" s="10" t="s">
        <v>53</v>
      </c>
      <c r="G35" s="4">
        <v>2000000</v>
      </c>
      <c r="J35" s="4">
        <v>5050000</v>
      </c>
      <c r="M35" s="4">
        <v>5110000</v>
      </c>
      <c r="P35" s="4">
        <v>3210000</v>
      </c>
      <c r="S35" s="4">
        <v>3000000</v>
      </c>
      <c r="V35" s="4">
        <v>2850000</v>
      </c>
      <c r="Y35" s="4">
        <v>2520000</v>
      </c>
      <c r="AA35" s="38" t="s">
        <v>279</v>
      </c>
      <c r="AB35" s="42" t="s">
        <v>515</v>
      </c>
      <c r="AC35" s="43" t="s">
        <v>333</v>
      </c>
    </row>
    <row r="36" spans="1:30" ht="22" customHeight="1" x14ac:dyDescent="0.2">
      <c r="A36" s="50" t="s">
        <v>405</v>
      </c>
      <c r="B36" s="38" t="s">
        <v>505</v>
      </c>
      <c r="C36" s="33" t="s">
        <v>163</v>
      </c>
      <c r="F36" s="10" t="s">
        <v>53</v>
      </c>
      <c r="G36" s="4">
        <v>2000000</v>
      </c>
      <c r="J36" s="4">
        <f>J35*J41</f>
        <v>5050000</v>
      </c>
      <c r="M36" s="4">
        <f>M35*M41</f>
        <v>5110000</v>
      </c>
      <c r="P36" s="4">
        <f>P35*P41</f>
        <v>3210000.0000000009</v>
      </c>
      <c r="S36" s="4">
        <f>S35*S41</f>
        <v>1135477.3790923837</v>
      </c>
      <c r="V36" s="4">
        <f>V35*V41</f>
        <v>379334.20241833507</v>
      </c>
      <c r="Y36" s="4">
        <f>Y35*Y41</f>
        <v>224809.55611554152</v>
      </c>
      <c r="AA36" s="38" t="s">
        <v>514</v>
      </c>
      <c r="AB36" s="42" t="s">
        <v>516</v>
      </c>
      <c r="AC36" s="43" t="s">
        <v>333</v>
      </c>
    </row>
    <row r="37" spans="1:30" ht="22" customHeight="1" x14ac:dyDescent="0.2">
      <c r="A37" s="50" t="s">
        <v>405</v>
      </c>
      <c r="B37" s="38" t="s">
        <v>504</v>
      </c>
      <c r="C37" s="31" t="s">
        <v>490</v>
      </c>
      <c r="G37" s="4">
        <v>0.14000000000000001</v>
      </c>
      <c r="J37" s="4">
        <v>0.14000000000000001</v>
      </c>
      <c r="M37" s="4">
        <v>0.14000000000000001</v>
      </c>
      <c r="P37" s="4">
        <v>0.14499999999999999</v>
      </c>
      <c r="S37" s="4">
        <v>0.14799999999999999</v>
      </c>
      <c r="V37" s="4">
        <v>0.13700000000000001</v>
      </c>
      <c r="Y37" s="4">
        <v>0.14199999999999999</v>
      </c>
      <c r="AA37" s="38" t="s">
        <v>511</v>
      </c>
      <c r="AB37" s="42" t="s">
        <v>509</v>
      </c>
      <c r="AC37" s="43" t="s">
        <v>512</v>
      </c>
    </row>
    <row r="38" spans="1:30" ht="22" customHeight="1" x14ac:dyDescent="0.2">
      <c r="A38" s="50" t="s">
        <v>405</v>
      </c>
      <c r="B38" s="38" t="s">
        <v>503</v>
      </c>
      <c r="C38" s="31" t="s">
        <v>490</v>
      </c>
      <c r="G38" s="4">
        <v>1</v>
      </c>
      <c r="J38" s="4">
        <v>1</v>
      </c>
      <c r="M38" s="4">
        <v>1</v>
      </c>
      <c r="P38" s="4">
        <v>1</v>
      </c>
      <c r="S38" s="4">
        <v>1</v>
      </c>
      <c r="V38" s="4">
        <v>1</v>
      </c>
      <c r="Y38" s="4">
        <v>1</v>
      </c>
      <c r="AA38" s="38" t="s">
        <v>507</v>
      </c>
      <c r="AB38" s="42" t="s">
        <v>518</v>
      </c>
      <c r="AC38" s="43" t="s">
        <v>506</v>
      </c>
    </row>
    <row r="39" spans="1:30" ht="22" customHeight="1" x14ac:dyDescent="0.2">
      <c r="A39" s="50" t="s">
        <v>405</v>
      </c>
      <c r="B39" s="38" t="s">
        <v>469</v>
      </c>
      <c r="C39" s="31" t="s">
        <v>162</v>
      </c>
      <c r="F39" s="14"/>
      <c r="G39" s="4">
        <v>0.5</v>
      </c>
      <c r="J39" s="4">
        <v>0.5</v>
      </c>
      <c r="M39" s="4">
        <v>0.5</v>
      </c>
      <c r="P39" s="4">
        <v>0.5</v>
      </c>
      <c r="S39" s="4">
        <v>0.5</v>
      </c>
      <c r="V39" s="4">
        <v>0.5</v>
      </c>
      <c r="Y39" s="4">
        <v>0.5</v>
      </c>
      <c r="AA39" s="38" t="s">
        <v>466</v>
      </c>
      <c r="AB39" s="42" t="s">
        <v>467</v>
      </c>
      <c r="AC39" s="43" t="s">
        <v>499</v>
      </c>
    </row>
    <row r="40" spans="1:30" ht="22" customHeight="1" x14ac:dyDescent="0.2">
      <c r="AB40" s="40"/>
      <c r="AC40" s="43"/>
    </row>
    <row r="41" spans="1:30" ht="22" customHeight="1" x14ac:dyDescent="0.2">
      <c r="A41" s="50" t="s">
        <v>405</v>
      </c>
      <c r="B41" s="38" t="s">
        <v>510</v>
      </c>
      <c r="C41" s="28" t="s">
        <v>174</v>
      </c>
      <c r="F41" s="10" t="s">
        <v>53</v>
      </c>
      <c r="G41" s="4">
        <v>1</v>
      </c>
      <c r="J41" s="4">
        <f>(G164/G35)*J38 + (1 - J38)</f>
        <v>1</v>
      </c>
      <c r="M41" s="4">
        <f>(J164/J35)*M38 + (1 - M38)</f>
        <v>1</v>
      </c>
      <c r="P41" s="4">
        <f>(M164/M35)*P38 + (1 - P38)</f>
        <v>1.0000000000000002</v>
      </c>
      <c r="S41" s="4">
        <f>(P164/P35)*S38 + (1 - S38)</f>
        <v>0.37849245969746126</v>
      </c>
      <c r="V41" s="4">
        <f>(S164/S35)*V38 + (1 - V38)</f>
        <v>0.13309972014678423</v>
      </c>
      <c r="Y41" s="4">
        <f>(V164/V35)*Y38 + (1 - Y38)</f>
        <v>8.9210141315691077E-2</v>
      </c>
      <c r="AA41" s="38" t="s">
        <v>513</v>
      </c>
      <c r="AB41" s="42" t="s">
        <v>508</v>
      </c>
      <c r="AC41" s="43" t="s">
        <v>499</v>
      </c>
    </row>
    <row r="42" spans="1:30" ht="22" customHeight="1" x14ac:dyDescent="0.2">
      <c r="F42" s="11" t="s">
        <v>57</v>
      </c>
      <c r="G42" s="12"/>
      <c r="H42" s="12"/>
      <c r="J42" s="12"/>
      <c r="K42" s="12"/>
      <c r="M42" s="12"/>
      <c r="N42" s="12"/>
      <c r="P42" s="12"/>
      <c r="Q42" s="12"/>
      <c r="S42" s="12"/>
      <c r="T42" s="12"/>
      <c r="V42" s="12"/>
      <c r="W42" s="12"/>
      <c r="Y42" s="12"/>
      <c r="Z42" s="12"/>
      <c r="AB42" s="40"/>
      <c r="AC42" s="43"/>
    </row>
    <row r="43" spans="1:30" ht="22" customHeight="1" x14ac:dyDescent="0.2">
      <c r="F43" s="15" t="s">
        <v>139</v>
      </c>
      <c r="G43" s="8" t="s">
        <v>124</v>
      </c>
      <c r="H43" s="8"/>
      <c r="J43" s="4" t="s">
        <v>126</v>
      </c>
      <c r="M43" s="4" t="s">
        <v>126</v>
      </c>
      <c r="O43" s="5" t="s">
        <v>125</v>
      </c>
      <c r="P43" s="4" t="s">
        <v>126</v>
      </c>
      <c r="AB43" s="40"/>
      <c r="AC43" s="43"/>
      <c r="AD43" t="s">
        <v>77</v>
      </c>
    </row>
    <row r="44" spans="1:30" ht="22" customHeight="1" x14ac:dyDescent="0.2">
      <c r="B44" s="24" t="s">
        <v>179</v>
      </c>
      <c r="F44" s="14" t="s">
        <v>88</v>
      </c>
      <c r="H44" s="4">
        <v>0</v>
      </c>
      <c r="I44" s="5">
        <f>SUM(K$44:K44)</f>
        <v>0</v>
      </c>
      <c r="K44" s="4">
        <v>0</v>
      </c>
      <c r="L44" s="5">
        <f>SUM(N$44:N44)</f>
        <v>0</v>
      </c>
      <c r="N44" s="4">
        <v>0</v>
      </c>
      <c r="O44" s="5">
        <f>SUM(Q$44:Q44)</f>
        <v>0</v>
      </c>
      <c r="Q44" s="4">
        <v>0</v>
      </c>
      <c r="R44" s="5">
        <f>SUM(T$44:T44)</f>
        <v>0</v>
      </c>
      <c r="T44" s="4">
        <v>0</v>
      </c>
      <c r="U44" s="5">
        <f>SUM(W$44:W44)</f>
        <v>0</v>
      </c>
      <c r="W44" s="4">
        <v>0</v>
      </c>
      <c r="X44" s="5">
        <f>SUM(Z$44:Z44)</f>
        <v>0</v>
      </c>
      <c r="Z44" s="4">
        <v>0</v>
      </c>
      <c r="AB44" s="40"/>
      <c r="AC44" s="43"/>
    </row>
    <row r="45" spans="1:30" ht="22" customHeight="1" x14ac:dyDescent="0.2">
      <c r="A45" s="50" t="s">
        <v>405</v>
      </c>
      <c r="B45" s="37" t="s">
        <v>295</v>
      </c>
      <c r="C45" s="53" t="s">
        <v>174</v>
      </c>
      <c r="F45" s="14" t="s">
        <v>87</v>
      </c>
      <c r="G45" s="4">
        <v>0</v>
      </c>
      <c r="H45" s="4">
        <f>H13</f>
        <v>85</v>
      </c>
      <c r="I45" s="5">
        <f>SUM(H$44:H45)</f>
        <v>85</v>
      </c>
      <c r="J45" s="4">
        <f>IF(I45&gt;=K$11, IF(I44&lt;K$11, K$11-I44, 0),H45)</f>
        <v>0</v>
      </c>
      <c r="K45" s="4">
        <f>H45-J45</f>
        <v>85</v>
      </c>
      <c r="L45" s="5">
        <f>SUM(K$44:K45)</f>
        <v>85</v>
      </c>
      <c r="M45" s="4">
        <f>IF(L45&gt;=N$11, IF(L44&lt;N$11, N$11-L44, 0),K45)</f>
        <v>0</v>
      </c>
      <c r="N45" s="4">
        <f>K45-M45</f>
        <v>85</v>
      </c>
      <c r="O45" s="5">
        <f>SUM(N$44:N45)</f>
        <v>85</v>
      </c>
      <c r="P45" s="4">
        <f>IF(O45&gt;=Q$11, IF(O44&lt;Q$11, Q$11-O44, 0),N45)</f>
        <v>0</v>
      </c>
      <c r="Q45" s="4">
        <f>N45-P45</f>
        <v>85</v>
      </c>
      <c r="R45" s="5">
        <f>SUM(Q$44:Q45)</f>
        <v>85</v>
      </c>
      <c r="S45" s="4">
        <f>IF(R45&gt;=T$11, IF(R44&lt;T$11, T$11-R44, 0),Q45)</f>
        <v>0</v>
      </c>
      <c r="T45" s="4">
        <f>Q45-S45</f>
        <v>85</v>
      </c>
      <c r="U45" s="5">
        <f>SUM(T$44:T45)</f>
        <v>85</v>
      </c>
      <c r="V45" s="4">
        <f>IF(U45&gt;=W$11, IF(U44&lt;W$11, W$11-U44, 0),T45)</f>
        <v>0</v>
      </c>
      <c r="W45" s="4">
        <f>T45-V45</f>
        <v>85</v>
      </c>
      <c r="X45" s="5">
        <f>SUM(W$44:W45)</f>
        <v>85</v>
      </c>
      <c r="Y45" s="4">
        <f>IF(X45&gt;=Z$11, IF(X44&lt;Z$11, Z$11-X44, 0),W45)</f>
        <v>0</v>
      </c>
      <c r="Z45" s="4">
        <f>W45-Y45</f>
        <v>85</v>
      </c>
      <c r="AA45" s="38" t="s">
        <v>305</v>
      </c>
      <c r="AB45" s="42" t="s">
        <v>374</v>
      </c>
      <c r="AC45" s="43" t="s">
        <v>328</v>
      </c>
    </row>
    <row r="46" spans="1:30" ht="22" customHeight="1" x14ac:dyDescent="0.2">
      <c r="A46" s="50" t="s">
        <v>405</v>
      </c>
      <c r="B46" s="38" t="s">
        <v>296</v>
      </c>
      <c r="C46" s="53"/>
      <c r="F46" s="14" t="s">
        <v>69</v>
      </c>
      <c r="G46" s="4">
        <v>0</v>
      </c>
      <c r="H46" s="4">
        <v>0</v>
      </c>
      <c r="I46" s="5">
        <f>SUM(H$44:H46)</f>
        <v>85</v>
      </c>
      <c r="J46" s="4">
        <f>IF(I46&gt;=K$11, IF(I45&lt;K$11, K$11-I45, 0),H46)</f>
        <v>0</v>
      </c>
      <c r="K46" s="4">
        <f>K13</f>
        <v>80</v>
      </c>
      <c r="L46" s="5">
        <f>SUM(K$44:K46)</f>
        <v>165</v>
      </c>
      <c r="M46" s="4">
        <f>IF(L46&gt;=N$11, IF(L45&lt;N$11, N$11-L45, 0),K46)</f>
        <v>0</v>
      </c>
      <c r="N46" s="4">
        <f>K46-M46</f>
        <v>80</v>
      </c>
      <c r="O46" s="5">
        <f>SUM(N$44:N46)</f>
        <v>165</v>
      </c>
      <c r="P46" s="4">
        <f t="shared" ref="P46:P48" si="0">IF(O46&gt;=Q$11, IF(O45&lt;Q$11, Q$11-O45, 0),N46)</f>
        <v>0</v>
      </c>
      <c r="Q46" s="4">
        <f>N46-P46</f>
        <v>80</v>
      </c>
      <c r="R46" s="5">
        <f>SUM(Q$44:Q46)</f>
        <v>165</v>
      </c>
      <c r="S46" s="4">
        <f t="shared" ref="S46:S48" si="1">IF(R46&gt;=T$11, IF(R45&lt;T$11, T$11-R45, 0),Q46)</f>
        <v>0</v>
      </c>
      <c r="T46" s="4">
        <f>Q46-S46</f>
        <v>80</v>
      </c>
      <c r="U46" s="5">
        <f>SUM(T$44:T46)</f>
        <v>165</v>
      </c>
      <c r="V46" s="4">
        <f t="shared" ref="V46:V48" si="2">IF(U46&gt;=W$11, IF(U45&lt;W$11, W$11-U45, 0),T46)</f>
        <v>0</v>
      </c>
      <c r="W46" s="4">
        <f>T46-V46</f>
        <v>80</v>
      </c>
      <c r="X46" s="5">
        <f>SUM(W$44:W46)</f>
        <v>165</v>
      </c>
      <c r="Y46" s="4">
        <f t="shared" ref="Y46:Y48" si="3">IF(X46&gt;=Z$11, IF(X45&lt;Z$11, Z$11-X45, 0),W46)</f>
        <v>0</v>
      </c>
      <c r="Z46" s="4">
        <f>W46-Y46</f>
        <v>80</v>
      </c>
      <c r="AA46" s="38" t="s">
        <v>306</v>
      </c>
      <c r="AB46" s="42" t="s">
        <v>375</v>
      </c>
      <c r="AC46" s="43" t="s">
        <v>328</v>
      </c>
    </row>
    <row r="47" spans="1:30" ht="22" customHeight="1" x14ac:dyDescent="0.2">
      <c r="A47" s="50" t="s">
        <v>405</v>
      </c>
      <c r="B47" s="38" t="s">
        <v>297</v>
      </c>
      <c r="C47" s="53"/>
      <c r="F47" s="14" t="s">
        <v>79</v>
      </c>
      <c r="G47" s="4">
        <v>0</v>
      </c>
      <c r="H47" s="4">
        <v>0</v>
      </c>
      <c r="I47" s="5">
        <f>SUM(H$44:H47)</f>
        <v>85</v>
      </c>
      <c r="J47" s="4">
        <f>IF(I47&gt;=K$11, IF(I46&lt;K$11, K$11-I46, 0),H47)</f>
        <v>0</v>
      </c>
      <c r="K47" s="4">
        <v>0</v>
      </c>
      <c r="L47" s="5">
        <f>SUM(K$44:K47)</f>
        <v>165</v>
      </c>
      <c r="M47" s="4">
        <f t="shared" ref="M47:M48" si="4">IF(L47&gt;=N$11, IF(L46&lt;N$11, N$11-L46, 0),K47)</f>
        <v>0</v>
      </c>
      <c r="N47" s="4">
        <f>N13</f>
        <v>92</v>
      </c>
      <c r="O47" s="5">
        <f>SUM(N$44:N47)</f>
        <v>257</v>
      </c>
      <c r="P47" s="4">
        <f t="shared" si="0"/>
        <v>0</v>
      </c>
      <c r="Q47" s="4">
        <f>N47-P47</f>
        <v>92</v>
      </c>
      <c r="R47" s="5">
        <f>SUM(Q$44:Q47)</f>
        <v>257</v>
      </c>
      <c r="S47" s="4">
        <f t="shared" si="1"/>
        <v>0</v>
      </c>
      <c r="T47" s="4">
        <f>Q47-S47</f>
        <v>92</v>
      </c>
      <c r="U47" s="5">
        <f>SUM(T$44:T47)</f>
        <v>257</v>
      </c>
      <c r="V47" s="4">
        <f t="shared" si="2"/>
        <v>0</v>
      </c>
      <c r="W47" s="4">
        <f>T47-V47</f>
        <v>92</v>
      </c>
      <c r="X47" s="5">
        <f>SUM(W$44:W47)</f>
        <v>257</v>
      </c>
      <c r="Y47" s="4">
        <f t="shared" si="3"/>
        <v>0</v>
      </c>
      <c r="Z47" s="4">
        <f>W47-Y47</f>
        <v>92</v>
      </c>
      <c r="AA47" s="38" t="s">
        <v>324</v>
      </c>
      <c r="AB47" s="42" t="s">
        <v>376</v>
      </c>
      <c r="AC47" s="43" t="s">
        <v>328</v>
      </c>
    </row>
    <row r="48" spans="1:30" ht="22" customHeight="1" x14ac:dyDescent="0.2">
      <c r="B48" s="38"/>
      <c r="C48" s="53"/>
      <c r="F48" s="14" t="s">
        <v>80</v>
      </c>
      <c r="G48" s="4">
        <v>0</v>
      </c>
      <c r="H48" s="4">
        <v>0</v>
      </c>
      <c r="I48" s="5">
        <f>SUM(H$44:H48)</f>
        <v>85</v>
      </c>
      <c r="J48" s="4">
        <f>IF(I48&gt;=K$11, IF(I47&lt;K$11, K$11-I47, 0),H48)</f>
        <v>0</v>
      </c>
      <c r="K48" s="4">
        <v>0</v>
      </c>
      <c r="L48" s="5">
        <f>SUM(K$44:K48)</f>
        <v>165</v>
      </c>
      <c r="M48" s="4">
        <f t="shared" si="4"/>
        <v>0</v>
      </c>
      <c r="N48" s="4">
        <v>0</v>
      </c>
      <c r="O48" s="5">
        <f>SUM(N$44:N48)</f>
        <v>257</v>
      </c>
      <c r="P48" s="4">
        <f t="shared" si="0"/>
        <v>0</v>
      </c>
      <c r="Q48" s="4">
        <f>Q13</f>
        <v>43</v>
      </c>
      <c r="R48" s="5">
        <f>SUM(Q$44:Q48)</f>
        <v>300</v>
      </c>
      <c r="S48" s="4">
        <f t="shared" si="1"/>
        <v>0</v>
      </c>
      <c r="T48" s="4">
        <f>Q48-S48</f>
        <v>43</v>
      </c>
      <c r="U48" s="5">
        <f>SUM(T$44:T48)</f>
        <v>300</v>
      </c>
      <c r="V48" s="4">
        <f t="shared" si="2"/>
        <v>0</v>
      </c>
      <c r="W48" s="4">
        <f>T48-V48</f>
        <v>43</v>
      </c>
      <c r="X48" s="5">
        <f>SUM(W$44:W48)</f>
        <v>300</v>
      </c>
      <c r="Y48" s="4">
        <f t="shared" si="3"/>
        <v>0</v>
      </c>
      <c r="Z48" s="4">
        <f>W48-Y48</f>
        <v>43</v>
      </c>
      <c r="AA48" s="38"/>
      <c r="AB48" s="42"/>
      <c r="AC48" s="43"/>
    </row>
    <row r="49" spans="1:29" ht="22" customHeight="1" x14ac:dyDescent="0.2">
      <c r="F49" s="14" t="s">
        <v>82</v>
      </c>
      <c r="AB49" s="40"/>
      <c r="AC49" s="43"/>
    </row>
    <row r="50" spans="1:29" ht="22" customHeight="1" x14ac:dyDescent="0.2">
      <c r="A50" s="50" t="s">
        <v>405</v>
      </c>
      <c r="B50" s="54" t="s">
        <v>189</v>
      </c>
      <c r="C50" s="53" t="s">
        <v>174</v>
      </c>
      <c r="F50" s="14" t="s">
        <v>193</v>
      </c>
      <c r="H50" s="4">
        <v>0</v>
      </c>
      <c r="K50" s="4">
        <f>IF(H45=0, 0, H103*J45/H45)</f>
        <v>0</v>
      </c>
      <c r="N50" s="4">
        <f>IF(K45=0, 0, K103*M45/K45)</f>
        <v>0</v>
      </c>
      <c r="Q50" s="4">
        <f>IF(N45=0, 0, N103*P45/N45)</f>
        <v>0</v>
      </c>
      <c r="T50" s="4">
        <f>IF(Q45=0, 0, Q103*S45/Q45)</f>
        <v>0</v>
      </c>
      <c r="W50" s="4">
        <f>IF(T45=0, 0, T103*V45/T45)</f>
        <v>0</v>
      </c>
      <c r="Z50" s="4">
        <f>IF(W45=0, 0, W103*Y45/W45)</f>
        <v>0</v>
      </c>
      <c r="AA50" s="38" t="s">
        <v>280</v>
      </c>
      <c r="AB50" s="42" t="s">
        <v>377</v>
      </c>
      <c r="AC50" s="43" t="s">
        <v>334</v>
      </c>
    </row>
    <row r="51" spans="1:29" ht="22" customHeight="1" x14ac:dyDescent="0.2">
      <c r="B51" s="54"/>
      <c r="C51" s="53"/>
      <c r="F51" s="14" t="s">
        <v>194</v>
      </c>
      <c r="H51" s="4">
        <v>0</v>
      </c>
      <c r="K51" s="4">
        <f>IF(H46=0, 0, H104*J46/H46)</f>
        <v>0</v>
      </c>
      <c r="N51" s="4">
        <f>IF(K46=0, 0, K104*M46/K46)</f>
        <v>0</v>
      </c>
      <c r="Q51" s="4">
        <f>IF(N46=0, 0, N104*P46/N46)</f>
        <v>0</v>
      </c>
      <c r="T51" s="4">
        <f>IF(Q46=0, 0, Q104*S46/Q46)</f>
        <v>0</v>
      </c>
      <c r="W51" s="4">
        <f>IF(T46=0, 0, T104*V46/T46)</f>
        <v>0</v>
      </c>
      <c r="Z51" s="4">
        <f>IF(W46=0, 0, W104*Y46/W46)</f>
        <v>0</v>
      </c>
      <c r="AA51" s="38"/>
      <c r="AB51" s="42"/>
      <c r="AC51" s="43"/>
    </row>
    <row r="52" spans="1:29" ht="22" customHeight="1" x14ac:dyDescent="0.2">
      <c r="B52" s="54"/>
      <c r="C52" s="53"/>
      <c r="F52" s="14" t="s">
        <v>195</v>
      </c>
      <c r="H52" s="4">
        <v>0</v>
      </c>
      <c r="K52" s="4">
        <f>IF(H47=0, 0, H105*J47/H47)</f>
        <v>0</v>
      </c>
      <c r="N52" s="4">
        <f>IF(K47=0, 0, K105*M47/K47)</f>
        <v>0</v>
      </c>
      <c r="Q52" s="4">
        <f>IF(N47=0, 0, N105*P47/N47)</f>
        <v>0</v>
      </c>
      <c r="T52" s="4">
        <f>IF(Q47=0, 0, Q105*S47/Q47)</f>
        <v>0</v>
      </c>
      <c r="W52" s="4">
        <f>IF(T47=0, 0, T105*V47/T47)</f>
        <v>0</v>
      </c>
      <c r="Z52" s="4">
        <f>IF(W47=0, 0, W105*Y47/W47)</f>
        <v>0</v>
      </c>
      <c r="AA52" s="38"/>
      <c r="AB52" s="42"/>
      <c r="AC52" s="43"/>
    </row>
    <row r="53" spans="1:29" ht="22" customHeight="1" x14ac:dyDescent="0.2">
      <c r="B53" s="54"/>
      <c r="C53" s="53"/>
      <c r="F53" s="14" t="s">
        <v>196</v>
      </c>
      <c r="H53" s="4">
        <v>0</v>
      </c>
      <c r="K53" s="4">
        <f>IF(H48=0, 0, H106*J48/H48)</f>
        <v>0</v>
      </c>
      <c r="N53" s="4">
        <f>IF(K48=0, 0, K106*M48/K48)</f>
        <v>0</v>
      </c>
      <c r="Q53" s="4">
        <f>IF(N48=0, 0, N106*P48/N48)</f>
        <v>0</v>
      </c>
      <c r="T53" s="4">
        <f>IF(Q48=0, 0, Q106*S48/Q48)</f>
        <v>0</v>
      </c>
      <c r="W53" s="4">
        <f>IF(T48=0, 0, T106*V48/T48)</f>
        <v>0</v>
      </c>
      <c r="Z53" s="4">
        <f>IF(W48=0, 0, W106*Y48/W48)</f>
        <v>0</v>
      </c>
      <c r="AA53" s="38"/>
      <c r="AB53" s="42"/>
      <c r="AC53" s="43"/>
    </row>
    <row r="54" spans="1:29" ht="22" customHeight="1" x14ac:dyDescent="0.2">
      <c r="A54" s="50" t="s">
        <v>405</v>
      </c>
      <c r="B54" s="38" t="s">
        <v>190</v>
      </c>
      <c r="C54" s="28" t="s">
        <v>174</v>
      </c>
      <c r="F54" s="14"/>
      <c r="H54" s="4">
        <f>SUM(H50:H53)</f>
        <v>0</v>
      </c>
      <c r="K54" s="4">
        <f>SUM(K50:K53)</f>
        <v>0</v>
      </c>
      <c r="N54" s="4">
        <f>SUM(N50:N53)</f>
        <v>0</v>
      </c>
      <c r="Q54" s="4">
        <f>SUM(Q50:Q53)</f>
        <v>0</v>
      </c>
      <c r="T54" s="4">
        <f>SUM(T50:T53)</f>
        <v>0</v>
      </c>
      <c r="W54" s="4">
        <f>SUM(W50:W53)</f>
        <v>0</v>
      </c>
      <c r="Z54" s="4">
        <f>SUM(Z50:Z53)</f>
        <v>0</v>
      </c>
      <c r="AA54" s="38" t="s">
        <v>281</v>
      </c>
      <c r="AB54" s="42" t="s">
        <v>388</v>
      </c>
      <c r="AC54" s="43" t="s">
        <v>335</v>
      </c>
    </row>
    <row r="55" spans="1:29" ht="22" customHeight="1" x14ac:dyDescent="0.2">
      <c r="F55" s="14" t="s">
        <v>82</v>
      </c>
      <c r="AB55" s="40"/>
      <c r="AC55" s="43"/>
    </row>
    <row r="56" spans="1:29" ht="22" customHeight="1" x14ac:dyDescent="0.2">
      <c r="A56" s="50" t="s">
        <v>405</v>
      </c>
      <c r="B56" s="54" t="s">
        <v>253</v>
      </c>
      <c r="C56" s="53" t="s">
        <v>174</v>
      </c>
      <c r="E56" s="55" t="s">
        <v>243</v>
      </c>
      <c r="F56" s="14" t="s">
        <v>242</v>
      </c>
      <c r="H56" s="4">
        <f>MIN(H50,H$16*G45)</f>
        <v>0</v>
      </c>
      <c r="K56" s="4">
        <f>MIN(K50,K$16*J45)</f>
        <v>0</v>
      </c>
      <c r="N56" s="4">
        <f>MIN(N50,N$16*M45)</f>
        <v>0</v>
      </c>
      <c r="Q56" s="4">
        <f>MIN(Q50,Q$16*P45)</f>
        <v>0</v>
      </c>
      <c r="T56" s="4">
        <f>MIN(T50,T$16*S45)</f>
        <v>0</v>
      </c>
      <c r="W56" s="4">
        <f>MIN(W50,W$16*V45)</f>
        <v>0</v>
      </c>
      <c r="Z56" s="4">
        <f>MIN(Z50,Z$16*Y45)</f>
        <v>0</v>
      </c>
      <c r="AA56" s="38" t="s">
        <v>314</v>
      </c>
      <c r="AB56" s="42" t="s">
        <v>378</v>
      </c>
      <c r="AC56" s="43" t="s">
        <v>334</v>
      </c>
    </row>
    <row r="57" spans="1:29" ht="22" customHeight="1" x14ac:dyDescent="0.2">
      <c r="B57" s="54"/>
      <c r="C57" s="53"/>
      <c r="E57" s="55"/>
      <c r="F57" s="14" t="s">
        <v>244</v>
      </c>
      <c r="H57" s="4">
        <f>MIN(H51,H$16*G46)</f>
        <v>0</v>
      </c>
      <c r="K57" s="4">
        <f>MIN(K51,K$16*J46)</f>
        <v>0</v>
      </c>
      <c r="N57" s="4">
        <f>MIN(N51,N$16*M46)</f>
        <v>0</v>
      </c>
      <c r="Q57" s="4">
        <f t="shared" ref="Q57" si="5">MIN(Q51,Q$16*P46)</f>
        <v>0</v>
      </c>
      <c r="T57" s="4">
        <f t="shared" ref="T57" si="6">MIN(T51,T$16*S46)</f>
        <v>0</v>
      </c>
      <c r="W57" s="4">
        <f t="shared" ref="W57" si="7">MIN(W51,W$16*V46)</f>
        <v>0</v>
      </c>
      <c r="Z57" s="4">
        <f t="shared" ref="Z57" si="8">MIN(Z51,Z$16*Y46)</f>
        <v>0</v>
      </c>
      <c r="AA57" s="38"/>
      <c r="AB57" s="42"/>
      <c r="AC57" s="43"/>
    </row>
    <row r="58" spans="1:29" ht="22" customHeight="1" x14ac:dyDescent="0.2">
      <c r="B58" s="54"/>
      <c r="C58" s="53"/>
      <c r="E58" s="55"/>
      <c r="F58" s="14" t="s">
        <v>245</v>
      </c>
      <c r="H58" s="4">
        <f>MIN(H52,H$16*G47)</f>
        <v>0</v>
      </c>
      <c r="K58" s="4">
        <f>MIN(K52,K$16*J47)</f>
        <v>0</v>
      </c>
      <c r="N58" s="4">
        <f>MIN(N52,N$16*M47)</f>
        <v>0</v>
      </c>
      <c r="Q58" s="4">
        <f>MIN(Q52,Q$16*P47)</f>
        <v>0</v>
      </c>
      <c r="T58" s="4">
        <f>MIN(T52,T$16*S47)</f>
        <v>0</v>
      </c>
      <c r="W58" s="4">
        <f>MIN(W52,W$16*V47)</f>
        <v>0</v>
      </c>
      <c r="Z58" s="4">
        <f>MIN(Z52,Z$16*Y47)</f>
        <v>0</v>
      </c>
      <c r="AA58" s="38"/>
      <c r="AB58" s="42"/>
      <c r="AC58" s="43"/>
    </row>
    <row r="59" spans="1:29" ht="22" customHeight="1" x14ac:dyDescent="0.2">
      <c r="B59" s="54"/>
      <c r="C59" s="53"/>
      <c r="E59" s="55"/>
      <c r="F59" s="14" t="s">
        <v>246</v>
      </c>
      <c r="H59" s="4">
        <f>MIN(H53,H$16*G48)</f>
        <v>0</v>
      </c>
      <c r="K59" s="4">
        <f>MIN(K53,K$16*J48)</f>
        <v>0</v>
      </c>
      <c r="N59" s="4">
        <f>MIN(N53,N$16*M48)</f>
        <v>0</v>
      </c>
      <c r="Q59" s="4">
        <f>MIN(Q53,Q$16*P48)</f>
        <v>0</v>
      </c>
      <c r="T59" s="4">
        <f>MIN(T53,T$16*S48)</f>
        <v>0</v>
      </c>
      <c r="W59" s="4">
        <f>MIN(W53,W$16*V48)</f>
        <v>0</v>
      </c>
      <c r="Z59" s="4">
        <f>MIN(Z53,Z$16*Y48)</f>
        <v>0</v>
      </c>
      <c r="AA59" s="38"/>
      <c r="AB59" s="42"/>
      <c r="AC59" s="43"/>
    </row>
    <row r="60" spans="1:29" ht="22" customHeight="1" x14ac:dyDescent="0.2">
      <c r="A60" s="50" t="s">
        <v>405</v>
      </c>
      <c r="B60" s="38" t="s">
        <v>254</v>
      </c>
      <c r="C60" s="28" t="s">
        <v>174</v>
      </c>
      <c r="F60" s="14"/>
      <c r="H60" s="4">
        <f>SUM(H56:H59)</f>
        <v>0</v>
      </c>
      <c r="K60" s="4">
        <f>SUM(K56:K59)</f>
        <v>0</v>
      </c>
      <c r="N60" s="4">
        <f>SUM(N56:N59)</f>
        <v>0</v>
      </c>
      <c r="Q60" s="4">
        <f>SUM(Q56:Q59)</f>
        <v>0</v>
      </c>
      <c r="T60" s="4">
        <f>SUM(T56:T59)</f>
        <v>0</v>
      </c>
      <c r="W60" s="4">
        <f>SUM(W56:W59)</f>
        <v>0</v>
      </c>
      <c r="Z60" s="4">
        <f>SUM(Z56:Z59)</f>
        <v>0</v>
      </c>
      <c r="AA60" s="38" t="s">
        <v>313</v>
      </c>
      <c r="AB60" s="42" t="s">
        <v>389</v>
      </c>
      <c r="AC60" s="43" t="s">
        <v>335</v>
      </c>
    </row>
    <row r="61" spans="1:29" ht="22" customHeight="1" x14ac:dyDescent="0.2">
      <c r="A61" s="50" t="s">
        <v>405</v>
      </c>
      <c r="B61" s="38" t="s">
        <v>256</v>
      </c>
      <c r="C61" s="28"/>
      <c r="F61" s="14"/>
      <c r="H61" s="4">
        <f>H54-H60</f>
        <v>0</v>
      </c>
      <c r="K61" s="4">
        <f>K54-K60</f>
        <v>0</v>
      </c>
      <c r="N61" s="4">
        <f>N54-N60</f>
        <v>0</v>
      </c>
      <c r="Q61" s="4">
        <f>Q54-Q60</f>
        <v>0</v>
      </c>
      <c r="T61" s="4">
        <f>T54-T60</f>
        <v>0</v>
      </c>
      <c r="W61" s="4">
        <f>W54-W60</f>
        <v>0</v>
      </c>
      <c r="Z61" s="4">
        <f>Z54-Z60</f>
        <v>0</v>
      </c>
      <c r="AA61" s="38" t="s">
        <v>312</v>
      </c>
      <c r="AB61" s="42" t="s">
        <v>390</v>
      </c>
      <c r="AC61" s="43" t="s">
        <v>335</v>
      </c>
    </row>
    <row r="62" spans="1:29" ht="22" customHeight="1" x14ac:dyDescent="0.2">
      <c r="F62" s="14"/>
      <c r="AB62" s="42"/>
      <c r="AC62" s="43"/>
    </row>
    <row r="63" spans="1:29" ht="22" customHeight="1" x14ac:dyDescent="0.2">
      <c r="A63" s="50" t="s">
        <v>405</v>
      </c>
      <c r="B63" s="54" t="s">
        <v>191</v>
      </c>
      <c r="C63" s="53" t="s">
        <v>174</v>
      </c>
      <c r="F63" s="14" t="s">
        <v>197</v>
      </c>
      <c r="H63" s="4">
        <f>H50*$H$22</f>
        <v>0</v>
      </c>
      <c r="K63" s="4">
        <f>K50*$H$22</f>
        <v>0</v>
      </c>
      <c r="N63" s="4">
        <f>N50*$H$22</f>
        <v>0</v>
      </c>
      <c r="Q63" s="4">
        <f>Q50*$H$22</f>
        <v>0</v>
      </c>
      <c r="T63" s="4">
        <f>T50*$H$22</f>
        <v>0</v>
      </c>
      <c r="W63" s="4">
        <f>W50*$H$22</f>
        <v>0</v>
      </c>
      <c r="Z63" s="4">
        <f>Z50*$H$22</f>
        <v>0</v>
      </c>
      <c r="AA63" s="38" t="s">
        <v>282</v>
      </c>
      <c r="AB63" s="42" t="s">
        <v>379</v>
      </c>
      <c r="AC63" s="43" t="s">
        <v>334</v>
      </c>
    </row>
    <row r="64" spans="1:29" ht="22" customHeight="1" x14ac:dyDescent="0.2">
      <c r="B64" s="54"/>
      <c r="C64" s="53"/>
      <c r="F64" s="14" t="s">
        <v>198</v>
      </c>
      <c r="H64" s="4">
        <f>H51*$H$22</f>
        <v>0</v>
      </c>
      <c r="K64" s="4">
        <f>K51*$H$22</f>
        <v>0</v>
      </c>
      <c r="N64" s="4">
        <f>N51*$H$22</f>
        <v>0</v>
      </c>
      <c r="Q64" s="4">
        <f>Q51*$H$22</f>
        <v>0</v>
      </c>
      <c r="T64" s="4">
        <f>T51*$H$22</f>
        <v>0</v>
      </c>
      <c r="W64" s="4">
        <f>W51*$H$22</f>
        <v>0</v>
      </c>
      <c r="Z64" s="4">
        <f>Z51*$H$22</f>
        <v>0</v>
      </c>
      <c r="AA64" s="38"/>
      <c r="AB64" s="42"/>
      <c r="AC64" s="43"/>
    </row>
    <row r="65" spans="1:29" ht="22" customHeight="1" x14ac:dyDescent="0.2">
      <c r="B65" s="54"/>
      <c r="C65" s="53"/>
      <c r="F65" s="14" t="s">
        <v>199</v>
      </c>
      <c r="H65" s="4">
        <f>H52*$H$22</f>
        <v>0</v>
      </c>
      <c r="K65" s="4">
        <f>K52*$H$22</f>
        <v>0</v>
      </c>
      <c r="N65" s="4">
        <f>N52*$H$22</f>
        <v>0</v>
      </c>
      <c r="Q65" s="4">
        <f>Q52*$H$22</f>
        <v>0</v>
      </c>
      <c r="T65" s="4">
        <f>T52*$H$22</f>
        <v>0</v>
      </c>
      <c r="W65" s="4">
        <f>W52*$H$22</f>
        <v>0</v>
      </c>
      <c r="Z65" s="4">
        <f>Z52*$H$22</f>
        <v>0</v>
      </c>
      <c r="AA65" s="38"/>
      <c r="AB65" s="42"/>
      <c r="AC65" s="43"/>
    </row>
    <row r="66" spans="1:29" ht="22" customHeight="1" x14ac:dyDescent="0.2">
      <c r="B66" s="54"/>
      <c r="C66" s="53"/>
      <c r="F66" s="14" t="s">
        <v>200</v>
      </c>
      <c r="H66" s="4">
        <f>H53*$H$22</f>
        <v>0</v>
      </c>
      <c r="K66" s="4">
        <f>K53*$H$22</f>
        <v>0</v>
      </c>
      <c r="N66" s="4">
        <f>N53*$H$22</f>
        <v>0</v>
      </c>
      <c r="Q66" s="4">
        <f>Q53*$H$22</f>
        <v>0</v>
      </c>
      <c r="T66" s="4">
        <f>T53*$H$22</f>
        <v>0</v>
      </c>
      <c r="W66" s="4">
        <f>W53*$H$22</f>
        <v>0</v>
      </c>
      <c r="Z66" s="4">
        <f>Z53*$H$22</f>
        <v>0</v>
      </c>
      <c r="AA66" s="38"/>
      <c r="AB66" s="42"/>
      <c r="AC66" s="43"/>
    </row>
    <row r="67" spans="1:29" ht="22" customHeight="1" x14ac:dyDescent="0.2">
      <c r="A67" s="50" t="s">
        <v>405</v>
      </c>
      <c r="B67" s="38" t="s">
        <v>192</v>
      </c>
      <c r="C67" s="28" t="s">
        <v>174</v>
      </c>
      <c r="F67" s="14"/>
      <c r="H67" s="4">
        <f>SUM(H63:H66)</f>
        <v>0</v>
      </c>
      <c r="K67" s="4">
        <f>SUM(K63:K66)</f>
        <v>0</v>
      </c>
      <c r="N67" s="4">
        <f>SUM(N63:N66)</f>
        <v>0</v>
      </c>
      <c r="Q67" s="4">
        <f>SUM(Q63:Q66)</f>
        <v>0</v>
      </c>
      <c r="T67" s="4">
        <f>SUM(T63:T66)</f>
        <v>0</v>
      </c>
      <c r="W67" s="4">
        <f>SUM(W63:W66)</f>
        <v>0</v>
      </c>
      <c r="Z67" s="4">
        <f>SUM(Z63:Z66)</f>
        <v>0</v>
      </c>
      <c r="AA67" s="38" t="s">
        <v>283</v>
      </c>
      <c r="AB67" s="42" t="s">
        <v>391</v>
      </c>
      <c r="AC67" s="43" t="s">
        <v>335</v>
      </c>
    </row>
    <row r="68" spans="1:29" ht="22" customHeight="1" x14ac:dyDescent="0.2">
      <c r="F68" s="14"/>
      <c r="AB68" s="42"/>
      <c r="AC68" s="43"/>
    </row>
    <row r="69" spans="1:29" ht="22" customHeight="1" x14ac:dyDescent="0.2">
      <c r="A69" s="50" t="s">
        <v>405</v>
      </c>
      <c r="B69" s="54" t="s">
        <v>178</v>
      </c>
      <c r="C69" s="53" t="s">
        <v>174</v>
      </c>
      <c r="F69" s="14" t="s">
        <v>90</v>
      </c>
      <c r="H69" s="4">
        <f>AE6</f>
        <v>0</v>
      </c>
      <c r="K69" s="4">
        <f>AE7</f>
        <v>0.01</v>
      </c>
      <c r="N69" s="4">
        <f>AE8</f>
        <v>0.05</v>
      </c>
      <c r="Q69" s="4">
        <f>AE9</f>
        <v>0.12</v>
      </c>
      <c r="T69" s="4">
        <f>AE11</f>
        <v>0.2</v>
      </c>
      <c r="W69" s="4">
        <f>AE13</f>
        <v>0.36</v>
      </c>
      <c r="Z69" s="4">
        <f>AE15</f>
        <v>0.6</v>
      </c>
      <c r="AA69" s="38" t="s">
        <v>301</v>
      </c>
      <c r="AB69" s="42" t="s">
        <v>380</v>
      </c>
      <c r="AC69" s="43" t="s">
        <v>334</v>
      </c>
    </row>
    <row r="70" spans="1:29" ht="22" customHeight="1" x14ac:dyDescent="0.2">
      <c r="B70" s="54"/>
      <c r="C70" s="53"/>
      <c r="F70" s="14" t="s">
        <v>91</v>
      </c>
      <c r="H70" s="4">
        <v>0</v>
      </c>
      <c r="K70" s="4">
        <v>0</v>
      </c>
      <c r="N70" s="4">
        <f>AE7</f>
        <v>0.01</v>
      </c>
      <c r="Q70" s="4">
        <f>AE8</f>
        <v>0.05</v>
      </c>
      <c r="T70" s="4">
        <f>AE9</f>
        <v>0.12</v>
      </c>
      <c r="W70" s="4">
        <f>AE11</f>
        <v>0.2</v>
      </c>
      <c r="Z70" s="4">
        <f>AE13</f>
        <v>0.36</v>
      </c>
      <c r="AA70" s="38"/>
      <c r="AB70" s="42"/>
      <c r="AC70" s="43"/>
    </row>
    <row r="71" spans="1:29" ht="22" customHeight="1" x14ac:dyDescent="0.2">
      <c r="B71" s="54"/>
      <c r="C71" s="53"/>
      <c r="F71" s="14" t="s">
        <v>92</v>
      </c>
      <c r="H71" s="4">
        <v>0</v>
      </c>
      <c r="K71" s="4">
        <v>0</v>
      </c>
      <c r="N71" s="4">
        <v>0</v>
      </c>
      <c r="Q71" s="4">
        <f>AE7</f>
        <v>0.01</v>
      </c>
      <c r="T71" s="4">
        <f>AE8</f>
        <v>0.05</v>
      </c>
      <c r="W71" s="4">
        <f>AE9</f>
        <v>0.12</v>
      </c>
      <c r="Z71" s="4">
        <f>AE11</f>
        <v>0.2</v>
      </c>
      <c r="AA71" s="38"/>
      <c r="AB71" s="42"/>
      <c r="AC71" s="43"/>
    </row>
    <row r="72" spans="1:29" ht="22" customHeight="1" x14ac:dyDescent="0.2">
      <c r="B72" s="54"/>
      <c r="C72" s="53"/>
      <c r="F72" s="14" t="s">
        <v>93</v>
      </c>
      <c r="H72" s="4">
        <v>0</v>
      </c>
      <c r="K72" s="4">
        <v>0</v>
      </c>
      <c r="N72" s="4">
        <v>0</v>
      </c>
      <c r="Q72" s="4">
        <v>0</v>
      </c>
      <c r="T72" s="4">
        <f>AE7</f>
        <v>0.01</v>
      </c>
      <c r="W72" s="4">
        <f>AE8</f>
        <v>0.05</v>
      </c>
      <c r="Z72" s="4">
        <f>AE9</f>
        <v>0.12</v>
      </c>
      <c r="AA72" s="38"/>
      <c r="AB72" s="42"/>
      <c r="AC72" s="43"/>
    </row>
    <row r="73" spans="1:29" ht="22" customHeight="1" x14ac:dyDescent="0.2">
      <c r="A73" s="50" t="s">
        <v>405</v>
      </c>
      <c r="B73" s="38" t="s">
        <v>411</v>
      </c>
      <c r="C73" s="31" t="s">
        <v>162</v>
      </c>
      <c r="F73" s="14" t="s">
        <v>49</v>
      </c>
      <c r="AA73" s="38" t="s">
        <v>409</v>
      </c>
      <c r="AB73" s="42" t="s">
        <v>410</v>
      </c>
      <c r="AC73" s="43" t="s">
        <v>335</v>
      </c>
    </row>
    <row r="74" spans="1:29" ht="22" customHeight="1" x14ac:dyDescent="0.2">
      <c r="F74" s="14"/>
      <c r="AB74" s="42"/>
      <c r="AC74" s="43"/>
    </row>
    <row r="75" spans="1:29" ht="22" customHeight="1" x14ac:dyDescent="0.2">
      <c r="A75" s="50" t="s">
        <v>405</v>
      </c>
      <c r="B75" s="54" t="s">
        <v>230</v>
      </c>
      <c r="C75" s="53" t="s">
        <v>174</v>
      </c>
      <c r="F75" s="14" t="s">
        <v>109</v>
      </c>
      <c r="H75" s="4">
        <f>H45*H69</f>
        <v>0</v>
      </c>
      <c r="K75" s="4">
        <f>K45*K69</f>
        <v>0.85</v>
      </c>
      <c r="N75" s="4">
        <f>K75*(1- $G$31)*N45/K45+N45*N69</f>
        <v>5.0986655000000001</v>
      </c>
      <c r="Q75" s="4">
        <f>N75*(1- $G$31)*Q45/N45+Q45*Q69</f>
        <v>15.290660595165001</v>
      </c>
      <c r="T75" s="4">
        <f>Q75*(1- $G$31)*T45/Q45+T45*T69</f>
        <v>32.266654258030592</v>
      </c>
      <c r="W75" s="4">
        <f>T75*(1- $G$31)*W45/T45+W45*W69</f>
        <v>62.815995610845476</v>
      </c>
      <c r="Z75" s="4">
        <f>W75*(1- $G$31)*Z45/W45+Z45*Z69</f>
        <v>113.71737449773646</v>
      </c>
      <c r="AA75" s="38" t="s">
        <v>284</v>
      </c>
      <c r="AB75" s="42" t="s">
        <v>381</v>
      </c>
      <c r="AC75" s="43" t="s">
        <v>334</v>
      </c>
    </row>
    <row r="76" spans="1:29" ht="22" customHeight="1" x14ac:dyDescent="0.2">
      <c r="B76" s="54"/>
      <c r="C76" s="53"/>
      <c r="F76" s="14" t="s">
        <v>110</v>
      </c>
      <c r="K76" s="4">
        <f>K46*K70</f>
        <v>0</v>
      </c>
      <c r="N76" s="4">
        <f>K76*(1- $G$31)*N46/K46+N46*N70</f>
        <v>0.8</v>
      </c>
      <c r="Q76" s="4">
        <f>N76*(1- $G$31)*Q46/N46+Q46*Q70</f>
        <v>4.7987440000000001</v>
      </c>
      <c r="T76" s="4">
        <f>Q76*(1- $G$31)*T46/Q46+T46*T70</f>
        <v>14.39120997192</v>
      </c>
      <c r="W76" s="4">
        <f>T76*(1- $G$31)*W46/T46+W46*W70</f>
        <v>30.368615772264086</v>
      </c>
      <c r="Z76" s="4">
        <f>W76*(1- $G$31)*Z46/W46+Z46*Z70</f>
        <v>59.120937045501627</v>
      </c>
      <c r="AA76" s="38"/>
      <c r="AB76" s="42"/>
      <c r="AC76" s="43"/>
    </row>
    <row r="77" spans="1:29" ht="22" customHeight="1" x14ac:dyDescent="0.2">
      <c r="B77" s="54"/>
      <c r="C77" s="53"/>
      <c r="E77" s="55"/>
      <c r="F77" s="14" t="s">
        <v>111</v>
      </c>
      <c r="N77" s="4">
        <f>K77*(1- $G$31)+N47*N71</f>
        <v>0</v>
      </c>
      <c r="Q77" s="4">
        <f>N77*(1- $G$31)*Q47/N47+Q47*Q71</f>
        <v>0.92</v>
      </c>
      <c r="T77" s="4">
        <f>Q77*(1- $G$31)*T47/Q47+T47*T71</f>
        <v>5.5185556000000009</v>
      </c>
      <c r="W77" s="4">
        <f>T77*(1- $G$31)*W47/T47+W47*W71</f>
        <v>16.549891467708001</v>
      </c>
      <c r="Z77" s="4">
        <f>W77*(1- $G$31)*Z47/W47+Z47*Z71</f>
        <v>34.923908138103698</v>
      </c>
      <c r="AA77" s="38"/>
      <c r="AB77" s="42"/>
      <c r="AC77" s="43"/>
    </row>
    <row r="78" spans="1:29" ht="22" customHeight="1" x14ac:dyDescent="0.2">
      <c r="B78" s="54"/>
      <c r="C78" s="53"/>
      <c r="E78" s="55"/>
      <c r="F78" s="14" t="s">
        <v>112</v>
      </c>
      <c r="N78" s="4">
        <f>K78*(1- $G$31)+N48*N72</f>
        <v>0</v>
      </c>
      <c r="Q78" s="4">
        <f>N78*(1- $G$31)+Q48*Q72</f>
        <v>0</v>
      </c>
      <c r="T78" s="4">
        <f>Q78*(1- $G$31)*T48/Q48+T48*T72</f>
        <v>0.43</v>
      </c>
      <c r="W78" s="4">
        <f>T78*(1- $G$31)*W48/T48+W48*W72</f>
        <v>2.5793249</v>
      </c>
      <c r="Z78" s="4">
        <f>W78*(1- $G$31)*Z48/W48+Z48*Z72</f>
        <v>7.7352753599069999</v>
      </c>
      <c r="AA78" s="38"/>
      <c r="AB78" s="42"/>
      <c r="AC78" s="43"/>
    </row>
    <row r="79" spans="1:29" ht="22" customHeight="1" x14ac:dyDescent="0.2">
      <c r="E79" s="55"/>
      <c r="F79" s="14"/>
      <c r="AB79" s="42"/>
      <c r="AC79" s="43"/>
    </row>
    <row r="80" spans="1:29" ht="22" customHeight="1" x14ac:dyDescent="0.2">
      <c r="A80" s="50" t="s">
        <v>405</v>
      </c>
      <c r="B80" s="38" t="s">
        <v>228</v>
      </c>
      <c r="C80" s="28" t="s">
        <v>174</v>
      </c>
      <c r="F80" s="14" t="s">
        <v>127</v>
      </c>
      <c r="H80" s="4">
        <v>0</v>
      </c>
      <c r="K80" s="4">
        <f>INT(J$4-$AG$6 &gt; $E88)*MAX(H103-$H$23*H45-K50,0)</f>
        <v>0</v>
      </c>
      <c r="N80" s="4">
        <f>INT(M$4-$AG$6 &gt; $E88)*MAX(K103-$H$23*K45-N50,0)</f>
        <v>0</v>
      </c>
      <c r="Q80" s="4">
        <f>INT(P$4-$AG$6 &gt; $E88)*MAX(N103-$H$23*N45-Q50,0)</f>
        <v>0</v>
      </c>
      <c r="T80" s="4">
        <f>INT(S$4-$AG$6 &gt; $E88)*MAX(Q103-$H$23*Q45-T50,0)</f>
        <v>0</v>
      </c>
      <c r="W80" s="4">
        <f>INT(V$4-$AG$6 &gt; $E88)*MAX(T103-$H$23*T45-W50,0)</f>
        <v>0</v>
      </c>
      <c r="Z80" s="4">
        <f>INT(Y$4-$AG$6 &gt; $E88)*MAX(W103-$H$23*W45-Z50,0)</f>
        <v>0</v>
      </c>
      <c r="AA80" s="38" t="s">
        <v>346</v>
      </c>
      <c r="AB80" s="42" t="s">
        <v>382</v>
      </c>
      <c r="AC80" s="43" t="s">
        <v>334</v>
      </c>
    </row>
    <row r="81" spans="1:32" ht="22" customHeight="1" x14ac:dyDescent="0.2">
      <c r="B81" s="38"/>
      <c r="C81" s="28"/>
      <c r="F81" s="14" t="s">
        <v>128</v>
      </c>
      <c r="H81" s="4">
        <v>0</v>
      </c>
      <c r="K81" s="4">
        <f>INT(J$4-$AG$6 &gt; $E89)*MAX(H104-$H$23*H46-K51,0)</f>
        <v>0</v>
      </c>
      <c r="N81" s="4">
        <f>INT(M$4-$AG$6 &gt; $E89)*MAX(K104-$H$23*K46-N51,0)</f>
        <v>0</v>
      </c>
      <c r="Q81" s="4">
        <f>INT(P$4-$AG$6 &gt; $E89)*MAX(N104-$H$23*N46-Q51,0)</f>
        <v>0</v>
      </c>
      <c r="T81" s="4">
        <f>INT(S$4-$AG$6 &gt; $E89)*MAX(Q104-$H$23*Q46-T51,0)</f>
        <v>0</v>
      </c>
      <c r="W81" s="4">
        <f>INT(V$4-$AG$6 &gt; $E89)*MAX(T104-$H$23*T46-W51,0)</f>
        <v>0</v>
      </c>
      <c r="Z81" s="4">
        <f>INT(Y$4-$AG$6 &gt; $E89)*MAX(W104-$H$23*W46-Z51,0)</f>
        <v>0</v>
      </c>
      <c r="AA81" s="38"/>
      <c r="AB81" s="42"/>
      <c r="AC81" s="43"/>
    </row>
    <row r="82" spans="1:32" ht="22" customHeight="1" x14ac:dyDescent="0.2">
      <c r="B82" s="38"/>
      <c r="C82" s="28"/>
      <c r="E82" s="22" t="s">
        <v>152</v>
      </c>
      <c r="F82" s="14" t="s">
        <v>129</v>
      </c>
      <c r="H82" s="4">
        <v>0</v>
      </c>
      <c r="K82" s="4">
        <f>INT(J$4-$AG$6 &gt; $E90)*MAX(H105-$H$23*H47-K52,0)</f>
        <v>0</v>
      </c>
      <c r="N82" s="4">
        <f>INT(M$4-$AG$6 &gt; $E90)*MAX(K105-$H$23*K47-N52,0)</f>
        <v>0</v>
      </c>
      <c r="Q82" s="4">
        <f>INT(P$4-$AG$6 &gt; $E90)*MAX(N105-$H$23*N47-Q52,0)</f>
        <v>0</v>
      </c>
      <c r="T82" s="4">
        <f>INT(S$4-$AG$6 &gt; $E90)*MAX(Q105-$H$23*Q47-T52,0)</f>
        <v>0</v>
      </c>
      <c r="W82" s="4">
        <f>INT(V$4-$AG$6 &gt; $E90)*MAX(T105-$H$23*T47-W52,0)</f>
        <v>0</v>
      </c>
      <c r="Z82" s="4">
        <f>INT(Y$4-$AG$6 &gt; $E90)*MAX(W105-$H$23*W47-Z52,0)</f>
        <v>0</v>
      </c>
      <c r="AA82" s="38"/>
      <c r="AB82" s="42"/>
      <c r="AC82" s="43"/>
    </row>
    <row r="83" spans="1:32" ht="22" customHeight="1" x14ac:dyDescent="0.2">
      <c r="B83" s="38"/>
      <c r="C83" s="28"/>
      <c r="F83" s="14" t="s">
        <v>130</v>
      </c>
      <c r="H83" s="4">
        <v>0</v>
      </c>
      <c r="K83" s="4">
        <f>INT(J$4-$AG$6 &gt; $E91)*MAX(H106-$H$23*H48-K53,0)</f>
        <v>0</v>
      </c>
      <c r="N83" s="4">
        <f>INT(M$4-$AG$6 &gt; $E91)*MAX(K106-$H$23*K48-N53,0)</f>
        <v>0</v>
      </c>
      <c r="Q83" s="4">
        <f>INT(P$4-$AG$6 &gt; $E91)*MAX(N106-$H$23*N48-Q53,0)</f>
        <v>0</v>
      </c>
      <c r="T83" s="4">
        <f>INT(S$4-$AG$6 &gt; $E91)*MAX(Q106-$H$23*Q48-T53,0)</f>
        <v>0</v>
      </c>
      <c r="W83" s="4">
        <f>INT(V$4-$AG$6 &gt; $E91)*MAX(T106-$H$23*T48-W53,0)</f>
        <v>0</v>
      </c>
      <c r="Z83" s="4">
        <f>INT(Y$4-$AG$6 &gt; $E91)*MAX(W106-$H$23*W48-Z53,0)</f>
        <v>0</v>
      </c>
      <c r="AA83" s="38"/>
      <c r="AB83" s="42"/>
      <c r="AC83" s="43"/>
    </row>
    <row r="84" spans="1:32" ht="22" customHeight="1" x14ac:dyDescent="0.2">
      <c r="A84" s="50" t="s">
        <v>405</v>
      </c>
      <c r="B84" s="38" t="s">
        <v>229</v>
      </c>
      <c r="C84" s="28" t="s">
        <v>174</v>
      </c>
      <c r="F84" s="14" t="s">
        <v>147</v>
      </c>
      <c r="H84" s="4">
        <v>0</v>
      </c>
      <c r="K84" s="4">
        <f>SUM(K80:K83)</f>
        <v>0</v>
      </c>
      <c r="N84" s="4">
        <f>SUM(N80:N83)</f>
        <v>0</v>
      </c>
      <c r="Q84" s="4">
        <f>SUM(Q80:Q83)</f>
        <v>0</v>
      </c>
      <c r="T84" s="4">
        <f>SUM(T80:T83)</f>
        <v>0</v>
      </c>
      <c r="W84" s="4">
        <f>SUM(W80:W83)</f>
        <v>0</v>
      </c>
      <c r="Z84" s="4">
        <f>SUM(Z80:Z83)</f>
        <v>0</v>
      </c>
      <c r="AA84" s="45" t="s">
        <v>419</v>
      </c>
      <c r="AB84" s="42" t="s">
        <v>392</v>
      </c>
      <c r="AC84" s="43" t="s">
        <v>335</v>
      </c>
      <c r="AF84" t="s">
        <v>106</v>
      </c>
    </row>
    <row r="85" spans="1:32" ht="22" customHeight="1" x14ac:dyDescent="0.2">
      <c r="F85" s="14"/>
      <c r="AB85" s="42"/>
      <c r="AC85" s="43"/>
      <c r="AD85" t="s">
        <v>85</v>
      </c>
      <c r="AF85" t="s">
        <v>107</v>
      </c>
    </row>
    <row r="86" spans="1:32" ht="22" customHeight="1" x14ac:dyDescent="0.2">
      <c r="A86" s="50" t="s">
        <v>405</v>
      </c>
      <c r="B86" s="37" t="s">
        <v>418</v>
      </c>
      <c r="C86" s="53" t="s">
        <v>174</v>
      </c>
      <c r="F86" s="14" t="s">
        <v>88</v>
      </c>
      <c r="G86" s="4">
        <v>0</v>
      </c>
      <c r="J86" s="4">
        <v>0</v>
      </c>
      <c r="M86" s="4">
        <v>0</v>
      </c>
      <c r="P86" s="4">
        <v>0</v>
      </c>
      <c r="S86" s="4">
        <v>0</v>
      </c>
      <c r="V86" s="4">
        <v>0</v>
      </c>
      <c r="Y86" s="4">
        <v>0</v>
      </c>
      <c r="AA86" s="38" t="s">
        <v>298</v>
      </c>
      <c r="AB86" s="42" t="s">
        <v>383</v>
      </c>
      <c r="AC86" s="43" t="s">
        <v>334</v>
      </c>
      <c r="AD86" t="s">
        <v>86</v>
      </c>
    </row>
    <row r="87" spans="1:32" ht="22" customHeight="1" x14ac:dyDescent="0.2">
      <c r="A87" s="50" t="s">
        <v>405</v>
      </c>
      <c r="B87" s="37" t="s">
        <v>417</v>
      </c>
      <c r="C87" s="53"/>
      <c r="F87" s="14" t="s">
        <v>148</v>
      </c>
      <c r="G87" s="4">
        <f>SUM(H$80:H80)</f>
        <v>0</v>
      </c>
      <c r="H87" s="4">
        <f>IF(G87&gt;=G$142+G$139, IF(G86&lt;G$142+G$139, G$142+G$139-G86, 0),H80)</f>
        <v>0</v>
      </c>
      <c r="J87" s="4">
        <f>SUM(K$80:K80)</f>
        <v>0</v>
      </c>
      <c r="K87" s="4">
        <f>IF(J87&gt;=J$142+J$139, IF(J86&lt;J$142+J$139, J$142+J$139-J86, 0),K80)</f>
        <v>0</v>
      </c>
      <c r="M87" s="4">
        <f>SUM(N$80:N80)</f>
        <v>0</v>
      </c>
      <c r="N87" s="4">
        <f>IF(M87&gt;=M$142+M$139, IF(M86&lt;M$142+M$139, M$142+M$139-M86, 0),N80)</f>
        <v>0</v>
      </c>
      <c r="P87" s="4">
        <f>SUM(Q$80:Q80)</f>
        <v>0</v>
      </c>
      <c r="Q87" s="4">
        <f>IF(P87&gt;=P$142+P$139, IF(P86&lt;P$142+P$139, P$142+P$139-P86, 0),Q80)</f>
        <v>0</v>
      </c>
      <c r="S87" s="4">
        <f>SUM(T$80:T80)</f>
        <v>0</v>
      </c>
      <c r="T87" s="4">
        <f>IF(S87&gt;=S$142+S$139, IF(S86&lt;S$142+S$139, S$142+S$139-S86, 0),T80)</f>
        <v>0</v>
      </c>
      <c r="V87" s="4">
        <f>SUM(W$80:W80)</f>
        <v>0</v>
      </c>
      <c r="W87" s="4">
        <f>IF(V87&gt;=V$142+V$139, IF(V86&lt;V$142+V$139, V$142+V$139-V86, 0),W80)</f>
        <v>0</v>
      </c>
      <c r="Y87" s="4">
        <f>SUM(Z$80:Z80)</f>
        <v>0</v>
      </c>
      <c r="Z87" s="4">
        <f>IF(Y87&gt;=Y$142+Y$139, IF(Y86&lt;Y$142+Y$139, Y$142+Y$139-Y86, 0),Z80)</f>
        <v>0</v>
      </c>
      <c r="AA87" s="38" t="s">
        <v>424</v>
      </c>
      <c r="AB87" s="42" t="s">
        <v>384</v>
      </c>
      <c r="AC87" s="43" t="s">
        <v>334</v>
      </c>
    </row>
    <row r="88" spans="1:32" ht="22" customHeight="1" x14ac:dyDescent="0.2">
      <c r="B88" s="41"/>
      <c r="C88" s="53"/>
      <c r="E88" s="22">
        <v>0</v>
      </c>
      <c r="F88" s="14" t="s">
        <v>149</v>
      </c>
      <c r="G88" s="4">
        <f>SUM(H$80:H81)</f>
        <v>0</v>
      </c>
      <c r="H88" s="4">
        <f>IF(G88&gt;=G$142+G$139, IF(G87&lt;G$142+G$139, G$142+G$139-G87, 0),H81)</f>
        <v>0</v>
      </c>
      <c r="J88" s="4">
        <f>SUM(K$80:K81)</f>
        <v>0</v>
      </c>
      <c r="K88" s="4">
        <f>IF(J88&gt;=J$142+J$139, IF(J87&lt;J$142+J$139, J$142+J$139-J87, 0),K81)</f>
        <v>0</v>
      </c>
      <c r="M88" s="4">
        <f>SUM(N$80:N81)</f>
        <v>0</v>
      </c>
      <c r="N88" s="4">
        <f>IF(M88&gt;=M$142+M$139, IF(M87&lt;M$142+M$139, M$142+M$139-M87, 0),N81)</f>
        <v>0</v>
      </c>
      <c r="P88" s="4">
        <f>SUM(Q$80:Q81)</f>
        <v>0</v>
      </c>
      <c r="Q88" s="4">
        <f>IF(P88&gt;=P$142+P$139, IF(P87&lt;P$142+P$139, P$142+P$139-P87, 0),Q81)</f>
        <v>0</v>
      </c>
      <c r="S88" s="4">
        <f>SUM(T$80:T81)</f>
        <v>0</v>
      </c>
      <c r="T88" s="4">
        <f>IF(S88&gt;=S$142+S$139, IF(S87&lt;S$142+S$139, S$142+S$139-S87, 0),T81)</f>
        <v>0</v>
      </c>
      <c r="V88" s="4">
        <f>SUM(W$80:W81)</f>
        <v>0</v>
      </c>
      <c r="W88" s="4">
        <f>IF(V88&gt;=V$142+V$139, IF(V87&lt;V$142+V$139, V$142+V$139-V87, 0),W81)</f>
        <v>0</v>
      </c>
      <c r="Y88" s="4">
        <f>SUM(Z$80:Z81)</f>
        <v>0</v>
      </c>
      <c r="Z88" s="4">
        <f>IF(Y88&gt;=Y$142+Y$139, IF(Y87&lt;Y$142+Y$139, Y$142+Y$139-Y87, 0),Z81)</f>
        <v>0</v>
      </c>
      <c r="AA88" s="37"/>
      <c r="AB88" s="42"/>
      <c r="AC88" s="43"/>
    </row>
    <row r="89" spans="1:32" ht="22" customHeight="1" x14ac:dyDescent="0.2">
      <c r="B89" s="41"/>
      <c r="C89" s="53"/>
      <c r="E89" s="22">
        <v>1</v>
      </c>
      <c r="F89" s="14" t="s">
        <v>150</v>
      </c>
      <c r="G89" s="4">
        <f>SUM(H$80:H82)</f>
        <v>0</v>
      </c>
      <c r="H89" s="4">
        <f>IF(G89&gt;=G$142+G$139, IF(G88&lt;G$142+G$139, G$142+G$139-G88, 0),H82)</f>
        <v>0</v>
      </c>
      <c r="J89" s="4">
        <f>SUM(K$80:K82)</f>
        <v>0</v>
      </c>
      <c r="K89" s="4">
        <f>IF(J89&gt;=J$142+J$139, IF(J88&lt;J$142+J$139, J$142+J$139-J88, 0),K82)</f>
        <v>0</v>
      </c>
      <c r="M89" s="4">
        <f>SUM(N$80:N82)</f>
        <v>0</v>
      </c>
      <c r="N89" s="4">
        <f>IF(M89&gt;=M$142+M$139, IF(M88&lt;M$142+M$139, M$142+M$139-M88, 0),N82)</f>
        <v>0</v>
      </c>
      <c r="P89" s="4">
        <f>SUM(Q$80:Q82)</f>
        <v>0</v>
      </c>
      <c r="Q89" s="4">
        <f>IF(P89&gt;=P$142+P$139, IF(P88&lt;P$142+P$139, P$142+P$139-P88, 0),Q82)</f>
        <v>0</v>
      </c>
      <c r="S89" s="4">
        <f>SUM(T$80:T82)</f>
        <v>0</v>
      </c>
      <c r="T89" s="4">
        <f>IF(S89&gt;=S$142+S$139, IF(S88&lt;S$142+S$139, S$142+S$139-S88, 0),T82)</f>
        <v>0</v>
      </c>
      <c r="V89" s="4">
        <f>SUM(W$80:W82)</f>
        <v>0</v>
      </c>
      <c r="W89" s="4">
        <f>IF(V89&gt;=V$142+V$139, IF(V88&lt;V$142+V$139, V$142+V$139-V88, 0),W82)</f>
        <v>0</v>
      </c>
      <c r="Y89" s="4">
        <f>SUM(Z$80:Z82)</f>
        <v>0</v>
      </c>
      <c r="Z89" s="4">
        <f>IF(Y89&gt;=Y$142+Y$139, IF(Y88&lt;Y$142+Y$139, Y$142+Y$139-Y88, 0),Z82)</f>
        <v>0</v>
      </c>
      <c r="AA89" s="37"/>
      <c r="AB89" s="42"/>
      <c r="AC89" s="43"/>
    </row>
    <row r="90" spans="1:32" ht="22" customHeight="1" x14ac:dyDescent="0.2">
      <c r="B90" s="41"/>
      <c r="C90" s="53"/>
      <c r="E90" s="22">
        <v>2</v>
      </c>
      <c r="F90" s="14" t="s">
        <v>151</v>
      </c>
      <c r="G90" s="4">
        <f>SUM(H$80:H83)</f>
        <v>0</v>
      </c>
      <c r="H90" s="4">
        <f>IF(G90&gt;=G$142+G$139, IF(G89&lt;G$142+G$139, G$142+G$139-G89, 0),H83)</f>
        <v>0</v>
      </c>
      <c r="J90" s="4">
        <f>SUM(K$80:K83)</f>
        <v>0</v>
      </c>
      <c r="K90" s="4">
        <f>IF(J90&gt;=J$142+J$139, IF(J89&lt;J$142+J$139, J$142+J$139-J89, 0),K83)</f>
        <v>0</v>
      </c>
      <c r="M90" s="4">
        <f>SUM(N$80:N83)</f>
        <v>0</v>
      </c>
      <c r="N90" s="4">
        <f>IF(M90&gt;=M$142+M$139, IF(M89&lt;M$142+M$139, M$142+M$139-M89, 0),N83)</f>
        <v>0</v>
      </c>
      <c r="P90" s="4">
        <f>SUM(Q$80:Q83)</f>
        <v>0</v>
      </c>
      <c r="Q90" s="4">
        <f>IF(P90&gt;=P$142+P$139, IF(P89&lt;P$142+P$139, P$142+P$139-P89, 0),Q83)</f>
        <v>0</v>
      </c>
      <c r="S90" s="4">
        <f>SUM(T$80:T83)</f>
        <v>0</v>
      </c>
      <c r="T90" s="4">
        <f>IF(S90&gt;=S$142+S$139, IF(S89&lt;S$142+S$139, S$142+S$139-S89, 0),T83)</f>
        <v>0</v>
      </c>
      <c r="V90" s="4">
        <f>SUM(W$80:W83)</f>
        <v>0</v>
      </c>
      <c r="W90" s="4">
        <f>IF(V90&gt;=V$142+V$139, IF(V89&lt;V$142+V$139, V$142+V$139-V89, 0),W83)</f>
        <v>0</v>
      </c>
      <c r="Y90" s="4">
        <f>SUM(Z$80:Z83)</f>
        <v>0</v>
      </c>
      <c r="Z90" s="4">
        <f>IF(Y90&gt;=Y$142+Y$139, IF(Y89&lt;Y$142+Y$139, Y$142+Y$139-Y89, 0),Z83)</f>
        <v>0</v>
      </c>
      <c r="AA90" s="37"/>
      <c r="AB90" s="42"/>
      <c r="AC90" s="43"/>
    </row>
    <row r="91" spans="1:32" ht="22" customHeight="1" x14ac:dyDescent="0.2">
      <c r="F91" s="14"/>
      <c r="J91" s="4" t="s">
        <v>136</v>
      </c>
      <c r="M91" s="4" t="s">
        <v>136</v>
      </c>
      <c r="P91" s="4" t="s">
        <v>136</v>
      </c>
      <c r="S91" s="4" t="s">
        <v>136</v>
      </c>
      <c r="V91" s="4" t="s">
        <v>136</v>
      </c>
      <c r="Y91" s="4" t="s">
        <v>136</v>
      </c>
      <c r="AB91" s="42"/>
      <c r="AC91" s="43"/>
    </row>
    <row r="92" spans="1:32" ht="22" customHeight="1" x14ac:dyDescent="0.2">
      <c r="A92" s="50" t="s">
        <v>405</v>
      </c>
      <c r="B92" s="37" t="s">
        <v>416</v>
      </c>
      <c r="C92" s="53" t="s">
        <v>174</v>
      </c>
      <c r="F92" s="14" t="s">
        <v>131</v>
      </c>
      <c r="H92" s="4">
        <f>H69</f>
        <v>0</v>
      </c>
      <c r="J92" s="4">
        <f>IF(H103=0,1,MIN(MAX((H103/H75-$G$18)/($G$20-$G$18), 0), 1))</f>
        <v>1</v>
      </c>
      <c r="K92" s="4">
        <f>K69*J92</f>
        <v>0.01</v>
      </c>
      <c r="M92" s="4">
        <f>IF(K103=0,1,MIN(MAX((K103/K75-$G$18)/($G$20-$G$18), 0), 1))</f>
        <v>1</v>
      </c>
      <c r="N92" s="4">
        <f>N69*M92</f>
        <v>0.05</v>
      </c>
      <c r="P92" s="4">
        <f>IF(N103=0,1,MIN(MAX((N103/N75-$G$18)/($G$20-$G$18), 0), 1))</f>
        <v>1</v>
      </c>
      <c r="Q92" s="4">
        <f>Q69*P92</f>
        <v>0.12</v>
      </c>
      <c r="S92" s="4">
        <f>IF(Q103=0,1,MIN(MAX((Q103/Q75-$G$18)/($G$20-$G$18), 0), 1))</f>
        <v>1</v>
      </c>
      <c r="T92" s="4">
        <f>T69*S92</f>
        <v>0.2</v>
      </c>
      <c r="V92" s="4">
        <f>IF(T103=0,1,MIN(MAX((T103/T75-$G$18)/($G$20-$G$18), 0), 1))</f>
        <v>1</v>
      </c>
      <c r="W92" s="4">
        <f>W69*V92</f>
        <v>0.36</v>
      </c>
      <c r="Y92" s="4">
        <f>IF(W103=0,1,MIN(MAX((W103/W75-$G$18)/($G$20-$G$18), 0), 1))</f>
        <v>1</v>
      </c>
      <c r="Z92" s="4">
        <f>Z69*Y92</f>
        <v>0.6</v>
      </c>
      <c r="AA92" s="37" t="s">
        <v>302</v>
      </c>
      <c r="AB92" s="42" t="s">
        <v>385</v>
      </c>
      <c r="AC92" s="43" t="s">
        <v>334</v>
      </c>
    </row>
    <row r="93" spans="1:32" ht="22" customHeight="1" x14ac:dyDescent="0.2">
      <c r="A93" s="50" t="s">
        <v>405</v>
      </c>
      <c r="B93" s="37" t="s">
        <v>415</v>
      </c>
      <c r="C93" s="53"/>
      <c r="F93" s="14" t="s">
        <v>132</v>
      </c>
      <c r="H93" s="4">
        <f>H70</f>
        <v>0</v>
      </c>
      <c r="J93" s="4">
        <f>IF(H104=0,1,MIN(MAX((H104/H76-$G$18)/($G$20-$G$18), 0), 1))</f>
        <v>1</v>
      </c>
      <c r="K93" s="4">
        <f>K70</f>
        <v>0</v>
      </c>
      <c r="M93" s="4">
        <f>IF(K104=0,1,MIN(MAX((K104/K76-$G$18)/($G$20-$G$18), 0), 1))</f>
        <v>1</v>
      </c>
      <c r="N93" s="4">
        <f>N70</f>
        <v>0.01</v>
      </c>
      <c r="P93" s="4">
        <f>IF(N104=0,1,MIN(MAX((N104/N76-$G$18)/($G$20-$G$18), 0), 1))</f>
        <v>1</v>
      </c>
      <c r="Q93" s="4">
        <f>Q70</f>
        <v>0.05</v>
      </c>
      <c r="S93" s="4">
        <f>IF(Q104=0,1,MIN(MAX((Q104/Q76-$G$18)/($G$20-$G$18), 0), 1))</f>
        <v>1</v>
      </c>
      <c r="T93" s="4">
        <f>T70</f>
        <v>0.12</v>
      </c>
      <c r="V93" s="4">
        <f>IF(T104=0,1,MIN(MAX((T104/T76-$G$18)/($G$20-$G$18), 0), 1))</f>
        <v>1</v>
      </c>
      <c r="W93" s="4">
        <f>W70</f>
        <v>0.2</v>
      </c>
      <c r="Y93" s="4">
        <f>IF(W104=0,1,MIN(MAX((W104/W76-$G$18)/($G$20-$G$18), 0), 1))</f>
        <v>1</v>
      </c>
      <c r="Z93" s="4">
        <f>Z70</f>
        <v>0.36</v>
      </c>
      <c r="AA93" s="37" t="s">
        <v>299</v>
      </c>
      <c r="AB93" s="42" t="s">
        <v>414</v>
      </c>
      <c r="AC93" s="43" t="s">
        <v>344</v>
      </c>
    </row>
    <row r="94" spans="1:32" ht="22" customHeight="1" x14ac:dyDescent="0.2">
      <c r="B94" s="37"/>
      <c r="C94" s="53"/>
      <c r="F94" s="14" t="s">
        <v>133</v>
      </c>
      <c r="H94" s="4">
        <f>H71</f>
        <v>0</v>
      </c>
      <c r="J94" s="4">
        <f>IF(H105=0,1,MIN(MAX((H105/H77-$G$18)/($G$20-$G$18), 0), 1))</f>
        <v>1</v>
      </c>
      <c r="K94" s="4">
        <f>K71</f>
        <v>0</v>
      </c>
      <c r="M94" s="4">
        <f>IF(K105=0,1,MIN(MAX((K105/K77-$G$18)/($G$20-$G$18), 0), 1))</f>
        <v>1</v>
      </c>
      <c r="N94" s="4">
        <f>N71</f>
        <v>0</v>
      </c>
      <c r="P94" s="4">
        <f>IF(N105=0,1,MIN(MAX((N105/N77-$G$18)/($G$20-$G$18), 0), 1))</f>
        <v>1</v>
      </c>
      <c r="Q94" s="4">
        <f>Q71</f>
        <v>0.01</v>
      </c>
      <c r="S94" s="4">
        <f>IF(Q105=0,1,MIN(MAX((Q105/Q77-$G$18)/($G$20-$G$18), 0), 1))</f>
        <v>1</v>
      </c>
      <c r="T94" s="4">
        <f>T71</f>
        <v>0.05</v>
      </c>
      <c r="V94" s="4">
        <f>IF(T105=0,1,MIN(MAX((T105/T77-$G$18)/($G$20-$G$18), 0), 1))</f>
        <v>1</v>
      </c>
      <c r="W94" s="4">
        <f>W71</f>
        <v>0.12</v>
      </c>
      <c r="Y94" s="4">
        <f>IF(W105=0,1,MIN(MAX((W105/W77-$G$18)/($G$20-$G$18), 0), 1))</f>
        <v>1</v>
      </c>
      <c r="Z94" s="4">
        <f>Z71</f>
        <v>0.2</v>
      </c>
      <c r="AA94" s="37"/>
      <c r="AB94" s="42"/>
      <c r="AC94" s="43"/>
    </row>
    <row r="95" spans="1:32" ht="22" customHeight="1" x14ac:dyDescent="0.2">
      <c r="B95" s="41"/>
      <c r="C95" s="53"/>
      <c r="F95" s="14" t="s">
        <v>134</v>
      </c>
      <c r="H95" s="4">
        <f>H72</f>
        <v>0</v>
      </c>
      <c r="J95" s="4">
        <f>IF(H106=0,1,MIN(MAX((H106/H78-$G$18)/($G$20-$G$18), 0), 1))</f>
        <v>1</v>
      </c>
      <c r="K95" s="4">
        <f>K72</f>
        <v>0</v>
      </c>
      <c r="M95" s="4">
        <f>IF(K106=0,1,MIN(MAX((K106/K78-$G$18)/($G$20-$G$18), 0), 1))</f>
        <v>1</v>
      </c>
      <c r="N95" s="4">
        <f>N72</f>
        <v>0</v>
      </c>
      <c r="P95" s="4">
        <f>IF(N106=0,1,MIN(MAX((N106/N78-$G$18)/($G$20-$G$18), 0), 1))</f>
        <v>1</v>
      </c>
      <c r="Q95" s="4">
        <f>Q72</f>
        <v>0</v>
      </c>
      <c r="S95" s="4">
        <f>IF(Q106=0,1,MIN(MAX((Q106/Q78-$G$18)/($G$20-$G$18), 0), 1))</f>
        <v>1</v>
      </c>
      <c r="T95" s="4">
        <f>T72</f>
        <v>0.01</v>
      </c>
      <c r="V95" s="4">
        <f>IF(T106=0,1,MIN(MAX((T106/T78-$G$18)/($G$20-$G$18), 0), 1))</f>
        <v>1</v>
      </c>
      <c r="W95" s="4">
        <f>W72</f>
        <v>0.05</v>
      </c>
      <c r="Y95" s="4">
        <f>IF(W106=0,1,MIN(MAX((W106/W78-$G$18)/($G$20-$G$18), 0), 1))</f>
        <v>1</v>
      </c>
      <c r="Z95" s="4">
        <f>Z72</f>
        <v>0.12</v>
      </c>
      <c r="AA95" s="37"/>
      <c r="AB95" s="42"/>
      <c r="AC95" s="43"/>
    </row>
    <row r="96" spans="1:32" ht="22" customHeight="1" x14ac:dyDescent="0.2">
      <c r="F96" s="14"/>
      <c r="AB96" s="42"/>
      <c r="AC96" s="43"/>
    </row>
    <row r="97" spans="1:29" ht="22" customHeight="1" x14ac:dyDescent="0.2">
      <c r="A97" s="50" t="s">
        <v>405</v>
      </c>
      <c r="B97" s="52" t="s">
        <v>479</v>
      </c>
      <c r="C97" s="53" t="s">
        <v>174</v>
      </c>
      <c r="F97" s="14" t="s">
        <v>202</v>
      </c>
      <c r="H97" s="4">
        <f>H64*H36</f>
        <v>0</v>
      </c>
      <c r="K97" s="4">
        <f>(H103-K87-K50)*$G$31</f>
        <v>0</v>
      </c>
      <c r="N97" s="4">
        <f>(K103-N87-N50)*$G$31</f>
        <v>1.3345E-3</v>
      </c>
      <c r="Q97" s="4">
        <f>(N103-Q87-Q50)*$G$31</f>
        <v>8.0049048349999999E-3</v>
      </c>
      <c r="T97" s="4">
        <f>(Q103-T87-T50)*$G$31</f>
        <v>2.4006337134409049E-2</v>
      </c>
      <c r="W97" s="4">
        <f>(T103-W87-W50)*$G$31</f>
        <v>5.0658647185108027E-2</v>
      </c>
      <c r="Z97" s="4">
        <f>(W103-Z87-Z50)*$G$31</f>
        <v>9.8621113109027395E-2</v>
      </c>
      <c r="AA97" s="37" t="s">
        <v>437</v>
      </c>
      <c r="AB97" s="42" t="s">
        <v>485</v>
      </c>
      <c r="AC97" s="43" t="s">
        <v>304</v>
      </c>
    </row>
    <row r="98" spans="1:29" ht="22" customHeight="1" x14ac:dyDescent="0.2">
      <c r="B98" s="52"/>
      <c r="C98" s="53"/>
      <c r="F98" s="14" t="s">
        <v>203</v>
      </c>
      <c r="H98" s="4">
        <f>H65*H40</f>
        <v>0</v>
      </c>
      <c r="K98" s="4">
        <f>(H104-K88-K51)*$G$31</f>
        <v>0</v>
      </c>
      <c r="N98" s="4">
        <f>(K104-N88-N51)*$G$31</f>
        <v>0</v>
      </c>
      <c r="Q98" s="4">
        <f>(N104-Q88-Q51)*$G$31</f>
        <v>1.2560000000000002E-3</v>
      </c>
      <c r="T98" s="4">
        <f>(Q104-T88-T51)*$G$31</f>
        <v>7.5340280800000005E-3</v>
      </c>
      <c r="W98" s="4">
        <f>(T104-W88-W51)*$G$31</f>
        <v>2.2594199655914398E-2</v>
      </c>
      <c r="Z98" s="4">
        <f>(W104-Z88-Z51)*$G$31</f>
        <v>4.7678726762454618E-2</v>
      </c>
      <c r="AA98" s="37"/>
      <c r="AB98" s="42"/>
      <c r="AC98" s="43"/>
    </row>
    <row r="99" spans="1:29" ht="22" customHeight="1" x14ac:dyDescent="0.2">
      <c r="B99" s="52"/>
      <c r="C99" s="53"/>
      <c r="F99" s="14" t="s">
        <v>204</v>
      </c>
      <c r="H99" s="4">
        <f>H66*H42</f>
        <v>0</v>
      </c>
      <c r="K99" s="4">
        <f>(H105-K89-K52)*$G$31</f>
        <v>0</v>
      </c>
      <c r="N99" s="4">
        <f>(K105-N89-N52)*$G$31</f>
        <v>0</v>
      </c>
      <c r="Q99" s="4">
        <f>(N105-Q89-Q52)*$G$31</f>
        <v>0</v>
      </c>
      <c r="T99" s="4">
        <f>(Q105-T89-T52)*$G$31</f>
        <v>1.4444E-3</v>
      </c>
      <c r="W99" s="4">
        <f>(T105-W89-W52)*$G$31</f>
        <v>8.664132292000002E-3</v>
      </c>
      <c r="Z99" s="4">
        <f>(W105-Z89-Z52)*$G$31</f>
        <v>2.5983329604301563E-2</v>
      </c>
      <c r="AA99" s="37"/>
      <c r="AB99" s="42"/>
      <c r="AC99" s="43"/>
    </row>
    <row r="100" spans="1:29" ht="22" customHeight="1" x14ac:dyDescent="0.2">
      <c r="B100" s="52"/>
      <c r="C100" s="53"/>
      <c r="F100" s="14" t="s">
        <v>205</v>
      </c>
      <c r="H100" s="4">
        <f>H67*H43</f>
        <v>0</v>
      </c>
      <c r="K100" s="4">
        <f>(H106-K90-K53)*$G$31</f>
        <v>0</v>
      </c>
      <c r="N100" s="4">
        <f>(K106-N90-N53)*$G$31</f>
        <v>0</v>
      </c>
      <c r="Q100" s="4">
        <f>(N106-Q90-Q53)*$G$31</f>
        <v>0</v>
      </c>
      <c r="T100" s="4">
        <f>(Q106-T90-T53)*$G$31</f>
        <v>0</v>
      </c>
      <c r="W100" s="4">
        <f>(T106-W90-W53)*$G$31</f>
        <v>6.7509999999999998E-4</v>
      </c>
      <c r="Z100" s="4">
        <f>(W106-Z90-Z53)*$G$31</f>
        <v>4.049540093E-3</v>
      </c>
      <c r="AA100" s="37"/>
      <c r="AB100" s="42"/>
      <c r="AC100" s="43"/>
    </row>
    <row r="101" spans="1:29" ht="22" customHeight="1" x14ac:dyDescent="0.2">
      <c r="A101" s="50" t="s">
        <v>405</v>
      </c>
      <c r="B101" s="37" t="s">
        <v>480</v>
      </c>
      <c r="C101" s="28"/>
      <c r="F101" s="14"/>
      <c r="H101" s="4">
        <f>SUM(H97:H100)</f>
        <v>0</v>
      </c>
      <c r="K101" s="4">
        <f>SUM(K97:K100)</f>
        <v>0</v>
      </c>
      <c r="N101" s="4">
        <f>SUM(N97:N100)</f>
        <v>1.3345E-3</v>
      </c>
      <c r="Q101" s="4">
        <f>SUM(Q97:Q100)</f>
        <v>9.2609048350000001E-3</v>
      </c>
      <c r="T101" s="4">
        <f>SUM(T97:T100)</f>
        <v>3.2984765214409045E-2</v>
      </c>
      <c r="W101" s="4">
        <f>SUM(W97:W100)</f>
        <v>8.2592079133022425E-2</v>
      </c>
      <c r="Z101" s="4">
        <f>SUM(Z97:Z100)</f>
        <v>0.17633270956878355</v>
      </c>
      <c r="AA101" s="37" t="s">
        <v>436</v>
      </c>
      <c r="AB101" s="42" t="s">
        <v>486</v>
      </c>
      <c r="AC101" s="43" t="s">
        <v>435</v>
      </c>
    </row>
    <row r="102" spans="1:29" ht="22" customHeight="1" x14ac:dyDescent="0.2">
      <c r="F102" s="14"/>
      <c r="AB102" s="42"/>
      <c r="AC102" s="43"/>
    </row>
    <row r="103" spans="1:29" ht="22" customHeight="1" x14ac:dyDescent="0.2">
      <c r="A103" s="50" t="s">
        <v>405</v>
      </c>
      <c r="B103" s="52" t="s">
        <v>206</v>
      </c>
      <c r="C103" s="53" t="s">
        <v>174</v>
      </c>
      <c r="F103" s="14" t="s">
        <v>70</v>
      </c>
      <c r="H103" s="4">
        <f>H69*H45</f>
        <v>0</v>
      </c>
      <c r="K103" s="4">
        <f>H103 - K87 - K97 - K50 + K45*K92</f>
        <v>0.85</v>
      </c>
      <c r="N103" s="4">
        <f>K103 - N87 - N97 - N50 + N45*N92</f>
        <v>5.0986655000000001</v>
      </c>
      <c r="Q103" s="4">
        <f>N103 - Q87 - Q97 - Q50 + Q45*Q92</f>
        <v>15.290660595164999</v>
      </c>
      <c r="T103" s="4">
        <f>Q103 - T87 - T97 - T50 + T45*T92</f>
        <v>32.266654258030592</v>
      </c>
      <c r="W103" s="4">
        <f>T103 - W87 - W97 - W50 + W45*W92</f>
        <v>62.815995610845476</v>
      </c>
      <c r="Z103" s="4">
        <f>W103 - Z87 - Z97 - Z50 + Z45*Z92</f>
        <v>113.71737449773644</v>
      </c>
      <c r="AA103" s="38" t="s">
        <v>300</v>
      </c>
      <c r="AB103" s="42" t="s">
        <v>386</v>
      </c>
      <c r="AC103" s="43" t="s">
        <v>334</v>
      </c>
    </row>
    <row r="104" spans="1:29" ht="22" customHeight="1" x14ac:dyDescent="0.2">
      <c r="B104" s="52"/>
      <c r="C104" s="53"/>
      <c r="F104" s="14" t="s">
        <v>71</v>
      </c>
      <c r="H104" s="4">
        <f>H70*H46</f>
        <v>0</v>
      </c>
      <c r="K104" s="4">
        <f>H104 - K88 - K98 - K51 + K46*K93</f>
        <v>0</v>
      </c>
      <c r="N104" s="4">
        <f>K104 - N88 - N98 - N51 + N46*N93</f>
        <v>0.8</v>
      </c>
      <c r="Q104" s="4">
        <f>N104 - Q88 - Q98 - Q51 + Q46*Q93</f>
        <v>4.7987440000000001</v>
      </c>
      <c r="T104" s="4">
        <f>Q104 - T88 - T98 - T51 + T46*T93</f>
        <v>14.391209971919999</v>
      </c>
      <c r="W104" s="4">
        <f>T104 - W88 - W98 - W51 + W46*W93</f>
        <v>30.368615772264086</v>
      </c>
      <c r="Z104" s="4">
        <f>W104 - Z88 - Z98 - Z51 + Z46*Z93</f>
        <v>59.120937045501627</v>
      </c>
      <c r="AA104" s="37"/>
      <c r="AB104" s="42"/>
      <c r="AC104" s="43"/>
    </row>
    <row r="105" spans="1:29" ht="22" customHeight="1" x14ac:dyDescent="0.2">
      <c r="B105" s="52"/>
      <c r="C105" s="53"/>
      <c r="F105" s="14" t="s">
        <v>72</v>
      </c>
      <c r="H105" s="4">
        <f>H71*H47</f>
        <v>0</v>
      </c>
      <c r="K105" s="4">
        <f>H105 - K89 - K99 - K52 + K47*K94</f>
        <v>0</v>
      </c>
      <c r="N105" s="4">
        <f>K105 - N89 - N99 - N52 + N47*N94</f>
        <v>0</v>
      </c>
      <c r="Q105" s="4">
        <f>N105 - Q89 - Q99 - Q52 + Q47*Q94</f>
        <v>0.92</v>
      </c>
      <c r="T105" s="4">
        <f>Q105 - T89 - T99 - T52 + T47*T94</f>
        <v>5.5185556000000009</v>
      </c>
      <c r="W105" s="4">
        <f>T105 - W89 - W99 - W52 + W47*W94</f>
        <v>16.549891467708001</v>
      </c>
      <c r="Z105" s="4">
        <f>W105 - Z89 - Z99 - Z52 + Z47*Z94</f>
        <v>34.923908138103698</v>
      </c>
      <c r="AA105" s="37"/>
      <c r="AB105" s="42"/>
      <c r="AC105" s="43"/>
    </row>
    <row r="106" spans="1:29" ht="22" customHeight="1" x14ac:dyDescent="0.2">
      <c r="B106" s="52"/>
      <c r="C106" s="53"/>
      <c r="F106" s="14" t="s">
        <v>81</v>
      </c>
      <c r="H106" s="4">
        <f>H72*H48</f>
        <v>0</v>
      </c>
      <c r="K106" s="4">
        <f>H106 - K90 - K100 - K53 + K48*K95</f>
        <v>0</v>
      </c>
      <c r="N106" s="4">
        <f>K106 - N90 - N100 - N53 + N48*N95</f>
        <v>0</v>
      </c>
      <c r="Q106" s="4">
        <f>N106 - Q90 - Q100 - Q53 + Q48*Q95</f>
        <v>0</v>
      </c>
      <c r="T106" s="4">
        <f>Q106 - T90 - T100 - T53 + T48*T95</f>
        <v>0.43</v>
      </c>
      <c r="W106" s="4">
        <f>T106 - W90 - W100 - W53 + W48*W95</f>
        <v>2.5793249</v>
      </c>
      <c r="Z106" s="4">
        <f>W106 - Z90 - Z100 - Z53 + Z48*Z95</f>
        <v>7.7352753599069999</v>
      </c>
      <c r="AA106" s="37"/>
      <c r="AB106" s="42"/>
      <c r="AC106" s="43"/>
    </row>
    <row r="107" spans="1:29" ht="22" customHeight="1" x14ac:dyDescent="0.2">
      <c r="E107" s="26"/>
      <c r="F107" s="14"/>
      <c r="AB107" s="42"/>
      <c r="AC107" s="43"/>
    </row>
    <row r="108" spans="1:29" ht="22" customHeight="1" x14ac:dyDescent="0.2">
      <c r="A108" s="50" t="s">
        <v>405</v>
      </c>
      <c r="B108" s="52" t="s">
        <v>207</v>
      </c>
      <c r="C108" s="53" t="s">
        <v>174</v>
      </c>
      <c r="E108" s="26"/>
      <c r="F108" s="14" t="s">
        <v>208</v>
      </c>
      <c r="H108" s="4">
        <f>H103*$H$22</f>
        <v>0</v>
      </c>
      <c r="K108" s="4">
        <f>K103*$H$22</f>
        <v>0.21249999999999999</v>
      </c>
      <c r="N108" s="4">
        <f>N103*$H$22</f>
        <v>1.274666375</v>
      </c>
      <c r="Q108" s="4">
        <f>Q103*$H$22</f>
        <v>3.8226651487912497</v>
      </c>
      <c r="T108" s="4">
        <f>T103*$H$22</f>
        <v>8.0666635645076479</v>
      </c>
      <c r="W108" s="4">
        <f>W103*$H$22</f>
        <v>15.703998902711369</v>
      </c>
      <c r="Z108" s="4">
        <f>Z103*$H$22</f>
        <v>28.429343624434111</v>
      </c>
      <c r="AA108" s="38" t="s">
        <v>303</v>
      </c>
      <c r="AB108" s="42" t="s">
        <v>387</v>
      </c>
      <c r="AC108" s="43" t="s">
        <v>334</v>
      </c>
    </row>
    <row r="109" spans="1:29" ht="22" customHeight="1" x14ac:dyDescent="0.2">
      <c r="B109" s="52"/>
      <c r="C109" s="53"/>
      <c r="E109" s="26"/>
      <c r="F109" s="14" t="s">
        <v>209</v>
      </c>
      <c r="H109" s="4">
        <f t="shared" ref="H109:H111" si="9">H104*$H$22</f>
        <v>0</v>
      </c>
      <c r="K109" s="4">
        <f t="shared" ref="K109:K111" si="10">K104*$H$22</f>
        <v>0</v>
      </c>
      <c r="N109" s="4">
        <f t="shared" ref="N109:N111" si="11">N104*$H$22</f>
        <v>0.2</v>
      </c>
      <c r="Q109" s="4">
        <f t="shared" ref="Q109:Q111" si="12">Q104*$H$22</f>
        <v>1.199686</v>
      </c>
      <c r="T109" s="4">
        <f t="shared" ref="T109:T111" si="13">T104*$H$22</f>
        <v>3.5978024929799997</v>
      </c>
      <c r="W109" s="4">
        <f t="shared" ref="W109:W111" si="14">W104*$H$22</f>
        <v>7.5921539430660214</v>
      </c>
      <c r="Z109" s="4">
        <f t="shared" ref="Z109:Z111" si="15">Z104*$H$22</f>
        <v>14.780234261375407</v>
      </c>
      <c r="AA109" s="37"/>
      <c r="AB109" s="42"/>
      <c r="AC109" s="43"/>
    </row>
    <row r="110" spans="1:29" ht="22" customHeight="1" x14ac:dyDescent="0.2">
      <c r="B110" s="52"/>
      <c r="C110" s="53"/>
      <c r="E110" s="26"/>
      <c r="F110" s="14" t="s">
        <v>210</v>
      </c>
      <c r="H110" s="4">
        <f>H105*$H$22</f>
        <v>0</v>
      </c>
      <c r="K110" s="4">
        <f>K105*$H$22</f>
        <v>0</v>
      </c>
      <c r="N110" s="4">
        <f>N105*$H$22</f>
        <v>0</v>
      </c>
      <c r="Q110" s="4">
        <f>Q105*$H$22</f>
        <v>0.23</v>
      </c>
      <c r="T110" s="4">
        <f>T105*$H$22</f>
        <v>1.3796389000000002</v>
      </c>
      <c r="W110" s="4">
        <f>W105*$H$22</f>
        <v>4.1374728669270002</v>
      </c>
      <c r="Z110" s="4">
        <f>Z105*$H$22</f>
        <v>8.7309770345259246</v>
      </c>
      <c r="AA110" s="37"/>
      <c r="AB110" s="42"/>
      <c r="AC110" s="43"/>
    </row>
    <row r="111" spans="1:29" ht="22" customHeight="1" x14ac:dyDescent="0.2">
      <c r="B111" s="52"/>
      <c r="C111" s="53"/>
      <c r="E111" s="26"/>
      <c r="F111" s="14" t="s">
        <v>211</v>
      </c>
      <c r="H111" s="4">
        <f t="shared" si="9"/>
        <v>0</v>
      </c>
      <c r="K111" s="4">
        <f t="shared" si="10"/>
        <v>0</v>
      </c>
      <c r="N111" s="4">
        <f t="shared" si="11"/>
        <v>0</v>
      </c>
      <c r="Q111" s="4">
        <f t="shared" si="12"/>
        <v>0</v>
      </c>
      <c r="T111" s="4">
        <f t="shared" si="13"/>
        <v>0.1075</v>
      </c>
      <c r="W111" s="4">
        <f t="shared" si="14"/>
        <v>0.64483122500000001</v>
      </c>
      <c r="Z111" s="4">
        <f t="shared" si="15"/>
        <v>1.93381883997675</v>
      </c>
      <c r="AA111" s="37"/>
      <c r="AB111" s="42"/>
      <c r="AC111" s="43"/>
    </row>
    <row r="112" spans="1:29" ht="22" customHeight="1" x14ac:dyDescent="0.2">
      <c r="B112" s="29"/>
      <c r="C112" s="35"/>
      <c r="E112" s="26"/>
      <c r="F112" s="14"/>
      <c r="AA112" s="29"/>
      <c r="AB112" s="42"/>
      <c r="AC112" s="43"/>
    </row>
    <row r="113" spans="1:29" ht="22" customHeight="1" x14ac:dyDescent="0.2">
      <c r="B113" s="29"/>
      <c r="C113" s="35"/>
      <c r="E113" s="26"/>
      <c r="F113" s="14"/>
      <c r="AA113" s="29"/>
      <c r="AB113" s="42"/>
      <c r="AC113" s="43"/>
    </row>
    <row r="114" spans="1:29" ht="22" customHeight="1" x14ac:dyDescent="0.2">
      <c r="E114" s="26"/>
      <c r="F114" s="15" t="s">
        <v>140</v>
      </c>
      <c r="G114" s="8" t="s">
        <v>124</v>
      </c>
      <c r="H114" s="8"/>
      <c r="AB114" s="42"/>
      <c r="AC114" s="43"/>
    </row>
    <row r="115" spans="1:29" ht="22" customHeight="1" x14ac:dyDescent="0.2">
      <c r="B115" s="38" t="s">
        <v>231</v>
      </c>
      <c r="C115" s="34" t="s">
        <v>180</v>
      </c>
      <c r="E115" s="26"/>
      <c r="F115" s="14" t="s">
        <v>90</v>
      </c>
      <c r="G115" s="4">
        <f>$G$30</f>
        <v>0.3</v>
      </c>
      <c r="H115" s="4">
        <f>$H$30</f>
        <v>0.92</v>
      </c>
      <c r="J115" s="4">
        <f>$G$30</f>
        <v>0.3</v>
      </c>
      <c r="K115" s="4">
        <f>$H$30</f>
        <v>0.92</v>
      </c>
      <c r="M115" s="4">
        <f>$G$30</f>
        <v>0.3</v>
      </c>
      <c r="N115" s="4">
        <f>$H$30</f>
        <v>0.92</v>
      </c>
      <c r="P115" s="4">
        <f>$G$30</f>
        <v>0.3</v>
      </c>
      <c r="Q115" s="4">
        <f>$H$30</f>
        <v>0.92</v>
      </c>
      <c r="S115" s="4">
        <f>$G$30</f>
        <v>0.3</v>
      </c>
      <c r="T115" s="4">
        <f>$H$30</f>
        <v>0.92</v>
      </c>
      <c r="V115" s="4">
        <f>$G$30</f>
        <v>0.3</v>
      </c>
      <c r="W115" s="4">
        <f>$H$30</f>
        <v>0.92</v>
      </c>
      <c r="Y115" s="4">
        <f>$G$30</f>
        <v>0.3</v>
      </c>
      <c r="Z115" s="4">
        <f>$H$30</f>
        <v>0.92</v>
      </c>
      <c r="AA115" s="38"/>
      <c r="AB115" s="42"/>
      <c r="AC115" s="43"/>
    </row>
    <row r="116" spans="1:29" ht="22" customHeight="1" x14ac:dyDescent="0.2">
      <c r="A116" s="50" t="s">
        <v>405</v>
      </c>
      <c r="B116" s="38" t="s">
        <v>232</v>
      </c>
      <c r="C116" s="28" t="s">
        <v>174</v>
      </c>
      <c r="F116" s="14" t="s">
        <v>141</v>
      </c>
      <c r="G116" s="4">
        <f>G7*$G$21</f>
        <v>7500000</v>
      </c>
      <c r="H116" s="4">
        <f>H7*$H$21</f>
        <v>25000000</v>
      </c>
      <c r="J116" s="4">
        <f>J7*$G$21</f>
        <v>7492500</v>
      </c>
      <c r="K116" s="4">
        <f>K7*$H$21</f>
        <v>24990000</v>
      </c>
      <c r="M116" s="4">
        <f>M7*$G$21</f>
        <v>7483200</v>
      </c>
      <c r="N116" s="4">
        <f>N7*$H$21</f>
        <v>24979000</v>
      </c>
      <c r="P116" s="4">
        <f>P7*$G$21</f>
        <v>7474500</v>
      </c>
      <c r="Q116" s="4">
        <f>Q7*$H$21</f>
        <v>24969600</v>
      </c>
      <c r="S116" s="4">
        <f>S7*$G$21</f>
        <v>7464000</v>
      </c>
      <c r="T116" s="4">
        <f>T7*$H$21</f>
        <v>24950400</v>
      </c>
      <c r="V116" s="4">
        <f>V7*$G$21</f>
        <v>7449000</v>
      </c>
      <c r="W116" s="4">
        <f>W7*$H$21</f>
        <v>24946500</v>
      </c>
      <c r="Y116" s="4">
        <f>Y7*$G$21</f>
        <v>7434300</v>
      </c>
      <c r="Z116" s="4">
        <f>Z7*$H$21</f>
        <v>24936000</v>
      </c>
      <c r="AA116" s="38" t="s">
        <v>445</v>
      </c>
      <c r="AB116" s="42" t="s">
        <v>357</v>
      </c>
      <c r="AC116" s="43" t="s">
        <v>308</v>
      </c>
    </row>
    <row r="117" spans="1:29" ht="22" customHeight="1" x14ac:dyDescent="0.2">
      <c r="A117" s="50" t="s">
        <v>405</v>
      </c>
      <c r="B117" s="38" t="s">
        <v>181</v>
      </c>
      <c r="C117" s="28" t="s">
        <v>174</v>
      </c>
      <c r="F117" s="14" t="s">
        <v>164</v>
      </c>
      <c r="G117" s="4">
        <v>1</v>
      </c>
      <c r="H117" s="4">
        <v>1</v>
      </c>
      <c r="J117" s="4">
        <f>IF(G119=0,0,MIN(MAX((G119/G116-$G$18)/($G$20-$G$18), 0), 1))</f>
        <v>1</v>
      </c>
      <c r="K117" s="4">
        <f>IF(H119=0,0,MIN(MAX((H119/H116-$H$18)/($G$20-$H$18), 0), 1))</f>
        <v>1</v>
      </c>
      <c r="M117" s="4">
        <f>IF(J119=0,0,MIN(MAX((J119/J116-$G$18)/($G$20-$G$18), 0), 1))</f>
        <v>1</v>
      </c>
      <c r="N117" s="4">
        <f>IF(K119=0,0,MIN(MAX((K119/K116-$H$18)/($G$20-$H$18), 0), 1))</f>
        <v>1</v>
      </c>
      <c r="P117" s="4">
        <f>IF(M119=0,0,MIN(MAX((M119/M116-$G$18)/($G$20-$G$18), 0), 1))</f>
        <v>1</v>
      </c>
      <c r="Q117" s="4">
        <f>IF(N119=0,0,MIN(MAX((N119/N116-$H$18)/($G$20-$H$18), 0), 1))</f>
        <v>1</v>
      </c>
      <c r="S117" s="4">
        <f>IF(P119=0,0,MIN(MAX((P119/P116-$G$18)/($G$20-$G$18), 0), 1))</f>
        <v>0.73336066455463933</v>
      </c>
      <c r="T117" s="4">
        <f>IF(Q119=0,0,MIN(MAX((Q119/Q116-$H$18)/($G$20-$H$18), 0), 1))</f>
        <v>0.9885332246430506</v>
      </c>
      <c r="V117" s="4">
        <f>IF(S119=0,0,MIN(MAX((S119/S116-$G$18)/($G$20-$G$18), 0), 1))</f>
        <v>0.67329070689539428</v>
      </c>
      <c r="W117" s="4">
        <f>IF(T119=0,0,MIN(MAX((T119/T116-$H$18)/($G$20-$H$18), 0), 1))</f>
        <v>0.87402044744057539</v>
      </c>
      <c r="Y117" s="4">
        <f>IF(V119=0,0,MIN(MAX((V119/V116-$G$18)/($G$20-$G$18), 0), 1))</f>
        <v>0.66000793236953592</v>
      </c>
      <c r="Z117" s="4">
        <f>IF(W119=0,0,MIN(MAX((W119/W116-$H$18)/($G$20-$H$18), 0), 1))</f>
        <v>0.8507753625870188</v>
      </c>
      <c r="AA117" s="38" t="s">
        <v>426</v>
      </c>
      <c r="AB117" s="42" t="s">
        <v>358</v>
      </c>
      <c r="AC117" s="43" t="s">
        <v>344</v>
      </c>
    </row>
    <row r="118" spans="1:29" ht="22" customHeight="1" x14ac:dyDescent="0.2">
      <c r="A118" s="50" t="s">
        <v>405</v>
      </c>
      <c r="B118" s="38" t="s">
        <v>182</v>
      </c>
      <c r="C118" s="33" t="s">
        <v>163</v>
      </c>
      <c r="F118" s="14" t="s">
        <v>131</v>
      </c>
      <c r="G118" s="4">
        <f>G115</f>
        <v>0.3</v>
      </c>
      <c r="H118" s="4">
        <f>H115</f>
        <v>0.92</v>
      </c>
      <c r="J118" s="4">
        <f xml:space="preserve"> J115*J117</f>
        <v>0.3</v>
      </c>
      <c r="K118" s="4">
        <f>K115*K117</f>
        <v>0.92</v>
      </c>
      <c r="M118" s="4">
        <f xml:space="preserve"> M115*M117</f>
        <v>0.3</v>
      </c>
      <c r="N118" s="4">
        <f>N115*N117</f>
        <v>0.92</v>
      </c>
      <c r="P118" s="4">
        <f xml:space="preserve"> P115*P117</f>
        <v>0.3</v>
      </c>
      <c r="Q118" s="4">
        <f>Q115*Q117</f>
        <v>0.92</v>
      </c>
      <c r="S118" s="4">
        <f xml:space="preserve"> S115*S117</f>
        <v>0.22000819936639179</v>
      </c>
      <c r="T118" s="4">
        <f>T115*T117</f>
        <v>0.90945056667160662</v>
      </c>
      <c r="V118" s="4">
        <f xml:space="preserve"> V115*V117</f>
        <v>0.20198721206861828</v>
      </c>
      <c r="W118" s="4">
        <f>W115*W117</f>
        <v>0.80409881164532937</v>
      </c>
      <c r="Y118" s="4">
        <f xml:space="preserve"> Y115*Y117</f>
        <v>0.19800237971086077</v>
      </c>
      <c r="Z118" s="4">
        <f>Z115*Z117</f>
        <v>0.78271333358005735</v>
      </c>
      <c r="AA118" s="38" t="s">
        <v>444</v>
      </c>
      <c r="AB118" s="42" t="s">
        <v>359</v>
      </c>
      <c r="AC118" s="43" t="s">
        <v>331</v>
      </c>
    </row>
    <row r="119" spans="1:29" ht="22" customHeight="1" x14ac:dyDescent="0.2">
      <c r="A119" s="50" t="s">
        <v>405</v>
      </c>
      <c r="B119" s="38" t="s">
        <v>233</v>
      </c>
      <c r="C119" s="33" t="s">
        <v>163</v>
      </c>
      <c r="F119" s="14" t="s">
        <v>172</v>
      </c>
      <c r="G119" s="4">
        <f>G7*G21</f>
        <v>7500000</v>
      </c>
      <c r="H119" s="4">
        <f>H7*H21</f>
        <v>25000000</v>
      </c>
      <c r="J119" s="4">
        <f>G119 - G143 - G128 - G154+J118*J7</f>
        <v>6970837.1270690467</v>
      </c>
      <c r="K119" s="4">
        <f>H119 - H143 - H128 - (H154 - H101)+ K118*K7</f>
        <v>23734770.357408836</v>
      </c>
      <c r="M119" s="4">
        <f>J119 - J143 - J128 - J154+M118*M7</f>
        <v>5656325.8924981588</v>
      </c>
      <c r="N119" s="4">
        <f>K119 - K143 - K128 - (K154 - K101)+ N118*N7</f>
        <v>20211794.954224974</v>
      </c>
      <c r="P119" s="4">
        <f>M119 - M143 - M128 - M154+P118*P7</f>
        <v>4331446.5158287054</v>
      </c>
      <c r="Q119" s="4">
        <f>N119 - N143 - N128 - (N154 - N101)+ Q118*Q7</f>
        <v>16646028.885010449</v>
      </c>
      <c r="S119" s="4">
        <f>P119 - P143 - P128 - P154+S118*S7</f>
        <v>4173177.3943192377</v>
      </c>
      <c r="T119" s="4">
        <f>Q119 - Q143 - Q128 - (Q154 - Q101)+ T118*T7</f>
        <v>15798969.922507066</v>
      </c>
      <c r="V119" s="4">
        <f>S119 - S143 - S128 - S154+V118*V7</f>
        <v>4131207.1273511713</v>
      </c>
      <c r="W119" s="4">
        <f>T119 - T143 - T128 - (T154 - T101)+ W118*W7</f>
        <v>15627179.577278391</v>
      </c>
      <c r="Y119" s="4">
        <f>V119 - V143 - V128 - V154+Y118*Y7</f>
        <v>4112953.2709584278</v>
      </c>
      <c r="Z119" s="4">
        <f>W119 - W143 - W128 - (W154 - W101)+ Z118*Z7</f>
        <v>15569496.768312966</v>
      </c>
      <c r="AA119" s="38" t="s">
        <v>446</v>
      </c>
      <c r="AB119" s="42" t="s">
        <v>360</v>
      </c>
      <c r="AC119" s="43" t="s">
        <v>308</v>
      </c>
    </row>
    <row r="120" spans="1:29" ht="22" customHeight="1" x14ac:dyDescent="0.2">
      <c r="A120" s="50" t="s">
        <v>405</v>
      </c>
      <c r="B120" s="38" t="s">
        <v>236</v>
      </c>
      <c r="C120" s="33" t="s">
        <v>163</v>
      </c>
      <c r="F120" s="14" t="s">
        <v>142</v>
      </c>
      <c r="G120" s="4">
        <f>IF(G7=0,0,G119/G7)</f>
        <v>150</v>
      </c>
      <c r="H120" s="4">
        <f>IF(H7=0,0,H119/H7)</f>
        <v>100</v>
      </c>
      <c r="J120" s="4">
        <f>IF(J7=0,0,J119/J7)</f>
        <v>139.55629884022116</v>
      </c>
      <c r="K120" s="4">
        <f>IF(K7=0,0,K119/K7)</f>
        <v>94.977072258538755</v>
      </c>
      <c r="M120" s="4">
        <f>IF(M7=0,0,M119/M7)</f>
        <v>113.38049014789446</v>
      </c>
      <c r="N120" s="4">
        <f>IF(N7=0,0,N119/N7)</f>
        <v>80.91514854167491</v>
      </c>
      <c r="P120" s="4">
        <f>IF(P7=0,0,P119/P7)</f>
        <v>86.924473526564427</v>
      </c>
      <c r="Q120" s="4">
        <f>IF(Q7=0,0,Q119/Q7)</f>
        <v>66.665180399407475</v>
      </c>
      <c r="S120" s="4">
        <f>IF(S7=0,0,S119/S7)</f>
        <v>83.866105191303006</v>
      </c>
      <c r="T120" s="4">
        <f>IF(T7=0,0,T119/T7)</f>
        <v>63.321509565005236</v>
      </c>
      <c r="V120" s="4">
        <f>IF(V7=0,0,V119/V7)</f>
        <v>83.189833414240255</v>
      </c>
      <c r="W120" s="4">
        <f>IF(W7=0,0,W119/W7)</f>
        <v>62.642773845142166</v>
      </c>
      <c r="Y120" s="4">
        <f>IF(Y7=0,0,Y119/Y7)</f>
        <v>82.986022980477543</v>
      </c>
      <c r="Z120" s="4">
        <f>IF(Z7=0,0,Z119/Z7)</f>
        <v>62.4378279127084</v>
      </c>
      <c r="AA120" s="38" t="s">
        <v>442</v>
      </c>
      <c r="AB120" s="42" t="s">
        <v>361</v>
      </c>
      <c r="AC120" s="43" t="s">
        <v>331</v>
      </c>
    </row>
    <row r="121" spans="1:29" ht="22" customHeight="1" x14ac:dyDescent="0.2">
      <c r="A121" s="50" t="s">
        <v>405</v>
      </c>
      <c r="B121" s="38" t="s">
        <v>271</v>
      </c>
      <c r="C121" s="28" t="s">
        <v>174</v>
      </c>
      <c r="F121" s="10" t="s">
        <v>75</v>
      </c>
      <c r="G121" s="4">
        <f>MAX(G120-$G23,0)</f>
        <v>100.4134425</v>
      </c>
      <c r="H121" s="4">
        <f>MAX(H120-$H23,0)</f>
        <v>62.199106999999998</v>
      </c>
      <c r="J121" s="4">
        <f>MAX(J120-$G23,0)</f>
        <v>89.969741340221162</v>
      </c>
      <c r="K121" s="4">
        <f>MAX(K120-$H23,0)</f>
        <v>57.176179258538752</v>
      </c>
      <c r="M121" s="4">
        <f>MAX(M120-$G23,0)</f>
        <v>63.793932647894465</v>
      </c>
      <c r="N121" s="4">
        <f>MAX(N120-$H23,0)</f>
        <v>43.114255541674908</v>
      </c>
      <c r="P121" s="4">
        <f>MAX(P120-$G23,0)</f>
        <v>37.337916026564429</v>
      </c>
      <c r="Q121" s="4">
        <f>MAX(Q120-$H23,0)</f>
        <v>28.864287399407473</v>
      </c>
      <c r="S121" s="4">
        <f>MAX(S120-$G23,0)</f>
        <v>34.279547691303009</v>
      </c>
      <c r="T121" s="4">
        <f>MAX(T120-$H23,0)</f>
        <v>25.520616565005234</v>
      </c>
      <c r="V121" s="4">
        <f>MAX(V120-$G23,0)</f>
        <v>33.603275914240257</v>
      </c>
      <c r="W121" s="4">
        <f>MAX(W120-$H23,0)</f>
        <v>24.841880845142164</v>
      </c>
      <c r="Y121" s="4">
        <f>MAX(Y120-$G23,0)</f>
        <v>33.399465480477545</v>
      </c>
      <c r="Z121" s="4">
        <f>MAX(Z120-$H23,0)</f>
        <v>24.636934912708398</v>
      </c>
      <c r="AA121" s="38" t="s">
        <v>443</v>
      </c>
      <c r="AB121" s="46" t="s">
        <v>362</v>
      </c>
      <c r="AC121" s="43" t="s">
        <v>331</v>
      </c>
    </row>
    <row r="122" spans="1:29" ht="22" customHeight="1" x14ac:dyDescent="0.2">
      <c r="F122" s="13"/>
      <c r="AB122" s="42"/>
      <c r="AC122" s="43"/>
    </row>
    <row r="123" spans="1:29" ht="22" customHeight="1" x14ac:dyDescent="0.2">
      <c r="F123" s="11" t="s">
        <v>58</v>
      </c>
      <c r="G123" s="12"/>
      <c r="H123" s="12"/>
      <c r="J123" s="12"/>
      <c r="K123" s="12"/>
      <c r="M123" s="12"/>
      <c r="N123" s="12"/>
      <c r="P123" s="12"/>
      <c r="Q123" s="12"/>
      <c r="S123" s="12"/>
      <c r="T123" s="12"/>
      <c r="V123" s="12"/>
      <c r="W123" s="12"/>
      <c r="Y123" s="12"/>
      <c r="Z123" s="12"/>
      <c r="AB123" s="42"/>
      <c r="AC123" s="43"/>
    </row>
    <row r="124" spans="1:29" ht="22" customHeight="1" x14ac:dyDescent="0.2">
      <c r="A124" s="50" t="s">
        <v>405</v>
      </c>
      <c r="B124" s="38" t="s">
        <v>238</v>
      </c>
      <c r="C124" s="34" t="s">
        <v>180</v>
      </c>
      <c r="F124" s="10" t="s">
        <v>215</v>
      </c>
      <c r="G124" s="4">
        <f>G120*G7</f>
        <v>7500000</v>
      </c>
      <c r="H124" s="4">
        <f>H120*H7</f>
        <v>25000000</v>
      </c>
      <c r="J124" s="4">
        <f>J120*J7</f>
        <v>6970837.1270690467</v>
      </c>
      <c r="K124" s="4">
        <f>K120*K7</f>
        <v>23734770.357408836</v>
      </c>
      <c r="M124" s="4">
        <f>M120*M7</f>
        <v>5656325.8924981588</v>
      </c>
      <c r="N124" s="4">
        <f>N120*N7</f>
        <v>20211794.954224974</v>
      </c>
      <c r="P124" s="4">
        <f>P120*P7</f>
        <v>4331446.5158287054</v>
      </c>
      <c r="Q124" s="4">
        <f>Q120*Q7</f>
        <v>16646028.885010449</v>
      </c>
      <c r="S124" s="4">
        <f>S120*S7</f>
        <v>4173177.3943192377</v>
      </c>
      <c r="T124" s="4">
        <f>T120*T7</f>
        <v>15798969.922507066</v>
      </c>
      <c r="V124" s="4">
        <f>V120*V7</f>
        <v>4131207.1273511709</v>
      </c>
      <c r="W124" s="4">
        <f>W120*W7</f>
        <v>15627179.577278391</v>
      </c>
      <c r="Y124" s="4">
        <f>Y120*Y7</f>
        <v>4112953.2709584278</v>
      </c>
      <c r="Z124" s="4">
        <f>Z120*Z7</f>
        <v>15569496.768312966</v>
      </c>
      <c r="AA124" s="38"/>
      <c r="AB124" s="42"/>
      <c r="AC124" s="43"/>
    </row>
    <row r="125" spans="1:29" ht="22" customHeight="1" x14ac:dyDescent="0.2">
      <c r="A125" s="50" t="s">
        <v>405</v>
      </c>
      <c r="B125" s="38" t="s">
        <v>237</v>
      </c>
      <c r="C125" s="33" t="s">
        <v>163</v>
      </c>
      <c r="F125" s="10" t="s">
        <v>214</v>
      </c>
      <c r="H125" s="4">
        <f>SUM(H103:H106)</f>
        <v>0</v>
      </c>
      <c r="K125" s="4">
        <f>SUM(K103:K106)</f>
        <v>0.85</v>
      </c>
      <c r="N125" s="4">
        <f>SUM(N103:N106)</f>
        <v>5.8986654999999999</v>
      </c>
      <c r="Q125" s="4">
        <f>SUM(Q103:Q106)</f>
        <v>21.009404595165002</v>
      </c>
      <c r="T125" s="4">
        <f>SUM(T103:T106)</f>
        <v>52.606419829950589</v>
      </c>
      <c r="W125" s="4">
        <f>SUM(W103:W106)</f>
        <v>112.31382775081757</v>
      </c>
      <c r="Z125" s="4">
        <f>SUM(Z103:Z106)</f>
        <v>215.49749504124878</v>
      </c>
      <c r="AA125" s="38" t="s">
        <v>309</v>
      </c>
      <c r="AB125" s="42" t="s">
        <v>393</v>
      </c>
      <c r="AC125" s="43" t="s">
        <v>335</v>
      </c>
    </row>
    <row r="126" spans="1:29" ht="22" customHeight="1" x14ac:dyDescent="0.2">
      <c r="A126" s="50" t="s">
        <v>405</v>
      </c>
      <c r="B126" s="38" t="s">
        <v>234</v>
      </c>
      <c r="C126" s="33" t="s">
        <v>163</v>
      </c>
      <c r="F126" s="10" t="s">
        <v>213</v>
      </c>
      <c r="G126" s="4">
        <f>G124+G125</f>
        <v>7500000</v>
      </c>
      <c r="H126" s="4">
        <f>H124+H125</f>
        <v>25000000</v>
      </c>
      <c r="J126" s="4">
        <f>J124+J125</f>
        <v>6970837.1270690467</v>
      </c>
      <c r="K126" s="4">
        <f>K124+K125</f>
        <v>23734771.207408838</v>
      </c>
      <c r="M126" s="4">
        <f>M124+M125</f>
        <v>5656325.8924981588</v>
      </c>
      <c r="N126" s="4">
        <f>N124+N125</f>
        <v>20211800.852890473</v>
      </c>
      <c r="P126" s="4">
        <f>P124+P125</f>
        <v>4331446.5158287054</v>
      </c>
      <c r="Q126" s="4">
        <f>Q124+Q125</f>
        <v>16646049.894415045</v>
      </c>
      <c r="S126" s="4">
        <f>S124+S125</f>
        <v>4173177.3943192377</v>
      </c>
      <c r="T126" s="4">
        <f>T124+T125</f>
        <v>15799022.528926896</v>
      </c>
      <c r="V126" s="4">
        <f>V124+V125</f>
        <v>4131207.1273511709</v>
      </c>
      <c r="W126" s="4">
        <f>W124+W125</f>
        <v>15627291.891106142</v>
      </c>
      <c r="Y126" s="4">
        <f>Y124+Y125</f>
        <v>4112953.2709584278</v>
      </c>
      <c r="Z126" s="4">
        <f>Z124+Z125</f>
        <v>15569712.265808009</v>
      </c>
      <c r="AA126" s="38" t="s">
        <v>441</v>
      </c>
      <c r="AB126" s="42" t="s">
        <v>438</v>
      </c>
      <c r="AC126" s="43" t="s">
        <v>308</v>
      </c>
    </row>
    <row r="127" spans="1:29" ht="22" customHeight="1" x14ac:dyDescent="0.2">
      <c r="A127" s="50" t="s">
        <v>405</v>
      </c>
      <c r="B127" s="38" t="s">
        <v>235</v>
      </c>
      <c r="C127" s="33" t="s">
        <v>163</v>
      </c>
      <c r="F127" s="10" t="s">
        <v>216</v>
      </c>
      <c r="G127" s="4">
        <f>G126*$G$22</f>
        <v>2250000</v>
      </c>
      <c r="H127" s="4">
        <f>H126*$H$22</f>
        <v>6250000</v>
      </c>
      <c r="J127" s="4">
        <f>J126*$G$22</f>
        <v>2091251.1381207139</v>
      </c>
      <c r="K127" s="4">
        <f>K126*$H$22</f>
        <v>5933692.8018522095</v>
      </c>
      <c r="M127" s="4">
        <f>M126*$G$22</f>
        <v>1696897.7677494476</v>
      </c>
      <c r="N127" s="4">
        <f>N126*$H$22</f>
        <v>5052950.2132226182</v>
      </c>
      <c r="P127" s="4">
        <f>P126*$G$22</f>
        <v>1299433.9547486117</v>
      </c>
      <c r="Q127" s="4">
        <f>Q126*$H$22</f>
        <v>4161512.4736037613</v>
      </c>
      <c r="S127" s="4">
        <f>S126*$G$22</f>
        <v>1251953.2182957712</v>
      </c>
      <c r="T127" s="4">
        <f>T126*$H$22</f>
        <v>3949755.632231724</v>
      </c>
      <c r="V127" s="4">
        <f>V126*$G$22</f>
        <v>1239362.1382053513</v>
      </c>
      <c r="W127" s="4">
        <f>W126*$H$22</f>
        <v>3906822.9727765354</v>
      </c>
      <c r="Y127" s="4">
        <f>Y126*$G$22</f>
        <v>1233885.9812875283</v>
      </c>
      <c r="Z127" s="4">
        <f>Z126*$H$22</f>
        <v>3892428.0664520022</v>
      </c>
      <c r="AA127" s="38" t="s">
        <v>440</v>
      </c>
      <c r="AB127" s="42" t="s">
        <v>439</v>
      </c>
      <c r="AC127" s="43" t="s">
        <v>308</v>
      </c>
    </row>
    <row r="128" spans="1:29" ht="22" customHeight="1" x14ac:dyDescent="0.2">
      <c r="A128" s="50" t="s">
        <v>405</v>
      </c>
      <c r="B128" s="38" t="s">
        <v>270</v>
      </c>
      <c r="C128" s="28" t="s">
        <v>174</v>
      </c>
      <c r="F128" s="10" t="s">
        <v>259</v>
      </c>
      <c r="G128" s="4">
        <f>G12*G120</f>
        <v>7500</v>
      </c>
      <c r="H128" s="4">
        <f>H12*H120</f>
        <v>10000</v>
      </c>
      <c r="J128" s="4">
        <f>J12*J120</f>
        <v>8652.4905280937128</v>
      </c>
      <c r="K128" s="4">
        <f>K12*K120</f>
        <v>10447.477948439264</v>
      </c>
      <c r="M128" s="4">
        <f>M12*M120</f>
        <v>6576.0684285778789</v>
      </c>
      <c r="N128" s="4">
        <f>N12*N120</f>
        <v>7606.0239629174412</v>
      </c>
      <c r="P128" s="4">
        <f>P12*P120</f>
        <v>6084.7131468595098</v>
      </c>
      <c r="Q128" s="4">
        <f>Q12*Q120</f>
        <v>12799.714636686236</v>
      </c>
      <c r="S128" s="4">
        <f>S12*S120</f>
        <v>8386.6105191303013</v>
      </c>
      <c r="T128" s="4">
        <f>T12*T120</f>
        <v>2469.5388730352042</v>
      </c>
      <c r="V128" s="4">
        <f>V12*V120</f>
        <v>8152.6036745955453</v>
      </c>
      <c r="W128" s="4">
        <f>W12*W120</f>
        <v>6577.4912537399277</v>
      </c>
      <c r="Y128" s="4">
        <f>Y12*Y120</f>
        <v>8132.6302520867994</v>
      </c>
      <c r="Z128" s="4">
        <f>Z12*Z120</f>
        <v>7242.7880378741747</v>
      </c>
      <c r="AA128" s="38" t="s">
        <v>457</v>
      </c>
      <c r="AB128" s="42" t="s">
        <v>363</v>
      </c>
      <c r="AC128" s="43" t="s">
        <v>308</v>
      </c>
    </row>
    <row r="129" spans="1:29" ht="22" customHeight="1" x14ac:dyDescent="0.2">
      <c r="A129" s="50" t="s">
        <v>405</v>
      </c>
      <c r="B129" s="38" t="s">
        <v>255</v>
      </c>
      <c r="C129" s="28" t="s">
        <v>174</v>
      </c>
      <c r="F129" s="10" t="s">
        <v>260</v>
      </c>
      <c r="G129" s="4">
        <f>MIN(G128,G12*G16)</f>
        <v>250</v>
      </c>
      <c r="H129" s="4">
        <f>MIN(H128,H12*H16)</f>
        <v>1000</v>
      </c>
      <c r="J129" s="4">
        <f>MIN(J128,J12*J16)</f>
        <v>316.2</v>
      </c>
      <c r="K129" s="4">
        <f>MIN(K128,K12*K16)</f>
        <v>1078</v>
      </c>
      <c r="M129" s="4">
        <f>MIN(M128,M12*M16)</f>
        <v>301.60000000000002</v>
      </c>
      <c r="N129" s="4">
        <f>MIN(N128,N12*N16)</f>
        <v>921.2</v>
      </c>
      <c r="P129" s="4">
        <f>MIN(P128,P12*P16)</f>
        <v>329</v>
      </c>
      <c r="Q129" s="4">
        <f>MIN(Q128,Q12*Q16)</f>
        <v>1900.8000000000002</v>
      </c>
      <c r="S129" s="4">
        <f>MIN(S128,S12*S16)</f>
        <v>520</v>
      </c>
      <c r="T129" s="4">
        <f>MIN(T128,T12*T16)</f>
        <v>393.9</v>
      </c>
      <c r="V129" s="4">
        <f>MIN(V128,V12*V16)</f>
        <v>401.79999999999995</v>
      </c>
      <c r="W129" s="4">
        <f>MIN(W128,W12*W16)</f>
        <v>1155</v>
      </c>
      <c r="Y129" s="4">
        <f>MIN(Y128,Y12*Y16)</f>
        <v>499.79999999999995</v>
      </c>
      <c r="Z129" s="4">
        <f>MIN(Z128,Z12*Z16)</f>
        <v>1044</v>
      </c>
      <c r="AA129" s="38" t="s">
        <v>458</v>
      </c>
      <c r="AB129" s="42" t="s">
        <v>455</v>
      </c>
      <c r="AC129" s="43" t="s">
        <v>308</v>
      </c>
    </row>
    <row r="130" spans="1:29" ht="22" customHeight="1" x14ac:dyDescent="0.2">
      <c r="A130" s="50" t="s">
        <v>405</v>
      </c>
      <c r="B130" s="38" t="s">
        <v>272</v>
      </c>
      <c r="C130" s="28" t="s">
        <v>174</v>
      </c>
      <c r="F130" s="10" t="s">
        <v>249</v>
      </c>
      <c r="G130" s="4">
        <f>(G128-G129)*$G$15</f>
        <v>5075</v>
      </c>
      <c r="H130" s="4">
        <f>(H128-H129+H61)*$G$15</f>
        <v>6300</v>
      </c>
      <c r="J130" s="4">
        <f>(J128-J129)*$G$15</f>
        <v>5835.4033696655979</v>
      </c>
      <c r="K130" s="4">
        <f>(K128-K129+K61)*$G$15</f>
        <v>6558.6345639074843</v>
      </c>
      <c r="M130" s="4">
        <f>(M128-M129)*$G$15</f>
        <v>4392.1279000045142</v>
      </c>
      <c r="N130" s="4">
        <f>(N128-N129+N61)*$G$15</f>
        <v>4679.376774042209</v>
      </c>
      <c r="P130" s="4">
        <f>(P128-P129)*$G$15</f>
        <v>4028.9992028016568</v>
      </c>
      <c r="Q130" s="4">
        <f>(Q128-Q129+Q61)*$G$15</f>
        <v>7629.2402456803657</v>
      </c>
      <c r="S130" s="4">
        <f>(S128-S129)*$G$15</f>
        <v>5506.6273633912106</v>
      </c>
      <c r="T130" s="4">
        <f>(T128-T129+T61)*$G$15</f>
        <v>1452.9472111246428</v>
      </c>
      <c r="V130" s="4">
        <f>(V128-V129)*$G$15</f>
        <v>5425.5625722168816</v>
      </c>
      <c r="W130" s="4">
        <f>(W128-W129+W61)*$G$15</f>
        <v>3795.7438776179492</v>
      </c>
      <c r="Y130" s="4">
        <f>(Y128-Y129)*$G$15</f>
        <v>5342.9811764607593</v>
      </c>
      <c r="Z130" s="4">
        <f>(Z128-Z129+Z61)*$G$15</f>
        <v>4339.1516265119217</v>
      </c>
      <c r="AA130" s="38" t="s">
        <v>459</v>
      </c>
      <c r="AB130" s="42" t="s">
        <v>456</v>
      </c>
      <c r="AC130" s="43" t="s">
        <v>308</v>
      </c>
    </row>
    <row r="131" spans="1:29" ht="22" customHeight="1" x14ac:dyDescent="0.2">
      <c r="A131" s="50" t="s">
        <v>519</v>
      </c>
      <c r="B131" s="38" t="s">
        <v>502</v>
      </c>
      <c r="C131" s="33" t="s">
        <v>163</v>
      </c>
      <c r="F131" s="14" t="s">
        <v>247</v>
      </c>
      <c r="G131" s="4">
        <f>MIN(G130+H130, G36)</f>
        <v>11375</v>
      </c>
      <c r="J131" s="4">
        <f>MIN(J130+K130, J36)</f>
        <v>12394.037933573083</v>
      </c>
      <c r="M131" s="4">
        <f>MIN(M130+N130, M36)</f>
        <v>9071.5046740467224</v>
      </c>
      <c r="P131" s="4">
        <f>MIN(P130+Q130, P36)</f>
        <v>11658.239448482022</v>
      </c>
      <c r="S131" s="4">
        <f>MIN(S130+T130, S36)</f>
        <v>6959.5745745158529</v>
      </c>
      <c r="V131" s="4">
        <f>MIN(V130+W130, V36)</f>
        <v>9221.3064498348303</v>
      </c>
      <c r="Y131" s="4">
        <f>MIN(Y130+Z130, Y36)</f>
        <v>9682.132802972681</v>
      </c>
      <c r="AA131" s="38" t="s">
        <v>316</v>
      </c>
      <c r="AB131" s="42" t="s">
        <v>317</v>
      </c>
      <c r="AC131" s="43" t="s">
        <v>315</v>
      </c>
    </row>
    <row r="132" spans="1:29" ht="22" customHeight="1" x14ac:dyDescent="0.2">
      <c r="A132" s="50" t="s">
        <v>405</v>
      </c>
      <c r="B132" s="38" t="s">
        <v>250</v>
      </c>
      <c r="C132" s="28" t="s">
        <v>174</v>
      </c>
      <c r="F132" s="14" t="s">
        <v>261</v>
      </c>
      <c r="G132" s="4">
        <f>G130/(G130+H130)</f>
        <v>0.44615384615384618</v>
      </c>
      <c r="H132" s="4">
        <f>H130/(G130+H130)</f>
        <v>0.55384615384615388</v>
      </c>
      <c r="J132" s="4">
        <f>J130/(J130+K130)</f>
        <v>0.47082342340252192</v>
      </c>
      <c r="K132" s="4">
        <f>K130/(J130+K130)</f>
        <v>0.52917657659747797</v>
      </c>
      <c r="M132" s="4">
        <f>M130/(M130+N130)</f>
        <v>0.48416751771844951</v>
      </c>
      <c r="N132" s="4">
        <f>N130/(M130+N130)</f>
        <v>0.51583248228155054</v>
      </c>
      <c r="P132" s="4">
        <f>P130/(P130+Q130)</f>
        <v>0.34559242161785059</v>
      </c>
      <c r="Q132" s="4">
        <f>Q130/(P130+Q130)</f>
        <v>0.65440757838214947</v>
      </c>
      <c r="S132" s="4">
        <f>S130/(S130+T130)</f>
        <v>0.79123045588950858</v>
      </c>
      <c r="T132" s="4">
        <f>T130/(S130+T130)</f>
        <v>0.20876954411049153</v>
      </c>
      <c r="V132" s="4">
        <f>V130/(V130+W130)</f>
        <v>0.58837243960307417</v>
      </c>
      <c r="W132" s="4">
        <f>W130/(V130+W130)</f>
        <v>0.41162756039692594</v>
      </c>
      <c r="Y132" s="4">
        <f>Y130/(Y130+Z130)</f>
        <v>0.55183927809999855</v>
      </c>
      <c r="Z132" s="4">
        <f>Z130/(Y130+Z130)</f>
        <v>0.4481607219000015</v>
      </c>
      <c r="AA132" s="38" t="s">
        <v>462</v>
      </c>
      <c r="AB132" s="42" t="s">
        <v>364</v>
      </c>
      <c r="AC132" s="43" t="s">
        <v>345</v>
      </c>
    </row>
    <row r="133" spans="1:29" ht="22" customHeight="1" x14ac:dyDescent="0.2">
      <c r="A133" s="50" t="s">
        <v>405</v>
      </c>
      <c r="B133" s="38" t="s">
        <v>183</v>
      </c>
      <c r="C133" s="28" t="s">
        <v>174</v>
      </c>
      <c r="F133" s="10" t="s">
        <v>121</v>
      </c>
      <c r="G133" s="4">
        <f>MAX(G14-G28, 0)*G121</f>
        <v>4513584.2403750001</v>
      </c>
      <c r="H133" s="4">
        <f>MAX(H14-H28, 0)*H121</f>
        <v>12433601.4893</v>
      </c>
      <c r="J133" s="4">
        <f>MAX(J14-J28, 0)*J121</f>
        <v>4038561.7492798474</v>
      </c>
      <c r="K133" s="4">
        <f>MAX(K14-K28, 0)*K121</f>
        <v>11423228.854063457</v>
      </c>
      <c r="M133" s="4">
        <f>MAX(M14-M28, 0)*M121</f>
        <v>2827985.0342811616</v>
      </c>
      <c r="N133" s="4">
        <f>MAX(N14-N28, 0)*N121</f>
        <v>8609744.3746503126</v>
      </c>
      <c r="P133" s="4">
        <f>MAX(P14-P28, 0)*P121</f>
        <v>1633907.2053224593</v>
      </c>
      <c r="Q133" s="4">
        <f>MAX(Q14-Q28, 0)*Q121</f>
        <v>5758540.7933313884</v>
      </c>
      <c r="S133" s="4">
        <f>MAX(S14-S28, 0)*S121</f>
        <v>1479505.2783566378</v>
      </c>
      <c r="T133" s="4">
        <f>MAX(T14-T28, 0)*T121</f>
        <v>5115990.3997037746</v>
      </c>
      <c r="V133" s="4">
        <f>MAX(V14-V28, 0)*V121</f>
        <v>1423501.9742790458</v>
      </c>
      <c r="W133" s="4">
        <f>MAX(W14-W28, 0)*W121</f>
        <v>4964898.3057101127</v>
      </c>
      <c r="Y133" s="4">
        <f>MAX(Y14-Y28, 0)*Y121</f>
        <v>1411595.009066903</v>
      </c>
      <c r="Z133" s="4">
        <f>MAX(Z14-Z28, 0)*Z121</f>
        <v>4921079.9272040259</v>
      </c>
      <c r="AA133" s="38" t="s">
        <v>460</v>
      </c>
      <c r="AB133" s="42" t="s">
        <v>318</v>
      </c>
      <c r="AC133" s="43" t="s">
        <v>308</v>
      </c>
    </row>
    <row r="134" spans="1:29" ht="22" customHeight="1" x14ac:dyDescent="0.2">
      <c r="AB134" s="42"/>
      <c r="AC134" s="43"/>
    </row>
    <row r="135" spans="1:29" ht="22" customHeight="1" x14ac:dyDescent="0.2">
      <c r="F135" s="15" t="s">
        <v>73</v>
      </c>
      <c r="G135" s="8"/>
      <c r="H135" s="8"/>
      <c r="J135" s="8"/>
      <c r="K135" s="8"/>
      <c r="M135" s="8"/>
      <c r="N135" s="8"/>
      <c r="P135" s="8"/>
      <c r="Q135" s="8"/>
      <c r="S135" s="8"/>
      <c r="T135" s="8"/>
      <c r="V135" s="8"/>
      <c r="W135" s="8"/>
      <c r="Y135" s="8"/>
      <c r="Z135" s="8"/>
      <c r="AB135" s="42"/>
      <c r="AC135" s="43"/>
    </row>
    <row r="136" spans="1:29" ht="22" customHeight="1" x14ac:dyDescent="0.2">
      <c r="A136" s="50" t="s">
        <v>405</v>
      </c>
      <c r="B136" s="38" t="s">
        <v>495</v>
      </c>
      <c r="C136" s="28" t="s">
        <v>174</v>
      </c>
      <c r="F136" s="15"/>
      <c r="G136" s="4">
        <f>MAX(G36-G131,0)</f>
        <v>1988625</v>
      </c>
      <c r="J136" s="4">
        <f>MAX(J36-J131,0)</f>
        <v>5037605.9620664269</v>
      </c>
      <c r="M136" s="4">
        <f>MAX(M36-M131,0)</f>
        <v>5100928.4953259537</v>
      </c>
      <c r="P136" s="4">
        <f>MAX(P36-P131,0)</f>
        <v>3198341.7605515188</v>
      </c>
      <c r="S136" s="4">
        <f>MAX(S36-S131,0)</f>
        <v>1128517.8045178677</v>
      </c>
      <c r="V136" s="4">
        <f>MAX(V36-V131,0)</f>
        <v>370112.89596850023</v>
      </c>
      <c r="Y136" s="4">
        <f>MAX(Y36-Y131,0)</f>
        <v>215127.42331256883</v>
      </c>
      <c r="AA136" s="38" t="s">
        <v>494</v>
      </c>
      <c r="AB136" s="42" t="s">
        <v>493</v>
      </c>
      <c r="AC136" s="43" t="s">
        <v>333</v>
      </c>
    </row>
    <row r="137" spans="1:29" ht="22" customHeight="1" x14ac:dyDescent="0.2">
      <c r="A137" s="50" t="s">
        <v>405</v>
      </c>
      <c r="B137" s="38" t="s">
        <v>496</v>
      </c>
      <c r="C137" s="28" t="s">
        <v>174</v>
      </c>
      <c r="F137" s="14"/>
      <c r="G137" s="4">
        <f>IF(G4=0,MIN(($G$31*$G$32*$G$33/(1-$G$31*$G$32*$G$33))*MAX((G119-G128+H119-H128-G136),0), G136*G37),MIN($G$32*$G$33*(D154+E154), G136*G37))</f>
        <v>14738.006898717227</v>
      </c>
      <c r="J137" s="4">
        <f>IF(J4=0,($G$31*$G$32*$G$33/(1-$G$31*$G$32*$G$33))*MAX((J119-J128+K119-K128-J136*J37),0),MIN($G$32*$G$33*(G154+H154), J136*J37))</f>
        <v>14738.006898717225</v>
      </c>
      <c r="M137" s="4">
        <f>IF(M4=0,($G$31*$G$32*$G$33/(1-$G$31*$G$32*$G$33))*MAX((M119-M128+N119-N128-M136*M37),0),MIN($G$32*$G$33*(J154+K154), M136*M37))</f>
        <v>12397.512034002712</v>
      </c>
      <c r="P137" s="4">
        <f>IF(P4=0,($G$31*$G$32*$G$33/(1-$G$31*$G$32*$G$33))*MAX((P119-P128+Q119-Q128-P136*P37),0),MIN($G$32*$G$33*(M154+N154), P136*P37))</f>
        <v>10031.289703086866</v>
      </c>
      <c r="S137" s="4">
        <f>IF(S4=0,($G$31*$G$32*$G$33/(1-$G$31*$G$32*$G$33))*MAX((S119-S128+T119-T128-S136*S37),0),MIN($G$32*$G$33*(P154+Q154), S136*S37))</f>
        <v>9548.172676994709</v>
      </c>
      <c r="V137" s="4">
        <f>IF(V4=0,($G$31*$G$32*$G$33/(1-$G$31*$G$32*$G$33))*MAX((V119-V128+W119-W128-V136*V37),0),MIN($G$32*$G$33*(S154+T154), V136*V37))</f>
        <v>9457.9315689016403</v>
      </c>
      <c r="Y137" s="4">
        <f>IF(Y4=0,($G$31*$G$32*$G$33/(1-$G$31*$G$32*$G$33))*MAX((Y119-Y128+Z119-Z128-Y136*Y37),0),MIN($G$32*$G$33*(V154+W154), Y136*Y37))</f>
        <v>9423.9320294407444</v>
      </c>
      <c r="AA137" s="38" t="s">
        <v>497</v>
      </c>
      <c r="AB137" s="42" t="s">
        <v>498</v>
      </c>
      <c r="AC137" s="43" t="s">
        <v>315</v>
      </c>
    </row>
    <row r="138" spans="1:29" ht="22" customHeight="1" x14ac:dyDescent="0.2">
      <c r="A138" s="50" t="s">
        <v>405</v>
      </c>
      <c r="B138" s="38" t="s">
        <v>501</v>
      </c>
      <c r="C138" s="28" t="s">
        <v>174</v>
      </c>
      <c r="F138" s="14" t="s">
        <v>252</v>
      </c>
      <c r="G138" s="4">
        <f>G136-G137</f>
        <v>1973886.9931012827</v>
      </c>
      <c r="J138" s="4">
        <f>J136-J137</f>
        <v>5022867.9551677098</v>
      </c>
      <c r="M138" s="4">
        <f>M136-M137</f>
        <v>5088530.983291951</v>
      </c>
      <c r="P138" s="4">
        <f>P136-P137</f>
        <v>3188310.4708484318</v>
      </c>
      <c r="S138" s="4">
        <f>S136-S137</f>
        <v>1118969.631840873</v>
      </c>
      <c r="V138" s="4">
        <f>V136-V137</f>
        <v>360654.9643995986</v>
      </c>
      <c r="Y138" s="4">
        <f>Y136-Y137</f>
        <v>205703.4912831281</v>
      </c>
      <c r="AA138" s="38" t="s">
        <v>423</v>
      </c>
      <c r="AB138" s="42" t="s">
        <v>394</v>
      </c>
      <c r="AC138" s="43" t="s">
        <v>333</v>
      </c>
    </row>
    <row r="139" spans="1:29" ht="22" customHeight="1" x14ac:dyDescent="0.2">
      <c r="A139" s="50" t="s">
        <v>405</v>
      </c>
      <c r="B139" s="38" t="s">
        <v>500</v>
      </c>
      <c r="C139" s="28" t="s">
        <v>174</v>
      </c>
      <c r="F139" s="14"/>
      <c r="G139" s="4">
        <f>MIN(G138,G39*H84)</f>
        <v>0</v>
      </c>
      <c r="J139" s="4">
        <f>MIN(J138,J39*K84)</f>
        <v>0</v>
      </c>
      <c r="M139" s="4">
        <f>MIN(M138,M39*N84)</f>
        <v>0</v>
      </c>
      <c r="P139" s="4">
        <f>MIN(P138,P39*Q84)</f>
        <v>0</v>
      </c>
      <c r="S139" s="4">
        <f>MIN(S138,S39*T84)</f>
        <v>0</v>
      </c>
      <c r="V139" s="4">
        <f>MIN(V138,V39*W84)</f>
        <v>0</v>
      </c>
      <c r="Y139" s="4">
        <f>MIN(Y138,Y39*Z84)</f>
        <v>0</v>
      </c>
      <c r="AA139" s="38" t="s">
        <v>473</v>
      </c>
      <c r="AB139" s="42" t="s">
        <v>474</v>
      </c>
      <c r="AC139" s="43" t="s">
        <v>315</v>
      </c>
    </row>
    <row r="140" spans="1:29" ht="22" customHeight="1" x14ac:dyDescent="0.2">
      <c r="A140" s="50" t="s">
        <v>405</v>
      </c>
      <c r="B140" s="38" t="s">
        <v>251</v>
      </c>
      <c r="C140" s="28" t="s">
        <v>174</v>
      </c>
      <c r="F140" s="10" t="s">
        <v>165</v>
      </c>
      <c r="G140" s="4">
        <f>MIN(G150,MAX(G138-G139, 0))</f>
        <v>1973886.9931012827</v>
      </c>
      <c r="J140" s="4">
        <f>MIN(J150,MAX(J138-J139, 0))</f>
        <v>5022867.9551677098</v>
      </c>
      <c r="M140" s="4">
        <f>MIN(M150,MAX(M138-M139, 0))</f>
        <v>5088530.983291951</v>
      </c>
      <c r="P140" s="4">
        <f>MIN(P150,MAX(P138-P139, 0))</f>
        <v>1193271.2664772817</v>
      </c>
      <c r="S140" s="4">
        <f>MIN(S150,MAX(S138-S139, 0))</f>
        <v>382791.41318884213</v>
      </c>
      <c r="V140" s="4">
        <f>MIN(V150,MAX(V138-V139, 0))</f>
        <v>235569.66473098309</v>
      </c>
      <c r="Y140" s="4">
        <f>MIN(Y150,MAX(Y138-Y139, 0))</f>
        <v>192920.79914218979</v>
      </c>
      <c r="AA140" s="38" t="s">
        <v>472</v>
      </c>
      <c r="AB140" s="42" t="s">
        <v>395</v>
      </c>
      <c r="AC140" s="43" t="s">
        <v>315</v>
      </c>
    </row>
    <row r="141" spans="1:29" ht="22" customHeight="1" x14ac:dyDescent="0.2">
      <c r="A141" s="50" t="s">
        <v>405</v>
      </c>
      <c r="B141" s="38" t="s">
        <v>262</v>
      </c>
      <c r="C141" s="28" t="s">
        <v>174</v>
      </c>
      <c r="F141" s="10" t="s">
        <v>123</v>
      </c>
      <c r="G141" s="4">
        <f>G138-G139-G140</f>
        <v>0</v>
      </c>
      <c r="J141" s="4">
        <f>J138-J139-J140</f>
        <v>0</v>
      </c>
      <c r="M141" s="4">
        <f>M138-M139-M140</f>
        <v>0</v>
      </c>
      <c r="P141" s="4">
        <f>P138-P139-P140</f>
        <v>1995039.2043711501</v>
      </c>
      <c r="S141" s="4">
        <f>S138-S139-S140</f>
        <v>736178.21865203092</v>
      </c>
      <c r="V141" s="4">
        <f>V138-V139-V140</f>
        <v>125085.29966861551</v>
      </c>
      <c r="Y141" s="4">
        <f>Y138-Y139-Y140</f>
        <v>12782.692140938307</v>
      </c>
      <c r="AA141" s="38" t="s">
        <v>422</v>
      </c>
      <c r="AB141" s="42" t="s">
        <v>396</v>
      </c>
      <c r="AC141" s="43" t="s">
        <v>319</v>
      </c>
    </row>
    <row r="142" spans="1:29" ht="22" customHeight="1" x14ac:dyDescent="0.2">
      <c r="A142" s="50" t="s">
        <v>405</v>
      </c>
      <c r="B142" s="38" t="s">
        <v>468</v>
      </c>
      <c r="C142" s="28" t="s">
        <v>174</v>
      </c>
      <c r="F142" s="10" t="s">
        <v>146</v>
      </c>
      <c r="G142" s="4">
        <f>MIN(G141,H84-G139)</f>
        <v>0</v>
      </c>
      <c r="J142" s="4">
        <f>MIN(J141,K84-J139)</f>
        <v>0</v>
      </c>
      <c r="M142" s="4">
        <f>MIN(M141,N84-M139)</f>
        <v>0</v>
      </c>
      <c r="P142" s="4">
        <f>MIN(P141,Q84-P139)</f>
        <v>0</v>
      </c>
      <c r="S142" s="4">
        <f>MIN(S141,T84-S139)</f>
        <v>0</v>
      </c>
      <c r="V142" s="4">
        <f>MIN(V141,W84-V139)</f>
        <v>0</v>
      </c>
      <c r="Y142" s="4">
        <f>MIN(Y141,Z84-Y139)</f>
        <v>0</v>
      </c>
      <c r="AA142" s="38" t="s">
        <v>471</v>
      </c>
      <c r="AB142" s="42" t="s">
        <v>470</v>
      </c>
      <c r="AC142" s="43" t="s">
        <v>315</v>
      </c>
    </row>
    <row r="143" spans="1:29" ht="22" customHeight="1" x14ac:dyDescent="0.2">
      <c r="A143" s="50" t="s">
        <v>405</v>
      </c>
      <c r="B143" s="38" t="s">
        <v>258</v>
      </c>
      <c r="C143" s="28" t="s">
        <v>174</v>
      </c>
      <c r="F143" s="10" t="s">
        <v>120</v>
      </c>
      <c r="G143" s="4">
        <f>G151*G140</f>
        <v>525710.01265081449</v>
      </c>
      <c r="H143" s="4">
        <f>H151*G140</f>
        <v>1448176.9804504684</v>
      </c>
      <c r="J143" s="4">
        <f>J151*J140</f>
        <v>1311954.2823867719</v>
      </c>
      <c r="K143" s="4">
        <f>K151*J140</f>
        <v>3710913.672780938</v>
      </c>
      <c r="M143" s="4">
        <f>M151*M140</f>
        <v>1326464.7506756473</v>
      </c>
      <c r="N143" s="4">
        <f>N151*M140</f>
        <v>3762066.232616304</v>
      </c>
      <c r="P143" s="4">
        <f>P151*P140</f>
        <v>156587.03998564687</v>
      </c>
      <c r="Q143" s="4">
        <f>Q151*P140</f>
        <v>1036684.2264916349</v>
      </c>
      <c r="S143" s="4">
        <f>S151*S140</f>
        <v>37133.920124292614</v>
      </c>
      <c r="T143" s="4">
        <f>T151*S140</f>
        <v>345657.49306454952</v>
      </c>
      <c r="V143" s="4">
        <f>V151*V140</f>
        <v>13462.587321299721</v>
      </c>
      <c r="W143" s="4">
        <f>W151*V140</f>
        <v>222107.07740968338</v>
      </c>
      <c r="Y143" s="4">
        <f>Y151*Y140</f>
        <v>6695.8102398750461</v>
      </c>
      <c r="Z143" s="4">
        <f>Z151*Y140</f>
        <v>186224.98890231474</v>
      </c>
      <c r="AA143" s="38" t="s">
        <v>420</v>
      </c>
      <c r="AB143" s="42" t="s">
        <v>365</v>
      </c>
      <c r="AC143" s="43" t="s">
        <v>336</v>
      </c>
    </row>
    <row r="144" spans="1:29" ht="22" customHeight="1" x14ac:dyDescent="0.2">
      <c r="A144" s="50" t="s">
        <v>405</v>
      </c>
      <c r="B144" s="38" t="s">
        <v>263</v>
      </c>
      <c r="C144" s="33" t="s">
        <v>163</v>
      </c>
      <c r="F144" s="10" t="s">
        <v>165</v>
      </c>
      <c r="G144" s="4">
        <f>G143</f>
        <v>525710.01265081449</v>
      </c>
      <c r="H144" s="4">
        <f>H143+G139+G142</f>
        <v>1448176.9804504684</v>
      </c>
      <c r="J144" s="4">
        <f>J143</f>
        <v>1311954.2823867719</v>
      </c>
      <c r="K144" s="4">
        <f>K143+J139+J142</f>
        <v>3710913.672780938</v>
      </c>
      <c r="M144" s="4">
        <f>M143</f>
        <v>1326464.7506756473</v>
      </c>
      <c r="N144" s="4">
        <f>N143+M139+M142</f>
        <v>3762066.232616304</v>
      </c>
      <c r="P144" s="4">
        <f>P143</f>
        <v>156587.03998564687</v>
      </c>
      <c r="Q144" s="4">
        <f>Q143+P139+P142</f>
        <v>1036684.2264916349</v>
      </c>
      <c r="S144" s="4">
        <f>S143</f>
        <v>37133.920124292614</v>
      </c>
      <c r="T144" s="4">
        <f>T143+S139+S142</f>
        <v>345657.49306454952</v>
      </c>
      <c r="V144" s="4">
        <f>V143</f>
        <v>13462.587321299721</v>
      </c>
      <c r="W144" s="4">
        <f>W143+V139+V142</f>
        <v>222107.07740968338</v>
      </c>
      <c r="Y144" s="4">
        <f>Y143</f>
        <v>6695.8102398750461</v>
      </c>
      <c r="Z144" s="4">
        <f>Z143+Y139+Y142</f>
        <v>186224.98890231474</v>
      </c>
      <c r="AA144" s="38" t="s">
        <v>421</v>
      </c>
      <c r="AB144" s="42" t="s">
        <v>425</v>
      </c>
      <c r="AC144" s="43" t="s">
        <v>336</v>
      </c>
    </row>
    <row r="145" spans="1:30" ht="22" customHeight="1" x14ac:dyDescent="0.2">
      <c r="F145" s="15" t="s">
        <v>74</v>
      </c>
      <c r="G145" s="8"/>
      <c r="H145" s="8"/>
      <c r="J145" s="8"/>
      <c r="K145" s="8"/>
      <c r="M145" s="8"/>
      <c r="N145" s="8"/>
      <c r="P145" s="8"/>
      <c r="Q145" s="8"/>
      <c r="S145" s="8"/>
      <c r="T145" s="8"/>
      <c r="V145" s="8"/>
      <c r="W145" s="8"/>
      <c r="Y145" s="8"/>
      <c r="Z145" s="8"/>
      <c r="AB145" s="42"/>
      <c r="AC145" s="43"/>
    </row>
    <row r="146" spans="1:30" ht="22" customHeight="1" x14ac:dyDescent="0.2">
      <c r="A146" s="50" t="s">
        <v>405</v>
      </c>
      <c r="B146" s="38" t="s">
        <v>265</v>
      </c>
      <c r="C146" s="28" t="s">
        <v>174</v>
      </c>
      <c r="F146" s="10" t="s">
        <v>137</v>
      </c>
      <c r="G146" s="4">
        <f>G121/$G$24</f>
        <v>1</v>
      </c>
      <c r="H146" s="4">
        <f>H121/$H$24</f>
        <v>1</v>
      </c>
      <c r="J146" s="4">
        <f>J121/$G$24</f>
        <v>0.89599299755330231</v>
      </c>
      <c r="K146" s="4">
        <f>K121/$H$24</f>
        <v>0.91924437530170255</v>
      </c>
      <c r="M146" s="4">
        <f>M121/$G$24</f>
        <v>0.63531267387724966</v>
      </c>
      <c r="N146" s="4">
        <f>N121/$H$24</f>
        <v>0.69316518550137562</v>
      </c>
      <c r="P146" s="4">
        <f>P121/$G$24</f>
        <v>0.37184180819778617</v>
      </c>
      <c r="Q146" s="4">
        <f>Q121/$H$24</f>
        <v>0.46406273002291615</v>
      </c>
      <c r="S146" s="4">
        <f>S121/$G$24</f>
        <v>0.34138405016144135</v>
      </c>
      <c r="T146" s="4">
        <f>T121/$H$24</f>
        <v>0.41030519240421304</v>
      </c>
      <c r="V146" s="4">
        <f>V121/$G$24</f>
        <v>0.33464917721788351</v>
      </c>
      <c r="W146" s="4">
        <f>W121/$H$24</f>
        <v>0.3993928859001491</v>
      </c>
      <c r="Y146" s="4">
        <f>Y121/$G$24</f>
        <v>0.33261946457495017</v>
      </c>
      <c r="Z146" s="4">
        <f>Z121/$H$24</f>
        <v>0.39609788791193412</v>
      </c>
      <c r="AA146" s="38" t="s">
        <v>347</v>
      </c>
      <c r="AB146" s="42" t="s">
        <v>366</v>
      </c>
      <c r="AC146" s="43" t="s">
        <v>344</v>
      </c>
      <c r="AD146">
        <v>20</v>
      </c>
    </row>
    <row r="147" spans="1:30" ht="22" customHeight="1" x14ac:dyDescent="0.2">
      <c r="A147" s="50" t="s">
        <v>405</v>
      </c>
      <c r="B147" s="38" t="s">
        <v>184</v>
      </c>
      <c r="C147" s="28" t="s">
        <v>174</v>
      </c>
      <c r="F147" s="10" t="s">
        <v>185</v>
      </c>
      <c r="G147" s="4">
        <f>MAX(MIN((G146-$G$18)/$G$19, 1), 0)</f>
        <v>1</v>
      </c>
      <c r="H147" s="4">
        <f>MAX(MIN((H146-$H$18)/$H$19, 1), 0)</f>
        <v>1</v>
      </c>
      <c r="J147" s="4">
        <f>MAX(MIN((J146-$G$18)/$G$19, 1), 0)</f>
        <v>1</v>
      </c>
      <c r="K147" s="4">
        <f>MAX(MIN((K146-$H$18)/$H$19, 1), 0)</f>
        <v>1</v>
      </c>
      <c r="M147" s="4">
        <f>MAX(MIN((M146-$G$18)/$G$19, 1), 0)</f>
        <v>0.70773772981455851</v>
      </c>
      <c r="N147" s="4">
        <f>MAX(MIN((N146-$H$18)/$H$19, 1), 0)</f>
        <v>0.6593103930116444</v>
      </c>
      <c r="P147" s="4">
        <f>MAX(MIN((P146-$G$18)/$G$19, 1), 0)</f>
        <v>9.5835944339778878E-2</v>
      </c>
      <c r="Q147" s="4">
        <f>MAX(MIN((Q146-$H$18)/$H$19, 1), 0)</f>
        <v>0.18002550710279852</v>
      </c>
      <c r="S147" s="4">
        <f>MAX(MIN((S146-$G$18)/$G$19, 1), 0)</f>
        <v>2.5098876406537161E-2</v>
      </c>
      <c r="T147" s="4">
        <f>MAX(MIN((T146-$H$18)/$H$19, 1), 0)</f>
        <v>6.7564140285439889E-2</v>
      </c>
      <c r="V147" s="4">
        <f>MAX(MIN((V146-$G$18)/$G$19, 1), 0)</f>
        <v>9.4573717244881613E-3</v>
      </c>
      <c r="W147" s="4">
        <f>MAX(MIN((W146-$H$18)/$H$19, 1), 0)</f>
        <v>4.4735473666044433E-2</v>
      </c>
      <c r="Y147" s="4">
        <f>MAX(MIN((Y146-$G$18)/$G$19, 1), 0)</f>
        <v>4.7434357566205421E-3</v>
      </c>
      <c r="Z147" s="4">
        <f>MAX(MIN((Z146-$H$18)/$H$19, 1), 0)</f>
        <v>3.7842301213774604E-2</v>
      </c>
      <c r="AA147" s="39" t="s">
        <v>322</v>
      </c>
      <c r="AB147" s="42" t="s">
        <v>367</v>
      </c>
      <c r="AC147" s="43" t="s">
        <v>344</v>
      </c>
      <c r="AD147">
        <v>20</v>
      </c>
    </row>
    <row r="148" spans="1:30" ht="22" customHeight="1" x14ac:dyDescent="0.2">
      <c r="B148" s="38"/>
      <c r="AA148" s="38"/>
      <c r="AB148" s="42"/>
      <c r="AC148" s="43"/>
      <c r="AD148">
        <v>20</v>
      </c>
    </row>
    <row r="149" spans="1:30" ht="22" customHeight="1" x14ac:dyDescent="0.2">
      <c r="A149" s="50" t="s">
        <v>405</v>
      </c>
      <c r="B149" s="38" t="s">
        <v>186</v>
      </c>
      <c r="C149" s="28" t="s">
        <v>174</v>
      </c>
      <c r="F149" s="10" t="s">
        <v>76</v>
      </c>
      <c r="G149" s="4">
        <f>G133*G147</f>
        <v>4513584.2403750001</v>
      </c>
      <c r="H149" s="4">
        <f>H133*H147</f>
        <v>12433601.4893</v>
      </c>
      <c r="J149" s="4">
        <f>J133*J147</f>
        <v>4038561.7492798474</v>
      </c>
      <c r="K149" s="4">
        <f>K133*K147</f>
        <v>11423228.854063457</v>
      </c>
      <c r="M149" s="4">
        <f>M133*M147</f>
        <v>2001471.7081116957</v>
      </c>
      <c r="N149" s="4">
        <f>N133*N147</f>
        <v>5676493.9473804925</v>
      </c>
      <c r="P149" s="4">
        <f>P133*P147</f>
        <v>156587.03998564687</v>
      </c>
      <c r="Q149" s="4">
        <f>Q133*Q147</f>
        <v>1036684.2264916349</v>
      </c>
      <c r="S149" s="4">
        <f>S133*S147</f>
        <v>37133.920124292614</v>
      </c>
      <c r="T149" s="4">
        <f>T133*T147</f>
        <v>345657.49306454952</v>
      </c>
      <c r="V149" s="4">
        <f>V133*V147</f>
        <v>13462.587321299721</v>
      </c>
      <c r="W149" s="4">
        <f>W133*W147</f>
        <v>222107.07740968338</v>
      </c>
      <c r="Y149" s="4">
        <f>Y133*Y147</f>
        <v>6695.8102398750461</v>
      </c>
      <c r="Z149" s="4">
        <f>Z133*Z147</f>
        <v>186224.98890231474</v>
      </c>
      <c r="AA149" s="38" t="s">
        <v>461</v>
      </c>
      <c r="AB149" s="42" t="s">
        <v>368</v>
      </c>
      <c r="AC149" s="43" t="s">
        <v>308</v>
      </c>
      <c r="AD149">
        <v>20</v>
      </c>
    </row>
    <row r="150" spans="1:30" ht="22" customHeight="1" x14ac:dyDescent="0.2">
      <c r="A150" s="50" t="s">
        <v>405</v>
      </c>
      <c r="B150" s="38" t="s">
        <v>187</v>
      </c>
      <c r="C150" s="28" t="s">
        <v>174</v>
      </c>
      <c r="F150" s="10" t="s">
        <v>122</v>
      </c>
      <c r="G150" s="4">
        <f>G149+H149</f>
        <v>16947185.729674999</v>
      </c>
      <c r="H150" s="4">
        <f>G150</f>
        <v>16947185.729674999</v>
      </c>
      <c r="J150" s="4">
        <f>J149+K149</f>
        <v>15461790.603343304</v>
      </c>
      <c r="K150" s="4">
        <f>J150</f>
        <v>15461790.603343304</v>
      </c>
      <c r="M150" s="4">
        <f>M149+N149</f>
        <v>7677965.6554921884</v>
      </c>
      <c r="N150" s="4">
        <f>M150</f>
        <v>7677965.6554921884</v>
      </c>
      <c r="P150" s="4">
        <f>P149+Q149</f>
        <v>1193271.2664772817</v>
      </c>
      <c r="Q150" s="4">
        <f>P150</f>
        <v>1193271.2664772817</v>
      </c>
      <c r="S150" s="4">
        <f>S149+T149</f>
        <v>382791.41318884213</v>
      </c>
      <c r="T150" s="4">
        <f>S150</f>
        <v>382791.41318884213</v>
      </c>
      <c r="V150" s="4">
        <f>V149+W149</f>
        <v>235569.66473098309</v>
      </c>
      <c r="W150" s="4">
        <f>V150</f>
        <v>235569.66473098309</v>
      </c>
      <c r="Y150" s="4">
        <f>Y149+Z149</f>
        <v>192920.79914218979</v>
      </c>
      <c r="Z150" s="4">
        <f>Y150</f>
        <v>192920.79914218979</v>
      </c>
      <c r="AA150" s="38" t="s">
        <v>464</v>
      </c>
      <c r="AB150" s="42" t="s">
        <v>320</v>
      </c>
      <c r="AC150" s="43" t="s">
        <v>465</v>
      </c>
    </row>
    <row r="151" spans="1:30" ht="22" customHeight="1" x14ac:dyDescent="0.2">
      <c r="A151" s="50" t="s">
        <v>405</v>
      </c>
      <c r="B151" s="38" t="s">
        <v>188</v>
      </c>
      <c r="C151" s="28" t="s">
        <v>174</v>
      </c>
      <c r="F151" s="10" t="s">
        <v>119</v>
      </c>
      <c r="G151" s="4">
        <f>IF(G150&lt;&gt;0,G149/G150,0)</f>
        <v>0.26633237591015407</v>
      </c>
      <c r="H151" s="4">
        <f>IF(H150&lt;&gt;0,H149/H150,0)</f>
        <v>0.73366762408984598</v>
      </c>
      <c r="J151" s="4">
        <f>IF(J150&lt;&gt;0,J149/J150,0)</f>
        <v>0.26119625164284588</v>
      </c>
      <c r="K151" s="4">
        <f>IF(K150&lt;&gt;0,K149/K150,0)</f>
        <v>0.73880374835715412</v>
      </c>
      <c r="M151" s="4">
        <f>IF(M150&lt;&gt;0,M149/M150,0)</f>
        <v>0.2606773457862509</v>
      </c>
      <c r="N151" s="4">
        <f>IF(N150&lt;&gt;0,N149/N150,0)</f>
        <v>0.7393226542137491</v>
      </c>
      <c r="P151" s="4">
        <f>IF(P150&lt;&gt;0,P149/P150,0)</f>
        <v>0.13122501511991957</v>
      </c>
      <c r="Q151" s="4">
        <f>IF(Q150&lt;&gt;0,Q149/Q150,0)</f>
        <v>0.86877498488008043</v>
      </c>
      <c r="S151" s="4">
        <f>IF(S150&lt;&gt;0,S149/S150,0)</f>
        <v>9.7008236979373857E-2</v>
      </c>
      <c r="T151" s="4">
        <f>IF(T150&lt;&gt;0,T149/T150,0)</f>
        <v>0.90299176302062611</v>
      </c>
      <c r="V151" s="4">
        <f>IF(V150&lt;&gt;0,V149/V150,0)</f>
        <v>5.714907026197022E-2</v>
      </c>
      <c r="W151" s="4">
        <f>IF(W150&lt;&gt;0,W149/W150,0)</f>
        <v>0.94285092973802986</v>
      </c>
      <c r="Y151" s="4">
        <f>IF(Y150&lt;&gt;0,Y149/Y150,0)</f>
        <v>3.4707560147208313E-2</v>
      </c>
      <c r="Z151" s="4">
        <f>IF(Z150&lt;&gt;0,Z149/Z150,0)</f>
        <v>0.96529243985279167</v>
      </c>
      <c r="AA151" s="38" t="s">
        <v>321</v>
      </c>
      <c r="AB151" s="42" t="s">
        <v>369</v>
      </c>
      <c r="AC151" s="43" t="s">
        <v>345</v>
      </c>
    </row>
    <row r="152" spans="1:30" ht="22" customHeight="1" x14ac:dyDescent="0.2">
      <c r="AB152" s="42"/>
      <c r="AC152" s="43"/>
    </row>
    <row r="153" spans="1:30" ht="22" customHeight="1" x14ac:dyDescent="0.2">
      <c r="F153" s="15" t="s">
        <v>248</v>
      </c>
      <c r="G153" s="8"/>
      <c r="H153" s="8"/>
      <c r="J153" s="8"/>
      <c r="K153" s="8"/>
      <c r="M153" s="8"/>
      <c r="N153" s="8"/>
      <c r="P153" s="8"/>
      <c r="Q153" s="8"/>
      <c r="S153" s="8"/>
      <c r="T153" s="8"/>
      <c r="V153" s="8"/>
      <c r="W153" s="8"/>
      <c r="Y153" s="8"/>
      <c r="Z153" s="8"/>
      <c r="AB153" s="42"/>
      <c r="AC153" s="43"/>
    </row>
    <row r="154" spans="1:30" ht="22" customHeight="1" x14ac:dyDescent="0.2">
      <c r="A154" s="50" t="s">
        <v>405</v>
      </c>
      <c r="B154" s="38" t="s">
        <v>482</v>
      </c>
      <c r="C154" s="33" t="s">
        <v>163</v>
      </c>
      <c r="F154" s="10" t="s">
        <v>201</v>
      </c>
      <c r="G154" s="4">
        <f>(G119 - G143 - G128)*$G$31</f>
        <v>10937.86028013822</v>
      </c>
      <c r="H154" s="4">
        <f>(H119 - H143 - H128)*$H$31+H101</f>
        <v>36960.662140692759</v>
      </c>
      <c r="J154" s="4">
        <f>(J119 - J143 - J128)*$G$31</f>
        <v>8870.8616560220635</v>
      </c>
      <c r="K154" s="4">
        <f>(K119 - K143 - K128)*$H$31+K101</f>
        <v>31421.052454486751</v>
      </c>
      <c r="M154" s="4">
        <f>(M119 - M143 - M128)*$G$31</f>
        <v>6787.5575652284751</v>
      </c>
      <c r="N154" s="4">
        <f>(N119 - N143 - N128)*$H$31+N101</f>
        <v>25814.133969803835</v>
      </c>
      <c r="P154" s="4">
        <f>(P119 - P143 - P128)*$G$31</f>
        <v>6544.9763774330322</v>
      </c>
      <c r="Q154" s="4">
        <f>(Q119 - Q143 - Q128)*$H$31+Q101</f>
        <v>24486.584822799774</v>
      </c>
      <c r="S154" s="4">
        <f>(S119 - S143 - S128)*$G$31</f>
        <v>6480.421275971029</v>
      </c>
      <c r="T154" s="4">
        <f>(T119 - T143 - T128)*$H$31+T101</f>
        <v>24257.856322959302</v>
      </c>
      <c r="V154" s="4">
        <f>(V119 - V143 - V128)*$G$31</f>
        <v>6452.0593400777834</v>
      </c>
      <c r="W154" s="4">
        <f>(W119 - W143 - W128)*$H$31+W101</f>
        <v>24175.719755604634</v>
      </c>
      <c r="Y154" s="4">
        <f>(Y119 - Y143 - Y128)*$G$31</f>
        <v>6434.0559838323506</v>
      </c>
      <c r="Z154" s="4">
        <f>(Z119 - Z143 - Z128)*$H$31+Z101</f>
        <v>24140.541849164827</v>
      </c>
      <c r="AA154" s="38" t="s">
        <v>433</v>
      </c>
      <c r="AB154" s="42" t="s">
        <v>483</v>
      </c>
      <c r="AC154" s="43" t="s">
        <v>304</v>
      </c>
    </row>
    <row r="155" spans="1:30" ht="22" customHeight="1" x14ac:dyDescent="0.2">
      <c r="A155" s="50" t="s">
        <v>405</v>
      </c>
      <c r="B155" s="38" t="s">
        <v>481</v>
      </c>
      <c r="C155" s="33" t="s">
        <v>163</v>
      </c>
      <c r="G155" s="4">
        <f>G154*$G22</f>
        <v>3281.3580840414661</v>
      </c>
      <c r="H155" s="4">
        <f>H154*$H22</f>
        <v>9240.1655351731897</v>
      </c>
      <c r="J155" s="4">
        <f>J154*$G22</f>
        <v>2661.258496806619</v>
      </c>
      <c r="K155" s="4">
        <f>K154*$H22</f>
        <v>7855.2631136216878</v>
      </c>
      <c r="M155" s="4">
        <f>M154*$G22</f>
        <v>2036.2672695685424</v>
      </c>
      <c r="N155" s="4">
        <f>N154*$H22</f>
        <v>6453.5334924509589</v>
      </c>
      <c r="P155" s="4">
        <f>P154*$G22</f>
        <v>1963.4929132299096</v>
      </c>
      <c r="Q155" s="4">
        <f>Q154*$H22</f>
        <v>6121.6462056999435</v>
      </c>
      <c r="S155" s="4">
        <f>S154*$G22</f>
        <v>1944.1263827913085</v>
      </c>
      <c r="T155" s="4">
        <f>T154*$H22</f>
        <v>6064.4640807398255</v>
      </c>
      <c r="V155" s="4">
        <f>V154*$G22</f>
        <v>1935.6178020233349</v>
      </c>
      <c r="W155" s="4">
        <f>W154*$H22</f>
        <v>6043.9299389011585</v>
      </c>
      <c r="Y155" s="4">
        <f>Y154*$G22</f>
        <v>1930.2167951497051</v>
      </c>
      <c r="Z155" s="4">
        <f>Z154*$H22</f>
        <v>6035.1354622912067</v>
      </c>
      <c r="AA155" s="38" t="s">
        <v>434</v>
      </c>
      <c r="AB155" s="42" t="s">
        <v>484</v>
      </c>
      <c r="AC155" s="43" t="s">
        <v>304</v>
      </c>
    </row>
    <row r="156" spans="1:30" ht="22" customHeight="1" x14ac:dyDescent="0.2">
      <c r="A156" s="50" t="s">
        <v>405</v>
      </c>
      <c r="B156" s="38" t="s">
        <v>264</v>
      </c>
      <c r="C156" s="33" t="s">
        <v>163</v>
      </c>
      <c r="F156" s="14" t="s">
        <v>212</v>
      </c>
      <c r="G156" s="4">
        <f>G143*$G22</f>
        <v>157713.00379524435</v>
      </c>
      <c r="H156" s="4">
        <f>(H143+G139+G142)*$H22</f>
        <v>362044.24511261709</v>
      </c>
      <c r="J156" s="4">
        <f>J143*$G22</f>
        <v>393586.28471603157</v>
      </c>
      <c r="K156" s="4">
        <f>(K143+J139+J142)*$H22</f>
        <v>927728.4181952345</v>
      </c>
      <c r="M156" s="4">
        <f>M143*$G22</f>
        <v>397939.4252026942</v>
      </c>
      <c r="N156" s="4">
        <f>(N143+M139+M142)*$H22</f>
        <v>940516.55815407599</v>
      </c>
      <c r="P156" s="4">
        <f>P143*$G22</f>
        <v>46976.11199569406</v>
      </c>
      <c r="Q156" s="4">
        <f>(Q143+P139+P142)*$H22</f>
        <v>259171.05662290871</v>
      </c>
      <c r="S156" s="4">
        <f>S143*$G22</f>
        <v>11140.176037287783</v>
      </c>
      <c r="T156" s="4">
        <f>(T143+S139+S142)*$H22</f>
        <v>86414.37326613738</v>
      </c>
      <c r="V156" s="4">
        <f>V143*$G22</f>
        <v>4038.7761963899161</v>
      </c>
      <c r="W156" s="4">
        <f>(W143+V139+V142)*$H22</f>
        <v>55526.769352420844</v>
      </c>
      <c r="Y156" s="4">
        <f>Y143*$G22</f>
        <v>2008.7430719625138</v>
      </c>
      <c r="Z156" s="4">
        <f>(Z143+Y139+Y142)*$H22</f>
        <v>46556.247225578685</v>
      </c>
      <c r="AA156" s="38" t="s">
        <v>325</v>
      </c>
      <c r="AB156" s="42" t="s">
        <v>370</v>
      </c>
      <c r="AC156" s="43" t="s">
        <v>304</v>
      </c>
    </row>
    <row r="157" spans="1:30" ht="22" customHeight="1" x14ac:dyDescent="0.2">
      <c r="A157" s="50" t="s">
        <v>405</v>
      </c>
      <c r="B157" s="38" t="s">
        <v>176</v>
      </c>
      <c r="C157" s="33" t="s">
        <v>163</v>
      </c>
      <c r="F157" s="10" t="s">
        <v>166</v>
      </c>
      <c r="G157" s="4">
        <f>G128-G131*G132-G129</f>
        <v>2175</v>
      </c>
      <c r="H157" s="4">
        <f>H128-G131*H132-H129+H61</f>
        <v>2700</v>
      </c>
      <c r="J157" s="4">
        <f>J128-J131*J132-J129</f>
        <v>2500.8871584281151</v>
      </c>
      <c r="K157" s="4">
        <f>K128-J131*K132-K129+K61</f>
        <v>2810.8433845317795</v>
      </c>
      <c r="M157" s="4">
        <f>M128-M131*M132-M129</f>
        <v>1882.3405285733647</v>
      </c>
      <c r="N157" s="4">
        <f>N128-M131*N132-N129+N61</f>
        <v>2005.4471888752321</v>
      </c>
      <c r="P157" s="4">
        <f>P128-P131*P132-P129</f>
        <v>1726.713944057853</v>
      </c>
      <c r="Q157" s="4">
        <f>Q128-P131*Q132-Q129+Q61</f>
        <v>3269.6743910058703</v>
      </c>
      <c r="S157" s="4">
        <f>S128-S131*S132-S129</f>
        <v>2359.9831557390908</v>
      </c>
      <c r="T157" s="4">
        <f>T128-S131*T132-T129+T61</f>
        <v>622.69166191056149</v>
      </c>
      <c r="V157" s="4">
        <f>V128-V131*V132-V129</f>
        <v>2325.2411023786626</v>
      </c>
      <c r="W157" s="4">
        <f>W128-V131*W132-W129+W61</f>
        <v>1626.7473761219785</v>
      </c>
      <c r="Y157" s="4">
        <f>Y128-Y131*Y132-Y129</f>
        <v>2289.8490756260389</v>
      </c>
      <c r="Z157" s="4">
        <f>Z128-Y131*Z132-Z129+Z61</f>
        <v>1859.6364113622531</v>
      </c>
      <c r="AA157" s="38" t="s">
        <v>326</v>
      </c>
      <c r="AB157" s="42" t="s">
        <v>371</v>
      </c>
      <c r="AC157" s="43" t="s">
        <v>304</v>
      </c>
    </row>
    <row r="158" spans="1:30" ht="22" customHeight="1" x14ac:dyDescent="0.2">
      <c r="A158" s="50" t="s">
        <v>405</v>
      </c>
      <c r="B158" s="38" t="s">
        <v>177</v>
      </c>
      <c r="C158" s="33" t="s">
        <v>163</v>
      </c>
      <c r="F158" s="10" t="s">
        <v>167</v>
      </c>
      <c r="G158" s="4">
        <f>MAX((G128 - G129)*$G22-G17*G9,0)</f>
        <v>2128.25</v>
      </c>
      <c r="H158" s="4">
        <f>MAX((H128-H129+H61)*$H22-H17*H9,0)</f>
        <v>2058</v>
      </c>
      <c r="J158" s="4">
        <f>MAX((J128 - J129)*$G22-J17*J9,0)</f>
        <v>2441.7577584281139</v>
      </c>
      <c r="K158" s="4">
        <f>MAX((K128-K129+K61)*$H22-K17*K9,0)</f>
        <v>2135.3934871098159</v>
      </c>
      <c r="M158" s="4">
        <f>MAX((M128 - M129)*$G22-M17*M9,0)</f>
        <v>1825.9413285733633</v>
      </c>
      <c r="N158" s="4">
        <f>MAX((N128-N129+N61)*$H22-N17*N9,0)</f>
        <v>1494.3355907293603</v>
      </c>
      <c r="P158" s="4">
        <f>MAX((P128 - P129)*$G22-P17*P9,0)</f>
        <v>1665.1909440578529</v>
      </c>
      <c r="Q158" s="4">
        <f>MAX((Q128-Q129+Q61)*$H22-Q17*Q9,0)</f>
        <v>2359.7750591715594</v>
      </c>
      <c r="S158" s="4">
        <f>MAX((S128 - S129)*$G22-S17*S9,0)</f>
        <v>2262.7431557390901</v>
      </c>
      <c r="T158" s="4">
        <f>MAX((T128-T129+T61)*$H22-T17*T9,0)</f>
        <v>443.28091825880102</v>
      </c>
      <c r="V158" s="4">
        <f>MAX((V128 - V129)*$G22-V17*V9,0)</f>
        <v>2250.1045023786637</v>
      </c>
      <c r="W158" s="4">
        <f>MAX((W128-W129+W61)*$H22-W17*W9,0)</f>
        <v>1133.8628134349819</v>
      </c>
      <c r="Y158" s="4">
        <f>MAX((Y128 - Y129)*$G22-Y17*Y9,0)</f>
        <v>2196.38647562604</v>
      </c>
      <c r="Z158" s="4">
        <f>MAX((Z128-Z129+Z61)*$H22-Z17*Z9,0)</f>
        <v>1349.2490094685436</v>
      </c>
      <c r="AA158" s="38" t="s">
        <v>323</v>
      </c>
      <c r="AB158" s="42" t="s">
        <v>372</v>
      </c>
      <c r="AC158" s="43" t="s">
        <v>304</v>
      </c>
    </row>
    <row r="159" spans="1:30" ht="22" customHeight="1" x14ac:dyDescent="0.2">
      <c r="A159" s="50" t="s">
        <v>405</v>
      </c>
      <c r="B159" s="38" t="s">
        <v>278</v>
      </c>
      <c r="C159" s="33" t="s">
        <v>163</v>
      </c>
      <c r="G159" s="4">
        <f>J118*J7*(1+$G22)</f>
        <v>19480.5</v>
      </c>
      <c r="H159" s="4">
        <f>(K118*K7+SUMPRODUCT(H45:H48,H92:H95))*(1+$H22)</f>
        <v>287385</v>
      </c>
      <c r="J159" s="4">
        <f>M118*M7*(1+$G22)</f>
        <v>19456.32</v>
      </c>
      <c r="K159" s="4">
        <f>(N118*N7+SUMPRODUCT(K45:K48,K92:K95))*(1+$H22)</f>
        <v>287259.5625</v>
      </c>
      <c r="M159" s="4">
        <f>P118*P7*(1+$G22)</f>
        <v>19433.7</v>
      </c>
      <c r="N159" s="4">
        <f>(Q118*Q7+SUMPRODUCT(N45:N48,N92:N95))*(1+$H22)</f>
        <v>287156.71250000002</v>
      </c>
      <c r="P159" s="4">
        <f>S118*S7*(1+$G22)</f>
        <v>14231.890400613152</v>
      </c>
      <c r="Q159" s="4">
        <f>(T118*T7+SUMPRODUCT(Q45:Q48,Q92:Q95))*(1+$H22)</f>
        <v>283658.34273354069</v>
      </c>
      <c r="S159" s="4">
        <f>V118*V7*(1+$G22)</f>
        <v>13039.890436725858</v>
      </c>
      <c r="T159" s="4">
        <f>(W118*W7+SUMPRODUCT(T45:T48,T92:T95))*(1+$H22)</f>
        <v>250782.67505887762</v>
      </c>
      <c r="V159" s="4">
        <f>Y118*Y7*(1+$G22)</f>
        <v>12757.412126198586</v>
      </c>
      <c r="W159" s="4">
        <f>(Z118*Z7+SUMPRODUCT(W45:W48,W92:W95))*(1+$H22)</f>
        <v>244046.48357690388</v>
      </c>
      <c r="Y159" s="4" t="e">
        <f>AB118*AB7*(1+$G22)</f>
        <v>#VALUE!</v>
      </c>
      <c r="Z159" s="4" t="e">
        <f>(AC118*AC7+SUMPRODUCT(Z45:Z48,Z92:Z95))*(1+$H22)</f>
        <v>#VALUE!</v>
      </c>
      <c r="AA159" s="38" t="s">
        <v>327</v>
      </c>
      <c r="AB159" s="42" t="s">
        <v>373</v>
      </c>
      <c r="AC159" s="43" t="s">
        <v>330</v>
      </c>
    </row>
    <row r="160" spans="1:30" x14ac:dyDescent="0.2">
      <c r="AB160" s="42"/>
      <c r="AC160" s="43"/>
    </row>
    <row r="161" spans="1:30" x14ac:dyDescent="0.2">
      <c r="AB161" s="42"/>
      <c r="AC161" s="43"/>
    </row>
    <row r="162" spans="1:30" x14ac:dyDescent="0.2">
      <c r="B162" s="24" t="s">
        <v>257</v>
      </c>
      <c r="G162" s="4">
        <f>G157+G129</f>
        <v>2425</v>
      </c>
      <c r="H162" s="4">
        <f>H157+H129</f>
        <v>3700</v>
      </c>
      <c r="J162" s="4">
        <f>J157+J129</f>
        <v>2817.0871584281149</v>
      </c>
      <c r="K162" s="4">
        <f>K157+K129</f>
        <v>3888.8433845317795</v>
      </c>
      <c r="M162" s="4">
        <f>M157+M129</f>
        <v>2183.9405285733646</v>
      </c>
      <c r="N162" s="4">
        <f>N157+N129</f>
        <v>2926.6471888752321</v>
      </c>
      <c r="P162" s="4">
        <f>P157+P129</f>
        <v>2055.713944057853</v>
      </c>
      <c r="Q162" s="4">
        <f>Q157+Q129</f>
        <v>5170.4743910058705</v>
      </c>
      <c r="S162" s="4">
        <f>S157+S129</f>
        <v>2879.9831557390908</v>
      </c>
      <c r="T162" s="4">
        <f>T157+T129</f>
        <v>1016.5916619105615</v>
      </c>
      <c r="V162" s="4">
        <f>V157+V129</f>
        <v>2727.0411023786628</v>
      </c>
      <c r="W162" s="4">
        <f>W157+W129</f>
        <v>2781.7473761219785</v>
      </c>
      <c r="Y162" s="4">
        <f>Y157+Y129</f>
        <v>2789.6490756260391</v>
      </c>
      <c r="Z162" s="4">
        <f>Z157+Z129</f>
        <v>2903.6364113622531</v>
      </c>
      <c r="AB162" s="42"/>
      <c r="AC162" s="43"/>
    </row>
    <row r="163" spans="1:30" x14ac:dyDescent="0.2">
      <c r="AB163" s="42"/>
      <c r="AC163" s="43"/>
    </row>
    <row r="164" spans="1:30" x14ac:dyDescent="0.2">
      <c r="A164" s="50" t="s">
        <v>405</v>
      </c>
      <c r="B164" s="38" t="s">
        <v>266</v>
      </c>
      <c r="C164" s="33" t="s">
        <v>163</v>
      </c>
      <c r="G164" s="4">
        <f>G131+G137+G139+G142+G143+H143</f>
        <v>2000000</v>
      </c>
      <c r="J164" s="4">
        <f>J131+J137+J139+J142+J143+K143</f>
        <v>5050000</v>
      </c>
      <c r="M164" s="4">
        <f>M131+M137+M139+M142+M143+N143</f>
        <v>5110000.0000000009</v>
      </c>
      <c r="P164" s="4">
        <f>P131+P137+P139+P142+P143+Q143</f>
        <v>1214960.7956288506</v>
      </c>
      <c r="S164" s="4">
        <f>S131+S137+S139+S142+S143+T143</f>
        <v>399299.16044035269</v>
      </c>
      <c r="V164" s="4">
        <f>V131+V137+V139+V142+V143+W143</f>
        <v>254248.90274971956</v>
      </c>
      <c r="Y164" s="4">
        <f>Y131+Y137+Y139+Y142+Y143+Z143</f>
        <v>212026.86397460321</v>
      </c>
      <c r="AA164" s="38" t="s">
        <v>517</v>
      </c>
      <c r="AB164" s="42" t="s">
        <v>397</v>
      </c>
      <c r="AC164" s="43" t="s">
        <v>337</v>
      </c>
    </row>
    <row r="165" spans="1:30" x14ac:dyDescent="0.2">
      <c r="G165" s="4">
        <f>G164/G36</f>
        <v>1</v>
      </c>
      <c r="J165" s="4">
        <f>J164/J36</f>
        <v>1</v>
      </c>
      <c r="M165" s="4">
        <f>M164/M36</f>
        <v>1.0000000000000002</v>
      </c>
      <c r="P165" s="4">
        <f>P164/P36</f>
        <v>0.37849245969746115</v>
      </c>
      <c r="S165" s="4">
        <f>S164/S36</f>
        <v>0.35165752113839804</v>
      </c>
      <c r="V165" s="4">
        <f>V164/V36</f>
        <v>0.67025040486417908</v>
      </c>
      <c r="Y165" s="4">
        <f>Y164/Y36</f>
        <v>0.94313990756527888</v>
      </c>
      <c r="AA165" s="38"/>
      <c r="AB165" s="42"/>
      <c r="AC165" s="43"/>
    </row>
    <row r="166" spans="1:30" x14ac:dyDescent="0.2">
      <c r="B166" s="38" t="s">
        <v>348</v>
      </c>
      <c r="C166" s="31" t="s">
        <v>162</v>
      </c>
      <c r="AA166" s="38" t="s">
        <v>349</v>
      </c>
      <c r="AB166" s="42" t="s">
        <v>350</v>
      </c>
      <c r="AC166" s="43" t="s">
        <v>351</v>
      </c>
    </row>
    <row r="167" spans="1:30" x14ac:dyDescent="0.2">
      <c r="B167" s="38"/>
      <c r="AA167" s="38"/>
      <c r="AB167" s="42"/>
      <c r="AC167" s="43"/>
    </row>
    <row r="168" spans="1:30" x14ac:dyDescent="0.2">
      <c r="AA168" s="38"/>
      <c r="AB168" s="42"/>
      <c r="AC168" s="43"/>
    </row>
    <row r="169" spans="1:30" x14ac:dyDescent="0.2">
      <c r="AA169" s="38"/>
      <c r="AB169" s="42"/>
      <c r="AC169" s="43"/>
    </row>
    <row r="170" spans="1:30" x14ac:dyDescent="0.2">
      <c r="AA170" s="38"/>
      <c r="AB170" s="42"/>
      <c r="AC170" s="43"/>
      <c r="AD170">
        <v>20</v>
      </c>
    </row>
    <row r="171" spans="1:30" x14ac:dyDescent="0.2">
      <c r="AA171" s="38"/>
      <c r="AB171" s="42"/>
      <c r="AC171" s="43"/>
      <c r="AD171">
        <v>20</v>
      </c>
    </row>
    <row r="172" spans="1:30" x14ac:dyDescent="0.2">
      <c r="AA172" s="38"/>
      <c r="AB172" s="42"/>
      <c r="AC172" s="43"/>
      <c r="AD172">
        <v>20</v>
      </c>
    </row>
    <row r="173" spans="1:30" x14ac:dyDescent="0.2">
      <c r="AA173" s="38"/>
      <c r="AB173" s="42"/>
      <c r="AC173" s="43"/>
    </row>
    <row r="174" spans="1:30" x14ac:dyDescent="0.2">
      <c r="AA174" s="38"/>
      <c r="AB174" s="42"/>
      <c r="AC174" s="43"/>
    </row>
  </sheetData>
  <mergeCells count="33">
    <mergeCell ref="E19:E20"/>
    <mergeCell ref="E77:E79"/>
    <mergeCell ref="Y5:Z5"/>
    <mergeCell ref="P5:Q5"/>
    <mergeCell ref="S5:T5"/>
    <mergeCell ref="V5:W5"/>
    <mergeCell ref="G5:H5"/>
    <mergeCell ref="E30:E31"/>
    <mergeCell ref="AE4:AG4"/>
    <mergeCell ref="I2:J2"/>
    <mergeCell ref="I3:J3"/>
    <mergeCell ref="J5:K5"/>
    <mergeCell ref="M5:N5"/>
    <mergeCell ref="C45:C48"/>
    <mergeCell ref="C69:C72"/>
    <mergeCell ref="B75:B78"/>
    <mergeCell ref="C75:C78"/>
    <mergeCell ref="C50:C53"/>
    <mergeCell ref="B50:B53"/>
    <mergeCell ref="B69:B72"/>
    <mergeCell ref="B63:B66"/>
    <mergeCell ref="C63:C66"/>
    <mergeCell ref="B108:B111"/>
    <mergeCell ref="C108:C111"/>
    <mergeCell ref="B56:B59"/>
    <mergeCell ref="C56:C59"/>
    <mergeCell ref="E56:E59"/>
    <mergeCell ref="C86:C90"/>
    <mergeCell ref="C92:C95"/>
    <mergeCell ref="B103:B106"/>
    <mergeCell ref="C103:C106"/>
    <mergeCell ref="B97:B100"/>
    <mergeCell ref="C97:C100"/>
  </mergeCells>
  <phoneticPr fontId="5"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7113C-E57E-E340-957C-77A5927B4CD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cl_1</vt:lpstr>
      <vt:lpstr>cl_2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Coburn Syme</dc:creator>
  <cp:lastModifiedBy>James Coburn Syme</cp:lastModifiedBy>
  <dcterms:created xsi:type="dcterms:W3CDTF">2025-10-11T19:34:45Z</dcterms:created>
  <dcterms:modified xsi:type="dcterms:W3CDTF">2026-10-12T19:46:11Z</dcterms:modified>
</cp:coreProperties>
</file>